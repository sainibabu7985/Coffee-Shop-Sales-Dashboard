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61a8d69ca00f6a1/my pic/Desktop/EXCEL/"/>
    </mc:Choice>
  </mc:AlternateContent>
  <xr:revisionPtr revIDLastSave="436" documentId="8_{6FD2798E-4121-45E6-AB80-CE42F0250BE5}" xr6:coauthVersionLast="47" xr6:coauthVersionMax="47" xr10:uidLastSave="{3DB0484A-D350-4E4B-9931-B9EA690FDE29}"/>
  <bookViews>
    <workbookView xWindow="-108" yWindow="-108" windowWidth="23256" windowHeight="12456" activeTab="2" xr2:uid="{73997F45-D655-4ADF-8CE0-BB699CBA2279}"/>
  </bookViews>
  <sheets>
    <sheet name="Sheet1" sheetId="11" r:id="rId1"/>
    <sheet name="clean data zomato" sheetId="2" r:id="rId2"/>
    <sheet name="DASHBOARD" sheetId="10" r:id="rId3"/>
    <sheet name="PIVOT " sheetId="3" r:id="rId4"/>
  </sheets>
  <definedNames>
    <definedName name="ExternalData_1" localSheetId="1" hidden="1">'clean data zomato'!$A$1:$Q$435</definedName>
    <definedName name="Slicer_City">#N/A</definedName>
    <definedName name="Slicer_Cuisine">#N/A</definedName>
    <definedName name="Slicer_Restaurant">#N/A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10" l="1"/>
  <c r="G7" i="10"/>
  <c r="D7" i="10"/>
  <c r="A7" i="10"/>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EA66CE-31EC-4661-A945-17B32FF929C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<sst xmlns="http://schemas.openxmlformats.org/spreadsheetml/2006/main" count="3989" uniqueCount="861">
  <si>
    <t>Order_ID</t>
  </si>
  <si>
    <t>Order_Date</t>
  </si>
  <si>
    <t>Restaurant</t>
  </si>
  <si>
    <t>City</t>
  </si>
  <si>
    <t>Cuisine</t>
  </si>
  <si>
    <t>Customer_Age</t>
  </si>
  <si>
    <t>Rating</t>
  </si>
  <si>
    <t>Delivery_Time</t>
  </si>
  <si>
    <t>Order_Value</t>
  </si>
  <si>
    <t>Discount</t>
  </si>
  <si>
    <t>Payment_Mode</t>
  </si>
  <si>
    <t>Order_Status</t>
  </si>
  <si>
    <t>Number_of_Items</t>
  </si>
  <si>
    <t>Delivery_Partner</t>
  </si>
  <si>
    <t>Profit</t>
  </si>
  <si>
    <t>ORD_117</t>
  </si>
  <si>
    <t>Delhi</t>
  </si>
  <si>
    <t>Street Food</t>
  </si>
  <si>
    <t>Zomato Valet</t>
  </si>
  <si>
    <t>ZOM-10002</t>
  </si>
  <si>
    <t>Burger King</t>
  </si>
  <si>
    <t>Ahmedabad</t>
  </si>
  <si>
    <t>Chinese</t>
  </si>
  <si>
    <t>39 mins</t>
  </si>
  <si>
    <t>Wallet</t>
  </si>
  <si>
    <t>Delivered</t>
  </si>
  <si>
    <t>ZOM-10003</t>
  </si>
  <si>
    <t>Behrouz Biryani</t>
  </si>
  <si>
    <t>Bengaluru</t>
  </si>
  <si>
    <t>Fast Food</t>
  </si>
  <si>
    <t>Shadowfax</t>
  </si>
  <si>
    <t>Wow! Momo</t>
  </si>
  <si>
    <t>Chennai</t>
  </si>
  <si>
    <t>North Indian</t>
  </si>
  <si>
    <t>Cancelled</t>
  </si>
  <si>
    <t>Grab</t>
  </si>
  <si>
    <t>Bikanervala</t>
  </si>
  <si>
    <t>21 mins</t>
  </si>
  <si>
    <t>ZOM-10006</t>
  </si>
  <si>
    <t>Bangalore</t>
  </si>
  <si>
    <t>North Indian, Italian</t>
  </si>
  <si>
    <t>Rapido</t>
  </si>
  <si>
    <t>ZOM-10007</t>
  </si>
  <si>
    <t>Kolkata</t>
  </si>
  <si>
    <t>Italian</t>
  </si>
  <si>
    <t>ZOM-10008</t>
  </si>
  <si>
    <t>ZOM-10009</t>
  </si>
  <si>
    <t>Hyderabad</t>
  </si>
  <si>
    <t>Refunded</t>
  </si>
  <si>
    <t>ZOM-10010</t>
  </si>
  <si>
    <t>Desserts</t>
  </si>
  <si>
    <t>ZOM-10011</t>
  </si>
  <si>
    <t>ZOM-10012</t>
  </si>
  <si>
    <t>Dominos Pizza</t>
  </si>
  <si>
    <t>Mughlai</t>
  </si>
  <si>
    <t>Credit Card</t>
  </si>
  <si>
    <t>ZOM-10013</t>
  </si>
  <si>
    <t>Subway</t>
  </si>
  <si>
    <t>Pune</t>
  </si>
  <si>
    <t>Bakery, Desserts</t>
  </si>
  <si>
    <t>Debit Card</t>
  </si>
  <si>
    <t>ZOM-10014</t>
  </si>
  <si>
    <t>ZOM-10015</t>
  </si>
  <si>
    <t>Bakery</t>
  </si>
  <si>
    <t>56 mins</t>
  </si>
  <si>
    <t>ZOM-10016</t>
  </si>
  <si>
    <t>Paradise Biryani</t>
  </si>
  <si>
    <t>30 mins</t>
  </si>
  <si>
    <t>Dunzo</t>
  </si>
  <si>
    <t>ZOM-10018</t>
  </si>
  <si>
    <t>Jaipur</t>
  </si>
  <si>
    <t>ZOM-10019</t>
  </si>
  <si>
    <t>ZOM-10020</t>
  </si>
  <si>
    <t>31 mins</t>
  </si>
  <si>
    <t>ZOM-10021</t>
  </si>
  <si>
    <t>Mumbai</t>
  </si>
  <si>
    <t>ZOM-10022</t>
  </si>
  <si>
    <t>ZOM-10023</t>
  </si>
  <si>
    <t>South Indian</t>
  </si>
  <si>
    <t>ZOM-10024</t>
  </si>
  <si>
    <t>ZOM-10025</t>
  </si>
  <si>
    <t>Biryani</t>
  </si>
  <si>
    <t>63 mins</t>
  </si>
  <si>
    <t>Net Banking</t>
  </si>
  <si>
    <t>ZOM-10026</t>
  </si>
  <si>
    <t>ZOM-10027</t>
  </si>
  <si>
    <t>ZOM-10028</t>
  </si>
  <si>
    <t>ZOM-10029</t>
  </si>
  <si>
    <t>ZOM-10030</t>
  </si>
  <si>
    <t>ZOM-10031</t>
  </si>
  <si>
    <t>Faasos</t>
  </si>
  <si>
    <t>ZOM-10032</t>
  </si>
  <si>
    <t>ZOM-10033</t>
  </si>
  <si>
    <t>ZOM-10034</t>
  </si>
  <si>
    <t>ZOM-10035</t>
  </si>
  <si>
    <t>ZOM-10036</t>
  </si>
  <si>
    <t>ORD_113</t>
  </si>
  <si>
    <t>Chai Point</t>
  </si>
  <si>
    <t>42 mins</t>
  </si>
  <si>
    <t>ZOM-10038</t>
  </si>
  <si>
    <t>ZOM-10039</t>
  </si>
  <si>
    <t>ZOM-10040</t>
  </si>
  <si>
    <t>48 mins</t>
  </si>
  <si>
    <t>ZOM-10041</t>
  </si>
  <si>
    <t>ZOM-10042</t>
  </si>
  <si>
    <t>ZOM-10043</t>
  </si>
  <si>
    <t>ZOM-10044</t>
  </si>
  <si>
    <t>Mughlai, South Indian</t>
  </si>
  <si>
    <t>ZOM-10045</t>
  </si>
  <si>
    <t>Barbeque Nation</t>
  </si>
  <si>
    <t>ZOM-10046</t>
  </si>
  <si>
    <t>ZOM-10047</t>
  </si>
  <si>
    <t>49 mins</t>
  </si>
  <si>
    <t>ZOM-10048</t>
  </si>
  <si>
    <t>ORD_121</t>
  </si>
  <si>
    <t>ZOM-10050</t>
  </si>
  <si>
    <t>Lucknow</t>
  </si>
  <si>
    <t>69 mins</t>
  </si>
  <si>
    <t>ZOM-10052</t>
  </si>
  <si>
    <t>ZOM-10053</t>
  </si>
  <si>
    <t>ZOM-10054</t>
  </si>
  <si>
    <t>ZOM-10055</t>
  </si>
  <si>
    <t>ZOM-10056</t>
  </si>
  <si>
    <t>ZOM-10058</t>
  </si>
  <si>
    <t>19 mins</t>
  </si>
  <si>
    <t>ZOM-10059</t>
  </si>
  <si>
    <t>32 mins</t>
  </si>
  <si>
    <t>ZOM-10060</t>
  </si>
  <si>
    <t>ZOM-10061</t>
  </si>
  <si>
    <t>ZOM-10062</t>
  </si>
  <si>
    <t>ZOM-10064</t>
  </si>
  <si>
    <t>51 mins</t>
  </si>
  <si>
    <t>ZOM-10065</t>
  </si>
  <si>
    <t>28 mins</t>
  </si>
  <si>
    <t>ZOM-10066</t>
  </si>
  <si>
    <t>ZOM-10067</t>
  </si>
  <si>
    <t>38 mins</t>
  </si>
  <si>
    <t>ZOM-10072</t>
  </si>
  <si>
    <t>ZOM-10074</t>
  </si>
  <si>
    <t>ZOM-10075</t>
  </si>
  <si>
    <t>ZOM-10076</t>
  </si>
  <si>
    <t>ZOM-10077</t>
  </si>
  <si>
    <t>60 mins</t>
  </si>
  <si>
    <t>ZOM-10078</t>
  </si>
  <si>
    <t>ZOM-10079</t>
  </si>
  <si>
    <t>ZOM-10080</t>
  </si>
  <si>
    <t>ZOM-10081</t>
  </si>
  <si>
    <t>ZOM-10082</t>
  </si>
  <si>
    <t>ZOM-10083</t>
  </si>
  <si>
    <t>ZOM-10084</t>
  </si>
  <si>
    <t>ZOM-10085</t>
  </si>
  <si>
    <t>ZOM-10086</t>
  </si>
  <si>
    <t>ZOM-10087</t>
  </si>
  <si>
    <t>ZOM-10088</t>
  </si>
  <si>
    <t>ORD_140</t>
  </si>
  <si>
    <t>ZOM-10090</t>
  </si>
  <si>
    <t>17 mins</t>
  </si>
  <si>
    <t>ZOM-10091</t>
  </si>
  <si>
    <t>ZOM-10092</t>
  </si>
  <si>
    <t>ZOM-10093</t>
  </si>
  <si>
    <t>ZOM-10094</t>
  </si>
  <si>
    <t>ZOM-10095</t>
  </si>
  <si>
    <t>ZOM-10096</t>
  </si>
  <si>
    <t>ZOM-10097</t>
  </si>
  <si>
    <t>ZOM-10098</t>
  </si>
  <si>
    <t>ZOM-10099</t>
  </si>
  <si>
    <t>ZOM-10101</t>
  </si>
  <si>
    <t>54 mins</t>
  </si>
  <si>
    <t>ZOM-10102</t>
  </si>
  <si>
    <t>ZOM-10103</t>
  </si>
  <si>
    <t>ZOM-10104</t>
  </si>
  <si>
    <t>ZOM-10106</t>
  </si>
  <si>
    <t>ZOM-10107</t>
  </si>
  <si>
    <t>ZOM-10108</t>
  </si>
  <si>
    <t>ZOM-10109</t>
  </si>
  <si>
    <t>ZOM-10110</t>
  </si>
  <si>
    <t>ZOM-10111</t>
  </si>
  <si>
    <t>ZOM-10112</t>
  </si>
  <si>
    <t>74 mins</t>
  </si>
  <si>
    <t>ZOM-10115</t>
  </si>
  <si>
    <t>33 mins</t>
  </si>
  <si>
    <t>ZOM-10116</t>
  </si>
  <si>
    <t>Italian, Fast Food</t>
  </si>
  <si>
    <t>ZOM-10117</t>
  </si>
  <si>
    <t>ZOM-10118</t>
  </si>
  <si>
    <t>ORD_145</t>
  </si>
  <si>
    <t>ZOM-10120</t>
  </si>
  <si>
    <t>ZOM-10121</t>
  </si>
  <si>
    <t>66 mins</t>
  </si>
  <si>
    <t>ZOM-10123</t>
  </si>
  <si>
    <t>North Indian, Street Food</t>
  </si>
  <si>
    <t>61 mins</t>
  </si>
  <si>
    <t>ZOM-10124</t>
  </si>
  <si>
    <t>ZOM-10127</t>
  </si>
  <si>
    <t>ZOM-10128</t>
  </si>
  <si>
    <t>ZOM-10129</t>
  </si>
  <si>
    <t>Bombay</t>
  </si>
  <si>
    <t>43 mins</t>
  </si>
  <si>
    <t>ZOM-10130</t>
  </si>
  <si>
    <t>ZOM-10131</t>
  </si>
  <si>
    <t>ZOM-10132</t>
  </si>
  <si>
    <t>Italian, Mughlai</t>
  </si>
  <si>
    <t>ZOM-10133</t>
  </si>
  <si>
    <t>ZOM-10134</t>
  </si>
  <si>
    <t>ZOM-10135</t>
  </si>
  <si>
    <t>ZOM-10136</t>
  </si>
  <si>
    <t>ZOM-10137</t>
  </si>
  <si>
    <t>ZOM-10138</t>
  </si>
  <si>
    <t>ZOM-10139</t>
  </si>
  <si>
    <t>ZOM-10140</t>
  </si>
  <si>
    <t>ZOM-10141</t>
  </si>
  <si>
    <t>55 mins</t>
  </si>
  <si>
    <t>ZOM-10142</t>
  </si>
  <si>
    <t>ZOM-10143</t>
  </si>
  <si>
    <t>ZOM-10144</t>
  </si>
  <si>
    <t>75 mins</t>
  </si>
  <si>
    <t>ZOM-10145</t>
  </si>
  <si>
    <t>Biryani, Chinese</t>
  </si>
  <si>
    <t>ZOM-10146</t>
  </si>
  <si>
    <t>ORD_101</t>
  </si>
  <si>
    <t>ZOM-10148</t>
  </si>
  <si>
    <t>ZOM-10149</t>
  </si>
  <si>
    <t>22 mins</t>
  </si>
  <si>
    <t>ZOM-10151</t>
  </si>
  <si>
    <t>41 mins</t>
  </si>
  <si>
    <t>ZOM-10152</t>
  </si>
  <si>
    <t>ZOM-10153</t>
  </si>
  <si>
    <t>ZOM-10154</t>
  </si>
  <si>
    <t>ZOM-10156</t>
  </si>
  <si>
    <t>50 mins</t>
  </si>
  <si>
    <t>ZOM-10158</t>
  </si>
  <si>
    <t>ZOM-10159</t>
  </si>
  <si>
    <t>ORD_133</t>
  </si>
  <si>
    <t>ORD_143</t>
  </si>
  <si>
    <t>ZOM-10164</t>
  </si>
  <si>
    <t>ZOM-10165</t>
  </si>
  <si>
    <t>ZOM-10167</t>
  </si>
  <si>
    <t>67 mins</t>
  </si>
  <si>
    <t>ZOM-10168</t>
  </si>
  <si>
    <t>ZOM-10169</t>
  </si>
  <si>
    <t>ZOM-10170</t>
  </si>
  <si>
    <t>ZOM-10171</t>
  </si>
  <si>
    <t>ZOM-10172</t>
  </si>
  <si>
    <t>ZOM-10174</t>
  </si>
  <si>
    <t>62 mins</t>
  </si>
  <si>
    <t>ZOM-10175</t>
  </si>
  <si>
    <t>ZOM-10176</t>
  </si>
  <si>
    <t>ZOM-10178</t>
  </si>
  <si>
    <t>Fast Food, Bakery</t>
  </si>
  <si>
    <t>ZOM-10179</t>
  </si>
  <si>
    <t>ZOM-10180</t>
  </si>
  <si>
    <t>73 mins</t>
  </si>
  <si>
    <t>ZOM-10181</t>
  </si>
  <si>
    <t>ZOM-10182</t>
  </si>
  <si>
    <t>ZOM-10184</t>
  </si>
  <si>
    <t>ZOM-10185</t>
  </si>
  <si>
    <t>ZOM-10186</t>
  </si>
  <si>
    <t>ZOM-10187</t>
  </si>
  <si>
    <t>ZOM-10190</t>
  </si>
  <si>
    <t>ZOM-10191</t>
  </si>
  <si>
    <t>Fast Food, Mughlai</t>
  </si>
  <si>
    <t>ZOM-10192</t>
  </si>
  <si>
    <t>ZOM-10193</t>
  </si>
  <si>
    <t>ZOM-10194</t>
  </si>
  <si>
    <t>53 mins</t>
  </si>
  <si>
    <t>ZOM-10195</t>
  </si>
  <si>
    <t>ZOM-10196</t>
  </si>
  <si>
    <t>ZOM-10197</t>
  </si>
  <si>
    <t>Desserts, Chinese</t>
  </si>
  <si>
    <t>ZOM-10198</t>
  </si>
  <si>
    <t>ZOM-10200</t>
  </si>
  <si>
    <t>ZOM-10201</t>
  </si>
  <si>
    <t>ZOM-10202</t>
  </si>
  <si>
    <t>ZOM-10203</t>
  </si>
  <si>
    <t>ZOM-10206</t>
  </si>
  <si>
    <t>ZOM-10207</t>
  </si>
  <si>
    <t>ZOM-10208</t>
  </si>
  <si>
    <t>70 mins</t>
  </si>
  <si>
    <t>ZOM-10209</t>
  </si>
  <si>
    <t>ORD_132</t>
  </si>
  <si>
    <t>ZOM-10212</t>
  </si>
  <si>
    <t>ORD_123</t>
  </si>
  <si>
    <t>ZOM-10215</t>
  </si>
  <si>
    <t>ZOM-10216</t>
  </si>
  <si>
    <t>ZOM-10217</t>
  </si>
  <si>
    <t>ZOM-10218</t>
  </si>
  <si>
    <t>ZOM-10219</t>
  </si>
  <si>
    <t>ORD_136</t>
  </si>
  <si>
    <t>ZOM-10223</t>
  </si>
  <si>
    <t>South Indian, Chinese</t>
  </si>
  <si>
    <t>ZOM-10224</t>
  </si>
  <si>
    <t>ZOM-10226</t>
  </si>
  <si>
    <t>ZOM-10227</t>
  </si>
  <si>
    <t>ZOM-10228</t>
  </si>
  <si>
    <t>ZOM-10229</t>
  </si>
  <si>
    <t>ZOM-10230</t>
  </si>
  <si>
    <t>ZOM-10231</t>
  </si>
  <si>
    <t>ZOM-10232</t>
  </si>
  <si>
    <t>ZOM-10234</t>
  </si>
  <si>
    <t>ZOM-10236</t>
  </si>
  <si>
    <t>Fast Food, Italian</t>
  </si>
  <si>
    <t>ZOM-10237</t>
  </si>
  <si>
    <t>ZOM-10238</t>
  </si>
  <si>
    <t>ZOM-10239</t>
  </si>
  <si>
    <t>26 mins</t>
  </si>
  <si>
    <t>ZOM-10240</t>
  </si>
  <si>
    <t>ORD_109</t>
  </si>
  <si>
    <t>ZOM-10242</t>
  </si>
  <si>
    <t>ZOM-10243</t>
  </si>
  <si>
    <t>ZOM-10244</t>
  </si>
  <si>
    <t>ZOM-10245</t>
  </si>
  <si>
    <t>ZOM-10247</t>
  </si>
  <si>
    <t>Bakery, Street Food</t>
  </si>
  <si>
    <t>ZOM-10248</t>
  </si>
  <si>
    <t>ZOM-10249</t>
  </si>
  <si>
    <t>ZOM-10250</t>
  </si>
  <si>
    <t>64 mins</t>
  </si>
  <si>
    <t>ZOM-10251</t>
  </si>
  <si>
    <t>ZOM-10252</t>
  </si>
  <si>
    <t>ZOM-10254</t>
  </si>
  <si>
    <t>15 mins</t>
  </si>
  <si>
    <t>ZOM-10255</t>
  </si>
  <si>
    <t>ZOM-10256</t>
  </si>
  <si>
    <t>ZOM-10258</t>
  </si>
  <si>
    <t>ZOM-10259</t>
  </si>
  <si>
    <t>ZOM-10260</t>
  </si>
  <si>
    <t>ZOM-10261</t>
  </si>
  <si>
    <t>ZOM-10263</t>
  </si>
  <si>
    <t>ZOM-10265</t>
  </si>
  <si>
    <t>ZOM-10266</t>
  </si>
  <si>
    <t>ZOM-10268</t>
  </si>
  <si>
    <t>ZOM-10269</t>
  </si>
  <si>
    <t>ZOM-10270</t>
  </si>
  <si>
    <t>35 mins</t>
  </si>
  <si>
    <t>ZOM-10271</t>
  </si>
  <si>
    <t>ZOM-10272</t>
  </si>
  <si>
    <t>ZOM-10273</t>
  </si>
  <si>
    <t>ZOM-10275</t>
  </si>
  <si>
    <t>23 mins</t>
  </si>
  <si>
    <t>ZOM-10276</t>
  </si>
  <si>
    <t>ZOM-10277</t>
  </si>
  <si>
    <t>ZOM-10278</t>
  </si>
  <si>
    <t>47 mins</t>
  </si>
  <si>
    <t>ZOM-10282</t>
  </si>
  <si>
    <t>ZOM-10283</t>
  </si>
  <si>
    <t>ZOM-10286</t>
  </si>
  <si>
    <t>ZOM-10288</t>
  </si>
  <si>
    <t>ZOM-10289</t>
  </si>
  <si>
    <t>ZOM-10290</t>
  </si>
  <si>
    <t>ZOM-10291</t>
  </si>
  <si>
    <t>ZOM-10292</t>
  </si>
  <si>
    <t>Italian, Italian</t>
  </si>
  <si>
    <t>ZOM-10293</t>
  </si>
  <si>
    <t>ZOM-10295</t>
  </si>
  <si>
    <t>ZOM-10296</t>
  </si>
  <si>
    <t>Fast Food, Desserts</t>
  </si>
  <si>
    <t>ZOM-10298</t>
  </si>
  <si>
    <t>ZOM-10299</t>
  </si>
  <si>
    <t>ZOM-10300</t>
  </si>
  <si>
    <t>ZOM-10301</t>
  </si>
  <si>
    <t>ZOM-10302</t>
  </si>
  <si>
    <t>72 mins</t>
  </si>
  <si>
    <t>ZOM-10303</t>
  </si>
  <si>
    <t>ZOM-10304</t>
  </si>
  <si>
    <t>ZOM-10305</t>
  </si>
  <si>
    <t>ZOM-10306</t>
  </si>
  <si>
    <t>ZOM-10307</t>
  </si>
  <si>
    <t>ZOM-10308</t>
  </si>
  <si>
    <t>ZOM-10309</t>
  </si>
  <si>
    <t>ZOM-10310</t>
  </si>
  <si>
    <t>ZOM-10311</t>
  </si>
  <si>
    <t>ZOM-10312</t>
  </si>
  <si>
    <t>ZOM-10313</t>
  </si>
  <si>
    <t>North Indian, Chinese</t>
  </si>
  <si>
    <t>ZOM-10314</t>
  </si>
  <si>
    <t>ZOM-10315</t>
  </si>
  <si>
    <t>ZOM-10316</t>
  </si>
  <si>
    <t>34 mins</t>
  </si>
  <si>
    <t>ZOM-10317</t>
  </si>
  <si>
    <t>ZOM-10318</t>
  </si>
  <si>
    <t>ZOM-10319</t>
  </si>
  <si>
    <t>ZOM-10320</t>
  </si>
  <si>
    <t>ZOM-10321</t>
  </si>
  <si>
    <t>ZOM-10322</t>
  </si>
  <si>
    <t>ZOM-10323</t>
  </si>
  <si>
    <t>ZOM-10324</t>
  </si>
  <si>
    <t>ZOM-10325</t>
  </si>
  <si>
    <t>ZOM-10326</t>
  </si>
  <si>
    <t>ZOM-10327</t>
  </si>
  <si>
    <t>ZOM-10328</t>
  </si>
  <si>
    <t>ZOM-10329</t>
  </si>
  <si>
    <t>ZOM-10331</t>
  </si>
  <si>
    <t>Fast Food, Biryani</t>
  </si>
  <si>
    <t>ZOM-10332</t>
  </si>
  <si>
    <t>ZOM-10333</t>
  </si>
  <si>
    <t>ZOM-10335</t>
  </si>
  <si>
    <t>ZOM-10336</t>
  </si>
  <si>
    <t>ZOM-10337</t>
  </si>
  <si>
    <t>ZOM-10338</t>
  </si>
  <si>
    <t>ZOM-10339</t>
  </si>
  <si>
    <t>ZOM-10340</t>
  </si>
  <si>
    <t>ZOM-10341</t>
  </si>
  <si>
    <t>ZOM-10342</t>
  </si>
  <si>
    <t>ZOM-10344</t>
  </si>
  <si>
    <t>29 mins</t>
  </si>
  <si>
    <t>ZOM-10345</t>
  </si>
  <si>
    <t>ZOM-10347</t>
  </si>
  <si>
    <t>ZOM-10349</t>
  </si>
  <si>
    <t>ZOM-10350</t>
  </si>
  <si>
    <t>ZOM-10351</t>
  </si>
  <si>
    <t>ZOM-10352</t>
  </si>
  <si>
    <t>ZOM-10354</t>
  </si>
  <si>
    <t>ZOM-10355</t>
  </si>
  <si>
    <t>Calcutta</t>
  </si>
  <si>
    <t>Desserts, Desserts</t>
  </si>
  <si>
    <t>ZOM-10356</t>
  </si>
  <si>
    <t>ZOM-10357</t>
  </si>
  <si>
    <t>ZOM-10358</t>
  </si>
  <si>
    <t>ZOM-10359</t>
  </si>
  <si>
    <t>ZOM-10360</t>
  </si>
  <si>
    <t>ZOM-10361</t>
  </si>
  <si>
    <t>ZOM-10364</t>
  </si>
  <si>
    <t>ZOM-10365</t>
  </si>
  <si>
    <t>ZOM-10366</t>
  </si>
  <si>
    <t>ZOM-10367</t>
  </si>
  <si>
    <t>ZOM-10368</t>
  </si>
  <si>
    <t>South Indian, North Indian</t>
  </si>
  <si>
    <t>ZOM-10370</t>
  </si>
  <si>
    <t>ZOM-10372</t>
  </si>
  <si>
    <t>ZOM-10374</t>
  </si>
  <si>
    <t>ZOM-10376</t>
  </si>
  <si>
    <t>ZOM-10377</t>
  </si>
  <si>
    <t>ZOM-10378</t>
  </si>
  <si>
    <t>ZOM-10379</t>
  </si>
  <si>
    <t>ZOM-10380</t>
  </si>
  <si>
    <t>ZOM-10381</t>
  </si>
  <si>
    <t>ZOM-10382</t>
  </si>
  <si>
    <t>ZOM-10383</t>
  </si>
  <si>
    <t>ZOM-10384</t>
  </si>
  <si>
    <t>ZOM-10385</t>
  </si>
  <si>
    <t>ZOM-10386</t>
  </si>
  <si>
    <t>Chinese, Fast Food</t>
  </si>
  <si>
    <t>ORD_116</t>
  </si>
  <si>
    <t>ZOM-10389</t>
  </si>
  <si>
    <t>ZOM-10390</t>
  </si>
  <si>
    <t>ZOM-10391</t>
  </si>
  <si>
    <t>ZOM-10392</t>
  </si>
  <si>
    <t>ZOM-10393</t>
  </si>
  <si>
    <t>ZOM-10394</t>
  </si>
  <si>
    <t>Italian, North Indian</t>
  </si>
  <si>
    <t>ZOM-10395</t>
  </si>
  <si>
    <t>ZOM-10396</t>
  </si>
  <si>
    <t>ZOM-10397</t>
  </si>
  <si>
    <t>ZOM-10398</t>
  </si>
  <si>
    <t>ZOM-10400</t>
  </si>
  <si>
    <t>ZOM-10401</t>
  </si>
  <si>
    <t>ZOM-10402</t>
  </si>
  <si>
    <t>ZOM-10403</t>
  </si>
  <si>
    <t>ZOM-10404</t>
  </si>
  <si>
    <t>ZOM-10405</t>
  </si>
  <si>
    <t>ZOM-10406</t>
  </si>
  <si>
    <t>ZOM-10407</t>
  </si>
  <si>
    <t>ZOM-10409</t>
  </si>
  <si>
    <t>ZOM-10410</t>
  </si>
  <si>
    <t>ZOM-10411</t>
  </si>
  <si>
    <t>ZOM-10412</t>
  </si>
  <si>
    <t>ZOM-10413</t>
  </si>
  <si>
    <t>ZOM-10414</t>
  </si>
  <si>
    <t>ZOM-10415</t>
  </si>
  <si>
    <t>16 mins</t>
  </si>
  <si>
    <t>ZOM-10418</t>
  </si>
  <si>
    <t>20 mins</t>
  </si>
  <si>
    <t>ZOM-10419</t>
  </si>
  <si>
    <t>ZOM-10421</t>
  </si>
  <si>
    <t>ZOM-10422</t>
  </si>
  <si>
    <t>ZOM-10423</t>
  </si>
  <si>
    <t>ZOM-10424</t>
  </si>
  <si>
    <t>ZOM-10425</t>
  </si>
  <si>
    <t>44 mins</t>
  </si>
  <si>
    <t>ZOM-10428</t>
  </si>
  <si>
    <t>ZOM-10429</t>
  </si>
  <si>
    <t>ZOM-10431</t>
  </si>
  <si>
    <t>36 mins</t>
  </si>
  <si>
    <t>ZOM-10432</t>
  </si>
  <si>
    <t>ORD_150</t>
  </si>
  <si>
    <t>ZOM-10434</t>
  </si>
  <si>
    <t>ZOM-10435</t>
  </si>
  <si>
    <t>ZOM-10436</t>
  </si>
  <si>
    <t>ZOM-10437</t>
  </si>
  <si>
    <t>ZOM-10438</t>
  </si>
  <si>
    <t>ZOM-10439</t>
  </si>
  <si>
    <t>ORD_148</t>
  </si>
  <si>
    <t>ZOM-10443</t>
  </si>
  <si>
    <t>46 mins</t>
  </si>
  <si>
    <t>ZOM-10446</t>
  </si>
  <si>
    <t>ZOM-10447</t>
  </si>
  <si>
    <t>ZOM-10448</t>
  </si>
  <si>
    <t>ZOM-10449</t>
  </si>
  <si>
    <t>ZOM-10450</t>
  </si>
  <si>
    <t>North Indian, Mughlai</t>
  </si>
  <si>
    <t>ZOM-10452</t>
  </si>
  <si>
    <t>ZOM-10453</t>
  </si>
  <si>
    <t>ZOM-10454</t>
  </si>
  <si>
    <t>ZOM-10455</t>
  </si>
  <si>
    <t>ZOM-10456</t>
  </si>
  <si>
    <t>ZOM-10457</t>
  </si>
  <si>
    <t>ZOM-10458</t>
  </si>
  <si>
    <t>ZOM-10459</t>
  </si>
  <si>
    <t>ZOM-10460</t>
  </si>
  <si>
    <t>ZOM-10461</t>
  </si>
  <si>
    <t>ZOM-10463</t>
  </si>
  <si>
    <t>ZOM-10464</t>
  </si>
  <si>
    <t>ZOM-10465</t>
  </si>
  <si>
    <t>ZOM-10466</t>
  </si>
  <si>
    <t>ZOM-10467</t>
  </si>
  <si>
    <t>ZOM-10468</t>
  </si>
  <si>
    <t>ZOM-10469</t>
  </si>
  <si>
    <t>ZOM-10470</t>
  </si>
  <si>
    <t>ZOM-10471</t>
  </si>
  <si>
    <t>ZOM-10472</t>
  </si>
  <si>
    <t>Italian, Desserts</t>
  </si>
  <si>
    <t>ZOM-10473</t>
  </si>
  <si>
    <t>ZOM-10474</t>
  </si>
  <si>
    <t>ZOM-10475</t>
  </si>
  <si>
    <t>ZOM-10476</t>
  </si>
  <si>
    <t>ZOM-10477</t>
  </si>
  <si>
    <t>65 mins</t>
  </si>
  <si>
    <t>ZOM-10479</t>
  </si>
  <si>
    <t>ZOM-10480</t>
  </si>
  <si>
    <t>ZOM-10481</t>
  </si>
  <si>
    <t>ZOM-10482</t>
  </si>
  <si>
    <t>ZOM-10484</t>
  </si>
  <si>
    <t>ZOM-10487</t>
  </si>
  <si>
    <t>ZOM-10488</t>
  </si>
  <si>
    <t>ZOM-10489</t>
  </si>
  <si>
    <t>ZOM-10490</t>
  </si>
  <si>
    <t>ZOM-10491</t>
  </si>
  <si>
    <t>ZOM-10492</t>
  </si>
  <si>
    <t>ZOM-10493</t>
  </si>
  <si>
    <t>ZOM-10494</t>
  </si>
  <si>
    <t>ZOM-10495</t>
  </si>
  <si>
    <t>ZOM-10496</t>
  </si>
  <si>
    <t>ZOM-10497</t>
  </si>
  <si>
    <t>ZOM-10498</t>
  </si>
  <si>
    <t>ZOM-10499</t>
  </si>
  <si>
    <t>Order_Date.1</t>
  </si>
  <si>
    <t>Order_Date.2</t>
  </si>
  <si>
    <t>03-03-2024</t>
  </si>
  <si>
    <t>Haldiram'S</t>
  </si>
  <si>
    <t>35mins</t>
  </si>
  <si>
    <t>Upi</t>
  </si>
  <si>
    <t>Failed</t>
  </si>
  <si>
    <t>12-01-2024</t>
  </si>
  <si>
    <t>In-House</t>
  </si>
  <si>
    <t>04-03-2024</t>
  </si>
  <si>
    <t>16mins</t>
  </si>
  <si>
    <t>ZOM-10000</t>
  </si>
  <si>
    <t>21-05-2024</t>
  </si>
  <si>
    <t>20-05-2024</t>
  </si>
  <si>
    <t>77mins</t>
  </si>
  <si>
    <t>25-05-2024</t>
  </si>
  <si>
    <t>27mins</t>
  </si>
  <si>
    <t>28-01-2024</t>
  </si>
  <si>
    <t>71mins</t>
  </si>
  <si>
    <t>Unknown</t>
  </si>
  <si>
    <t>46mins</t>
  </si>
  <si>
    <t>Cash On Delivery</t>
  </si>
  <si>
    <t>17-05-2024</t>
  </si>
  <si>
    <t>04-07-2024</t>
  </si>
  <si>
    <t>B@Rbeque N@Ti0N</t>
  </si>
  <si>
    <t>57mins</t>
  </si>
  <si>
    <t>Cash Card</t>
  </si>
  <si>
    <t>07-16-2024</t>
  </si>
  <si>
    <t>72mins</t>
  </si>
  <si>
    <t>29-06-2024</t>
  </si>
  <si>
    <t>43mins</t>
  </si>
  <si>
    <t>07-04-2024</t>
  </si>
  <si>
    <t>Kfc</t>
  </si>
  <si>
    <t>27-05-2024</t>
  </si>
  <si>
    <t>24-06-2024</t>
  </si>
  <si>
    <t>06-09-2024</t>
  </si>
  <si>
    <t>25mins</t>
  </si>
  <si>
    <t>12-03-2024</t>
  </si>
  <si>
    <t>06-10-2024</t>
  </si>
  <si>
    <t>64mins</t>
  </si>
  <si>
    <t>Pending</t>
  </si>
  <si>
    <t>26-04-2024</t>
  </si>
  <si>
    <t>09-06-2024</t>
  </si>
  <si>
    <t>33mins</t>
  </si>
  <si>
    <t>23-04-2024</t>
  </si>
  <si>
    <t>21mins</t>
  </si>
  <si>
    <t>03-02-2024</t>
  </si>
  <si>
    <t>23-05-2024</t>
  </si>
  <si>
    <t>68mins</t>
  </si>
  <si>
    <t>18-02-2024</t>
  </si>
  <si>
    <t>15mins</t>
  </si>
  <si>
    <t>05-01-2024</t>
  </si>
  <si>
    <t>23mins</t>
  </si>
  <si>
    <t>05-07-2024</t>
  </si>
  <si>
    <t>69mins</t>
  </si>
  <si>
    <t>06-06-2024</t>
  </si>
  <si>
    <t>Bik@Nerv@L@</t>
  </si>
  <si>
    <t>42mins</t>
  </si>
  <si>
    <t>29-03-2024</t>
  </si>
  <si>
    <t>31mins</t>
  </si>
  <si>
    <t>07-06-2024</t>
  </si>
  <si>
    <t>39mins</t>
  </si>
  <si>
    <t>22-06-2024</t>
  </si>
  <si>
    <t>09-02-2024</t>
  </si>
  <si>
    <t>45mins</t>
  </si>
  <si>
    <t>03-06-2024</t>
  </si>
  <si>
    <t>08-02-2024</t>
  </si>
  <si>
    <t>18-01-2024</t>
  </si>
  <si>
    <t>20mins</t>
  </si>
  <si>
    <t>08-04-2024</t>
  </si>
  <si>
    <t>03-04-2024</t>
  </si>
  <si>
    <t>17-01-2024</t>
  </si>
  <si>
    <t>26mins</t>
  </si>
  <si>
    <t>08-05-2024</t>
  </si>
  <si>
    <t>34mins</t>
  </si>
  <si>
    <t>27-04-2024</t>
  </si>
  <si>
    <t>66mins</t>
  </si>
  <si>
    <t>17mins</t>
  </si>
  <si>
    <t>56mins</t>
  </si>
  <si>
    <t>22-03-2024</t>
  </si>
  <si>
    <t>16-06-2024</t>
  </si>
  <si>
    <t>52mins</t>
  </si>
  <si>
    <t>03-16-2024</t>
  </si>
  <si>
    <t>28-06-2024</t>
  </si>
  <si>
    <t>25-02-2024</t>
  </si>
  <si>
    <t>63mins</t>
  </si>
  <si>
    <t>05-31-2024</t>
  </si>
  <si>
    <t>22mins</t>
  </si>
  <si>
    <t>60mins</t>
  </si>
  <si>
    <t>20-02-2024</t>
  </si>
  <si>
    <t>03-28-2024</t>
  </si>
  <si>
    <t>15-06-2024</t>
  </si>
  <si>
    <t>19-01-2024</t>
  </si>
  <si>
    <t>16-03-2024</t>
  </si>
  <si>
    <t>36mins</t>
  </si>
  <si>
    <t>24-02-2024</t>
  </si>
  <si>
    <t>73mins</t>
  </si>
  <si>
    <t>14-06-2024</t>
  </si>
  <si>
    <t>07-07-2024</t>
  </si>
  <si>
    <t>01-01-2024</t>
  </si>
  <si>
    <t>65mins</t>
  </si>
  <si>
    <t>05-04-2024</t>
  </si>
  <si>
    <t>H@Ldir@M'S</t>
  </si>
  <si>
    <t>05-14-2024</t>
  </si>
  <si>
    <t>21-04-2024</t>
  </si>
  <si>
    <t>19mins</t>
  </si>
  <si>
    <t>08-03-2024</t>
  </si>
  <si>
    <t>76mins</t>
  </si>
  <si>
    <t>27-02-2024</t>
  </si>
  <si>
    <t>07-02-2024</t>
  </si>
  <si>
    <t>13-01-2024</t>
  </si>
  <si>
    <t>19-03-2024</t>
  </si>
  <si>
    <t>17-04-2024</t>
  </si>
  <si>
    <t>38mins</t>
  </si>
  <si>
    <t>31-01-2024</t>
  </si>
  <si>
    <t>12-07-2024</t>
  </si>
  <si>
    <t>58mins</t>
  </si>
  <si>
    <t>Ch@I P0Int</t>
  </si>
  <si>
    <t>32mins</t>
  </si>
  <si>
    <t>12-04-2024</t>
  </si>
  <si>
    <t>18mins</t>
  </si>
  <si>
    <t>05-12-2024</t>
  </si>
  <si>
    <t>80mins</t>
  </si>
  <si>
    <t>04-15-2024</t>
  </si>
  <si>
    <t>29mins</t>
  </si>
  <si>
    <t>02-11-2024</t>
  </si>
  <si>
    <t>17-07-2024</t>
  </si>
  <si>
    <t>44mins</t>
  </si>
  <si>
    <t>01-30-2024</t>
  </si>
  <si>
    <t>06-07-2024</t>
  </si>
  <si>
    <t>75mins</t>
  </si>
  <si>
    <t>02-09-2024</t>
  </si>
  <si>
    <t>30mins</t>
  </si>
  <si>
    <t>03-11-2024</t>
  </si>
  <si>
    <t>16-02-2024</t>
  </si>
  <si>
    <t>02-03-2024</t>
  </si>
  <si>
    <t>47mins</t>
  </si>
  <si>
    <t>07-05-2024</t>
  </si>
  <si>
    <t>15-02-2024</t>
  </si>
  <si>
    <t>06-04-2024</t>
  </si>
  <si>
    <t>04-05-2024</t>
  </si>
  <si>
    <t>01-29-2024</t>
  </si>
  <si>
    <t>22-04-2024</t>
  </si>
  <si>
    <t>26-03-2024</t>
  </si>
  <si>
    <t>20-03-2024</t>
  </si>
  <si>
    <t>09-07-2024</t>
  </si>
  <si>
    <t>02-21-2024</t>
  </si>
  <si>
    <t>50mins</t>
  </si>
  <si>
    <t>26-05-2024</t>
  </si>
  <si>
    <t>41mins</t>
  </si>
  <si>
    <t>14-02-2024</t>
  </si>
  <si>
    <t>23-02-2024</t>
  </si>
  <si>
    <t>13-07-2024</t>
  </si>
  <si>
    <t>28-04-2024</t>
  </si>
  <si>
    <t>10-01-2024</t>
  </si>
  <si>
    <t>10-06-2024</t>
  </si>
  <si>
    <t>Cod</t>
  </si>
  <si>
    <t>03-29-2024</t>
  </si>
  <si>
    <t>70mins</t>
  </si>
  <si>
    <t>16-07-2024</t>
  </si>
  <si>
    <t>03-07-2024</t>
  </si>
  <si>
    <t>31-05-2024</t>
  </si>
  <si>
    <t>03-13-2024</t>
  </si>
  <si>
    <t>10-03-2024</t>
  </si>
  <si>
    <t>09-05-2024</t>
  </si>
  <si>
    <t>05-06-2024</t>
  </si>
  <si>
    <t>02-01-2024</t>
  </si>
  <si>
    <t>23-01-2024</t>
  </si>
  <si>
    <t>Behr0Uz Biry@Ni</t>
  </si>
  <si>
    <t>05-05-2024</t>
  </si>
  <si>
    <t>02-23-2024</t>
  </si>
  <si>
    <t>22-02-2024</t>
  </si>
  <si>
    <t>07-08-2024</t>
  </si>
  <si>
    <t>53mins</t>
  </si>
  <si>
    <t>11-02-2024</t>
  </si>
  <si>
    <t>06-01-2024</t>
  </si>
  <si>
    <t>03-08-2024</t>
  </si>
  <si>
    <t>D0Min0S Pizz@</t>
  </si>
  <si>
    <t>29-04-2024</t>
  </si>
  <si>
    <t>10-04-2024</t>
  </si>
  <si>
    <t>07-01-2024</t>
  </si>
  <si>
    <t>05-19-2024</t>
  </si>
  <si>
    <t>67mins</t>
  </si>
  <si>
    <t>06-02-2024</t>
  </si>
  <si>
    <t>59mins</t>
  </si>
  <si>
    <t>11-06-2024</t>
  </si>
  <si>
    <t>03-01-2024</t>
  </si>
  <si>
    <t>11-03-2024</t>
  </si>
  <si>
    <t>Subw@Y</t>
  </si>
  <si>
    <t>74mins</t>
  </si>
  <si>
    <t>04-28-2024</t>
  </si>
  <si>
    <t>01-05-2024</t>
  </si>
  <si>
    <t>03-27-2024</t>
  </si>
  <si>
    <t>06-16-2024</t>
  </si>
  <si>
    <t>01-12-2024</t>
  </si>
  <si>
    <t>02-26-2024</t>
  </si>
  <si>
    <t>55mins</t>
  </si>
  <si>
    <t>78mins</t>
  </si>
  <si>
    <t>05-15-2024</t>
  </si>
  <si>
    <t>23-06-2024</t>
  </si>
  <si>
    <t>05-03-2024</t>
  </si>
  <si>
    <t>14-05-2024</t>
  </si>
  <si>
    <t>04-13-2024</t>
  </si>
  <si>
    <t>28mins</t>
  </si>
  <si>
    <t>02-04-2024</t>
  </si>
  <si>
    <t>17-03-2024</t>
  </si>
  <si>
    <t>79mins</t>
  </si>
  <si>
    <t>12-02-2024</t>
  </si>
  <si>
    <t>25-03-2024</t>
  </si>
  <si>
    <t>04-30-2024</t>
  </si>
  <si>
    <t>37mins</t>
  </si>
  <si>
    <t>25-04-2024</t>
  </si>
  <si>
    <t>06-05-2024</t>
  </si>
  <si>
    <t>24mins</t>
  </si>
  <si>
    <t>04-04-2024</t>
  </si>
  <si>
    <t>02-22-2024</t>
  </si>
  <si>
    <t>05-08-2024</t>
  </si>
  <si>
    <t>19-05-2024</t>
  </si>
  <si>
    <t>03-05-2024</t>
  </si>
  <si>
    <t>40mins</t>
  </si>
  <si>
    <t>17-06-2024</t>
  </si>
  <si>
    <t>01-02-2024</t>
  </si>
  <si>
    <t>30-03-2024</t>
  </si>
  <si>
    <t>27-03-2024</t>
  </si>
  <si>
    <t>48mins</t>
  </si>
  <si>
    <t>04-06-2024</t>
  </si>
  <si>
    <t>01-07-2024</t>
  </si>
  <si>
    <t>31-03-2024</t>
  </si>
  <si>
    <t>11-05-2024</t>
  </si>
  <si>
    <t>05-18-2024</t>
  </si>
  <si>
    <t>13-05-2024</t>
  </si>
  <si>
    <t>15-03-2024</t>
  </si>
  <si>
    <t>03-09-2024</t>
  </si>
  <si>
    <t>04-01-2024</t>
  </si>
  <si>
    <t>20-01-2024</t>
  </si>
  <si>
    <t>49mins</t>
  </si>
  <si>
    <t>01-04-2024</t>
  </si>
  <si>
    <t>24-03-2024</t>
  </si>
  <si>
    <t>13-03-2024</t>
  </si>
  <si>
    <t>02-07-2024</t>
  </si>
  <si>
    <t>28-05-2024</t>
  </si>
  <si>
    <t>04-14-2024</t>
  </si>
  <si>
    <t>15-01-2024</t>
  </si>
  <si>
    <t>10-07-2024</t>
  </si>
  <si>
    <t>01-19-2024</t>
  </si>
  <si>
    <t>03-21-2024</t>
  </si>
  <si>
    <t>06-03-2024</t>
  </si>
  <si>
    <t>10-02-2024</t>
  </si>
  <si>
    <t>25-01-2024</t>
  </si>
  <si>
    <t>W0W! M0M0</t>
  </si>
  <si>
    <t>15-05-2024</t>
  </si>
  <si>
    <t>02-13-2024</t>
  </si>
  <si>
    <t>19-06-2024</t>
  </si>
  <si>
    <t>03-24-2024</t>
  </si>
  <si>
    <t>54mins</t>
  </si>
  <si>
    <t>10-05-2024</t>
  </si>
  <si>
    <t>04-23-2024</t>
  </si>
  <si>
    <t>51mins</t>
  </si>
  <si>
    <t>06-24-2024</t>
  </si>
  <si>
    <t>03-10-2024</t>
  </si>
  <si>
    <t>19-07-2024</t>
  </si>
  <si>
    <t>14-07-2024</t>
  </si>
  <si>
    <t>12-06-2024</t>
  </si>
  <si>
    <t>06-13-2024</t>
  </si>
  <si>
    <t>21-01-2024</t>
  </si>
  <si>
    <t>18-04-2024</t>
  </si>
  <si>
    <t>24-04-2024</t>
  </si>
  <si>
    <t>Delvrd</t>
  </si>
  <si>
    <t>28-03-2024</t>
  </si>
  <si>
    <t>05-02-2024</t>
  </si>
  <si>
    <t>21-06-2024</t>
  </si>
  <si>
    <t>07-03-2024</t>
  </si>
  <si>
    <t>04-27-2024</t>
  </si>
  <si>
    <t>02-19-2024</t>
  </si>
  <si>
    <t>19-02-2024</t>
  </si>
  <si>
    <t>05-21-2024</t>
  </si>
  <si>
    <t>07-10-2024</t>
  </si>
  <si>
    <t>24-01-2024</t>
  </si>
  <si>
    <t>16-01-2024</t>
  </si>
  <si>
    <t>12-05-2024</t>
  </si>
  <si>
    <t>13-02-2024</t>
  </si>
  <si>
    <t>03-19-2024</t>
  </si>
  <si>
    <t>18-03-2024</t>
  </si>
  <si>
    <t>22-05-2024</t>
  </si>
  <si>
    <t>16-05-2024</t>
  </si>
  <si>
    <t>08-06-2024</t>
  </si>
  <si>
    <t>19-04-2024</t>
  </si>
  <si>
    <t>61mins</t>
  </si>
  <si>
    <t>25-06-2024</t>
  </si>
  <si>
    <t>17-02-2024</t>
  </si>
  <si>
    <t>16-04-2024</t>
  </si>
  <si>
    <t>22-01-2024</t>
  </si>
  <si>
    <t>02-08-2024</t>
  </si>
  <si>
    <t>27-06-2024</t>
  </si>
  <si>
    <t>03-20-2024</t>
  </si>
  <si>
    <t>13-06-2024</t>
  </si>
  <si>
    <t>P@R@Dise Biry@Ni</t>
  </si>
  <si>
    <t>01-03-2024</t>
  </si>
  <si>
    <t>18-05-2024</t>
  </si>
  <si>
    <t>06-22-2024</t>
  </si>
  <si>
    <t>62mins</t>
  </si>
  <si>
    <t>01-15-2024</t>
  </si>
  <si>
    <t>06-20-2024</t>
  </si>
  <si>
    <t>Row Labels</t>
  </si>
  <si>
    <t>Sum of Profit</t>
  </si>
  <si>
    <t>Grand Total</t>
  </si>
  <si>
    <t>Sum of Customer_Age</t>
  </si>
  <si>
    <t>Sum of Order_Value</t>
  </si>
  <si>
    <t>Sum of Number_of_Items</t>
  </si>
  <si>
    <t>Count of Order_ID</t>
  </si>
  <si>
    <t>Average of Profit</t>
  </si>
  <si>
    <t>TOTAL PROFIT</t>
  </si>
  <si>
    <t>AVERAGE DISCOUNT</t>
  </si>
  <si>
    <t xml:space="preserve">TOTAL ORDER </t>
  </si>
  <si>
    <t>AVERAGE ORDER VALUE</t>
  </si>
  <si>
    <t xml:space="preserve">           ZOMATO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</si>
</sst>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F800]dddd\,\ mmmm\ dd\,\ yyyy"/>
  </numFmts>
  <fonts count="24" x14ac:knownFonts="1">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b/>
      <sz val="26"/>
      <color theme="1"/>
      <name val="Amasis MT Pro Black"/>
      <family val="1"/>
    </font>
    <font>
      <sz val="11"/>
      <color theme="1"/>
      <name val="Amasis MT Pro Black"/>
      <family val="1"/>
    </font>
    <font>
      <sz val="12"/>
      <color theme="1"/>
      <name val="Amasis MT Pro Black"/>
      <family val="1"/>
    </font>
    <font>
      <sz val="14"/>
      <color theme="1"/>
      <name val="Amasis MT Pro Black"/>
      <family val="1"/>
    </font>
    <font>
      <b/>
      <sz val="12"/>
      <color theme="1"/>
      <name val="Amasis MT Pro Black"/>
      <family val="1"/>
    </font>
    <font>
      <sz val="10"/>
      <color theme="1"/>
      <name val="Century Schoolbook"/>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9" fillId="0" borderId="0" xfId="0" applyFont="1"/>
    <xf numFmtId="0" fontId="23" fillId="0" borderId="0" xfId="0" applyFont="1"/>
    <xf numFmtId="0" fontId="14" fillId="0" borderId="0" xfId="0" applyFont="1"/>
    <xf numFmtId="0" fontId="21" fillId="33" borderId="0" xfId="0" applyFont="1" applyFill="1" applyAlignment="1">
      <alignment horizontal="center" vertical="top" wrapText="1"/>
    </xf>
    <xf numFmtId="0" fontId="22" fillId="33" borderId="0" xfId="0" applyFont="1" applyFill="1" applyAlignment="1">
      <alignment horizontal="center" vertical="top"/>
    </xf>
    <xf numFmtId="0" fontId="20" fillId="33" borderId="0" xfId="0" applyFont="1" applyFill="1" applyAlignment="1">
      <alignment horizontal="center" vertical="top"/>
    </xf>
    <xf numFmtId="0" fontId="22" fillId="33" borderId="0" xfId="0" applyFont="1" applyFill="1" applyAlignment="1">
      <alignment horizontal="center" vertical="top" wrapText="1"/>
    </xf>
    <xf numFmtId="0" fontId="20" fillId="33" borderId="0" xfId="0" applyFont="1" applyFill="1" applyAlignment="1">
      <alignment horizontal="center" vertical="top" wrapText="1"/>
    </xf>
    <xf numFmtId="0" fontId="19" fillId="34" borderId="0" xfId="0" applyFont="1" applyFill="1" applyAlignment="1">
      <alignment horizontal="center"/>
    </xf>
    <xf numFmtId="0" fontId="18" fillId="35" borderId="0" xfId="0" applyFont="1" applyFill="1" applyAlignment="1">
      <alignment horizontal="left"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s>
  <tableStyles count="0" defaultTableStyle="TableStyleMedium2" defaultPivotStyle="PivotStyleLight16"/>
  <colors>
    <mruColors>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PAYMENT</a:t>
            </a:r>
            <a:r>
              <a:rPr lang="en-US" sz="1200" b="1" baseline="0">
                <a:solidFill>
                  <a:schemeClr val="tx1"/>
                </a:solidFill>
              </a:rPr>
              <a:t> WISE PROFIT</a:t>
            </a:r>
          </a:p>
        </c:rich>
      </c:tx>
      <c:layout>
        <c:manualLayout>
          <c:xMode val="edge"/>
          <c:yMode val="edge"/>
          <c:x val="0.24344080412661351"/>
          <c:y val="9.0854027861901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c:f>
              <c:strCache>
                <c:ptCount val="1"/>
                <c:pt idx="0">
                  <c:v>Total</c:v>
                </c:pt>
              </c:strCache>
            </c:strRef>
          </c:tx>
          <c:spPr>
            <a:solidFill>
              <a:schemeClr val="accent1"/>
            </a:solidFill>
            <a:ln>
              <a:noFill/>
            </a:ln>
            <a:effectLst/>
          </c:spPr>
          <c:invertIfNegative val="0"/>
          <c:cat>
            <c:strRef>
              <c:f>'PIVOT '!$A$4:$A$13</c:f>
              <c:strCache>
                <c:ptCount val="9"/>
                <c:pt idx="0">
                  <c:v>Cash Card</c:v>
                </c:pt>
                <c:pt idx="1">
                  <c:v>Cash On Delivery</c:v>
                </c:pt>
                <c:pt idx="2">
                  <c:v>Cod</c:v>
                </c:pt>
                <c:pt idx="3">
                  <c:v>Credit Card</c:v>
                </c:pt>
                <c:pt idx="4">
                  <c:v>Debit Card</c:v>
                </c:pt>
                <c:pt idx="5">
                  <c:v>Net Banking</c:v>
                </c:pt>
                <c:pt idx="6">
                  <c:v>Unknown</c:v>
                </c:pt>
                <c:pt idx="7">
                  <c:v>Upi</c:v>
                </c:pt>
                <c:pt idx="8">
                  <c:v>Wallet</c:v>
                </c:pt>
              </c:strCache>
            </c:strRef>
          </c:cat>
          <c:val>
            <c:numRef>
              <c:f>'PIVOT '!$B$4:$B$13</c:f>
              <c:numCache>
                <c:formatCode>General</c:formatCode>
                <c:ptCount val="9"/>
                <c:pt idx="0">
                  <c:v>385</c:v>
                </c:pt>
                <c:pt idx="1">
                  <c:v>5519</c:v>
                </c:pt>
                <c:pt idx="2">
                  <c:v>68</c:v>
                </c:pt>
                <c:pt idx="3">
                  <c:v>6978</c:v>
                </c:pt>
                <c:pt idx="4">
                  <c:v>6982</c:v>
                </c:pt>
                <c:pt idx="5">
                  <c:v>5295</c:v>
                </c:pt>
                <c:pt idx="6">
                  <c:v>1847</c:v>
                </c:pt>
                <c:pt idx="7">
                  <c:v>7958</c:v>
                </c:pt>
                <c:pt idx="8">
                  <c:v>6835</c:v>
                </c:pt>
              </c:numCache>
            </c:numRef>
          </c:val>
          <c:extLst>
            <c:ext xmlns:c16="http://schemas.microsoft.com/office/drawing/2014/chart" uri="{C3380CC4-5D6E-409C-BE32-E72D297353CC}">
              <c16:uniqueId val="{00000000-8C53-4858-96C2-AFCBB369FDDF}"/>
            </c:ext>
          </c:extLst>
        </c:ser>
        <c:dLbls>
          <c:showLegendKey val="0"/>
          <c:showVal val="0"/>
          <c:showCatName val="0"/>
          <c:showSerName val="0"/>
          <c:showPercent val="0"/>
          <c:showBubbleSize val="0"/>
        </c:dLbls>
        <c:gapWidth val="219"/>
        <c:overlap val="-27"/>
        <c:axId val="1696607152"/>
        <c:axId val="1209467248"/>
      </c:barChart>
      <c:catAx>
        <c:axId val="169660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67248"/>
        <c:crosses val="autoZero"/>
        <c:auto val="1"/>
        <c:lblAlgn val="ctr"/>
        <c:lblOffset val="100"/>
        <c:noMultiLvlLbl val="0"/>
      </c:catAx>
      <c:valAx>
        <c:axId val="120946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0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 WISE PROFIT</a:t>
            </a:r>
            <a:endParaRPr lang="en-US" b="1"/>
          </a:p>
        </c:rich>
      </c:tx>
      <c:layout>
        <c:manualLayout>
          <c:xMode val="edge"/>
          <c:yMode val="edge"/>
          <c:x val="0.15803264604810996"/>
          <c:y val="0.102685184153960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'!$E$3</c:f>
              <c:strCache>
                <c:ptCount val="1"/>
                <c:pt idx="0">
                  <c:v>Total</c:v>
                </c:pt>
              </c:strCache>
            </c:strRef>
          </c:tx>
          <c:spPr>
            <a:solidFill>
              <a:schemeClr val="accent1"/>
            </a:solidFill>
            <a:ln>
              <a:noFill/>
            </a:ln>
            <a:effectLst/>
          </c:spPr>
          <c:invertIfNegative val="0"/>
          <c:cat>
            <c:strRef>
              <c:f>'PIVOT '!$D$4:$D$8</c:f>
              <c:strCache>
                <c:ptCount val="4"/>
                <c:pt idx="0">
                  <c:v>Cancelled</c:v>
                </c:pt>
                <c:pt idx="1">
                  <c:v>Delivered</c:v>
                </c:pt>
                <c:pt idx="2">
                  <c:v>Refunded</c:v>
                </c:pt>
                <c:pt idx="3">
                  <c:v>Unknown</c:v>
                </c:pt>
              </c:strCache>
            </c:strRef>
          </c:cat>
          <c:val>
            <c:numRef>
              <c:f>'PIVOT '!$E$4:$E$8</c:f>
              <c:numCache>
                <c:formatCode>General</c:formatCode>
                <c:ptCount val="4"/>
                <c:pt idx="0">
                  <c:v>954</c:v>
                </c:pt>
                <c:pt idx="1">
                  <c:v>3354</c:v>
                </c:pt>
                <c:pt idx="2">
                  <c:v>571</c:v>
                </c:pt>
                <c:pt idx="3">
                  <c:v>33</c:v>
                </c:pt>
              </c:numCache>
            </c:numRef>
          </c:val>
          <c:extLst>
            <c:ext xmlns:c16="http://schemas.microsoft.com/office/drawing/2014/chart" uri="{C3380CC4-5D6E-409C-BE32-E72D297353CC}">
              <c16:uniqueId val="{00000000-209F-4874-AAD8-CAA0C70D1D7A}"/>
            </c:ext>
          </c:extLst>
        </c:ser>
        <c:dLbls>
          <c:showLegendKey val="0"/>
          <c:showVal val="0"/>
          <c:showCatName val="0"/>
          <c:showSerName val="0"/>
          <c:showPercent val="0"/>
          <c:showBubbleSize val="0"/>
        </c:dLbls>
        <c:gapWidth val="182"/>
        <c:axId val="2098131808"/>
        <c:axId val="793905712"/>
      </c:barChart>
      <c:catAx>
        <c:axId val="209813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05712"/>
        <c:crosses val="autoZero"/>
        <c:auto val="1"/>
        <c:lblAlgn val="ctr"/>
        <c:lblOffset val="100"/>
        <c:noMultiLvlLbl val="0"/>
      </c:catAx>
      <c:valAx>
        <c:axId val="793905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31808"/>
        <c:crosses val="autoZero"/>
        <c:crossBetween val="between"/>
      </c:valAx>
      <c:spPr>
        <a:noFill/>
        <a:ln>
          <a:noFill/>
        </a:ln>
        <a:effectLst/>
      </c:spPr>
    </c:plotArea>
    <c:legend>
      <c:legendPos val="r"/>
      <c:layout>
        <c:manualLayout>
          <c:xMode val="edge"/>
          <c:yMode val="edge"/>
          <c:x val="0.85756211644358904"/>
          <c:y val="0.5694878275137808"/>
          <c:w val="0.14243788355641077"/>
          <c:h val="8.09891400111801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'!$H$3</c:f>
              <c:strCache>
                <c:ptCount val="1"/>
                <c:pt idx="0">
                  <c:v>Total</c:v>
                </c:pt>
              </c:strCache>
            </c:strRef>
          </c:tx>
          <c:spPr>
            <a:solidFill>
              <a:schemeClr val="accent1"/>
            </a:solidFill>
            <a:ln>
              <a:noFill/>
            </a:ln>
            <a:effectLst/>
          </c:spPr>
          <c:invertIfNegative val="0"/>
          <c:cat>
            <c:strRef>
              <c:f>'PIVOT '!$G$4:$G$11</c:f>
              <c:strCache>
                <c:ptCount val="7"/>
                <c:pt idx="0">
                  <c:v>Dunzo</c:v>
                </c:pt>
                <c:pt idx="1">
                  <c:v>Grab</c:v>
                </c:pt>
                <c:pt idx="2">
                  <c:v>In-House</c:v>
                </c:pt>
                <c:pt idx="3">
                  <c:v>Rapido</c:v>
                </c:pt>
                <c:pt idx="4">
                  <c:v>Shadowfax</c:v>
                </c:pt>
                <c:pt idx="5">
                  <c:v>Unknown</c:v>
                </c:pt>
                <c:pt idx="6">
                  <c:v>Zomato Valet</c:v>
                </c:pt>
              </c:strCache>
            </c:strRef>
          </c:cat>
          <c:val>
            <c:numRef>
              <c:f>'PIVOT '!$H$4:$H$11</c:f>
              <c:numCache>
                <c:formatCode>General</c:formatCode>
                <c:ptCount val="7"/>
                <c:pt idx="0">
                  <c:v>7775</c:v>
                </c:pt>
                <c:pt idx="1">
                  <c:v>6944</c:v>
                </c:pt>
                <c:pt idx="2">
                  <c:v>6060</c:v>
                </c:pt>
                <c:pt idx="3">
                  <c:v>5228</c:v>
                </c:pt>
                <c:pt idx="4">
                  <c:v>7474</c:v>
                </c:pt>
                <c:pt idx="5">
                  <c:v>2142</c:v>
                </c:pt>
                <c:pt idx="6">
                  <c:v>6244</c:v>
                </c:pt>
              </c:numCache>
            </c:numRef>
          </c:val>
          <c:extLst>
            <c:ext xmlns:c16="http://schemas.microsoft.com/office/drawing/2014/chart" uri="{C3380CC4-5D6E-409C-BE32-E72D297353CC}">
              <c16:uniqueId val="{00000000-1E14-42EA-AC69-E23599199E23}"/>
            </c:ext>
          </c:extLst>
        </c:ser>
        <c:dLbls>
          <c:showLegendKey val="0"/>
          <c:showVal val="0"/>
          <c:showCatName val="0"/>
          <c:showSerName val="0"/>
          <c:showPercent val="0"/>
          <c:showBubbleSize val="0"/>
        </c:dLbls>
        <c:gapWidth val="182"/>
        <c:axId val="259180800"/>
        <c:axId val="1559516016"/>
      </c:barChart>
      <c:catAx>
        <c:axId val="25918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16016"/>
        <c:crosses val="autoZero"/>
        <c:auto val="1"/>
        <c:lblAlgn val="ctr"/>
        <c:lblOffset val="100"/>
        <c:noMultiLvlLbl val="0"/>
      </c:catAx>
      <c:valAx>
        <c:axId val="1559516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'!$B$16</c:f>
              <c:strCache>
                <c:ptCount val="1"/>
                <c:pt idx="0">
                  <c:v>Sum of Customer_Age</c:v>
                </c:pt>
              </c:strCache>
            </c:strRef>
          </c:tx>
          <c:spPr>
            <a:solidFill>
              <a:schemeClr val="accent1"/>
            </a:solidFill>
            <a:ln>
              <a:noFill/>
            </a:ln>
            <a:effectLst/>
          </c:spPr>
          <c:invertIfNegative val="0"/>
          <c:cat>
            <c:strRef>
              <c:f>'PIVOT '!$A$17:$A$24</c:f>
              <c:strCache>
                <c:ptCount val="7"/>
                <c:pt idx="0">
                  <c:v>Cancelled</c:v>
                </c:pt>
                <c:pt idx="1">
                  <c:v>Delivered</c:v>
                </c:pt>
                <c:pt idx="2">
                  <c:v>Delvrd</c:v>
                </c:pt>
                <c:pt idx="3">
                  <c:v>Failed</c:v>
                </c:pt>
                <c:pt idx="4">
                  <c:v>Pending</c:v>
                </c:pt>
                <c:pt idx="5">
                  <c:v>Refunded</c:v>
                </c:pt>
                <c:pt idx="6">
                  <c:v>Unknown</c:v>
                </c:pt>
              </c:strCache>
            </c:strRef>
          </c:cat>
          <c:val>
            <c:numRef>
              <c:f>'PIVOT '!$B$17:$B$24</c:f>
              <c:numCache>
                <c:formatCode>General</c:formatCode>
                <c:ptCount val="7"/>
                <c:pt idx="0">
                  <c:v>3131</c:v>
                </c:pt>
                <c:pt idx="1">
                  <c:v>10395</c:v>
                </c:pt>
                <c:pt idx="2">
                  <c:v>109</c:v>
                </c:pt>
                <c:pt idx="3">
                  <c:v>303</c:v>
                </c:pt>
                <c:pt idx="4">
                  <c:v>179</c:v>
                </c:pt>
                <c:pt idx="5">
                  <c:v>2951</c:v>
                </c:pt>
                <c:pt idx="6">
                  <c:v>581</c:v>
                </c:pt>
              </c:numCache>
            </c:numRef>
          </c:val>
          <c:extLst>
            <c:ext xmlns:c16="http://schemas.microsoft.com/office/drawing/2014/chart" uri="{C3380CC4-5D6E-409C-BE32-E72D297353CC}">
              <c16:uniqueId val="{00000000-6B78-4795-9426-7FF7388567DA}"/>
            </c:ext>
          </c:extLst>
        </c:ser>
        <c:ser>
          <c:idx val="1"/>
          <c:order val="1"/>
          <c:tx>
            <c:strRef>
              <c:f>'PIVOT '!$C$16</c:f>
              <c:strCache>
                <c:ptCount val="1"/>
                <c:pt idx="0">
                  <c:v>Sum of Order_Value</c:v>
                </c:pt>
              </c:strCache>
            </c:strRef>
          </c:tx>
          <c:spPr>
            <a:solidFill>
              <a:schemeClr val="accent2"/>
            </a:solidFill>
            <a:ln>
              <a:noFill/>
            </a:ln>
            <a:effectLst/>
          </c:spPr>
          <c:invertIfNegative val="0"/>
          <c:cat>
            <c:strRef>
              <c:f>'PIVOT '!$A$17:$A$24</c:f>
              <c:strCache>
                <c:ptCount val="7"/>
                <c:pt idx="0">
                  <c:v>Cancelled</c:v>
                </c:pt>
                <c:pt idx="1">
                  <c:v>Delivered</c:v>
                </c:pt>
                <c:pt idx="2">
                  <c:v>Delvrd</c:v>
                </c:pt>
                <c:pt idx="3">
                  <c:v>Failed</c:v>
                </c:pt>
                <c:pt idx="4">
                  <c:v>Pending</c:v>
                </c:pt>
                <c:pt idx="5">
                  <c:v>Refunded</c:v>
                </c:pt>
                <c:pt idx="6">
                  <c:v>Unknown</c:v>
                </c:pt>
              </c:strCache>
            </c:strRef>
          </c:cat>
          <c:val>
            <c:numRef>
              <c:f>'PIVOT '!$C$17:$C$24</c:f>
              <c:numCache>
                <c:formatCode>General</c:formatCode>
                <c:ptCount val="7"/>
                <c:pt idx="0">
                  <c:v>105737</c:v>
                </c:pt>
                <c:pt idx="1">
                  <c:v>316525</c:v>
                </c:pt>
                <c:pt idx="2">
                  <c:v>3636</c:v>
                </c:pt>
                <c:pt idx="3">
                  <c:v>7058</c:v>
                </c:pt>
                <c:pt idx="4">
                  <c:v>3871</c:v>
                </c:pt>
                <c:pt idx="5">
                  <c:v>94272</c:v>
                </c:pt>
                <c:pt idx="6">
                  <c:v>16129</c:v>
                </c:pt>
              </c:numCache>
            </c:numRef>
          </c:val>
          <c:extLst>
            <c:ext xmlns:c16="http://schemas.microsoft.com/office/drawing/2014/chart" uri="{C3380CC4-5D6E-409C-BE32-E72D297353CC}">
              <c16:uniqueId val="{00000001-6B78-4795-9426-7FF7388567DA}"/>
            </c:ext>
          </c:extLst>
        </c:ser>
        <c:ser>
          <c:idx val="2"/>
          <c:order val="2"/>
          <c:tx>
            <c:strRef>
              <c:f>'PIVOT '!$D$16</c:f>
              <c:strCache>
                <c:ptCount val="1"/>
                <c:pt idx="0">
                  <c:v>Sum of Number_of_Items</c:v>
                </c:pt>
              </c:strCache>
            </c:strRef>
          </c:tx>
          <c:spPr>
            <a:solidFill>
              <a:schemeClr val="accent3"/>
            </a:solidFill>
            <a:ln>
              <a:noFill/>
            </a:ln>
            <a:effectLst/>
          </c:spPr>
          <c:invertIfNegative val="0"/>
          <c:cat>
            <c:strRef>
              <c:f>'PIVOT '!$A$17:$A$24</c:f>
              <c:strCache>
                <c:ptCount val="7"/>
                <c:pt idx="0">
                  <c:v>Cancelled</c:v>
                </c:pt>
                <c:pt idx="1">
                  <c:v>Delivered</c:v>
                </c:pt>
                <c:pt idx="2">
                  <c:v>Delvrd</c:v>
                </c:pt>
                <c:pt idx="3">
                  <c:v>Failed</c:v>
                </c:pt>
                <c:pt idx="4">
                  <c:v>Pending</c:v>
                </c:pt>
                <c:pt idx="5">
                  <c:v>Refunded</c:v>
                </c:pt>
                <c:pt idx="6">
                  <c:v>Unknown</c:v>
                </c:pt>
              </c:strCache>
            </c:strRef>
          </c:cat>
          <c:val>
            <c:numRef>
              <c:f>'PIVOT '!$D$17:$D$24</c:f>
              <c:numCache>
                <c:formatCode>General</c:formatCode>
                <c:ptCount val="7"/>
                <c:pt idx="0">
                  <c:v>439</c:v>
                </c:pt>
                <c:pt idx="1">
                  <c:v>1356</c:v>
                </c:pt>
                <c:pt idx="2">
                  <c:v>12</c:v>
                </c:pt>
                <c:pt idx="3">
                  <c:v>21</c:v>
                </c:pt>
                <c:pt idx="4">
                  <c:v>29</c:v>
                </c:pt>
                <c:pt idx="5">
                  <c:v>401</c:v>
                </c:pt>
                <c:pt idx="6">
                  <c:v>37</c:v>
                </c:pt>
              </c:numCache>
            </c:numRef>
          </c:val>
          <c:extLst>
            <c:ext xmlns:c16="http://schemas.microsoft.com/office/drawing/2014/chart" uri="{C3380CC4-5D6E-409C-BE32-E72D297353CC}">
              <c16:uniqueId val="{00000002-6B78-4795-9426-7FF7388567DA}"/>
            </c:ext>
          </c:extLst>
        </c:ser>
        <c:dLbls>
          <c:showLegendKey val="0"/>
          <c:showVal val="0"/>
          <c:showCatName val="0"/>
          <c:showSerName val="0"/>
          <c:showPercent val="0"/>
          <c:showBubbleSize val="0"/>
        </c:dLbls>
        <c:gapWidth val="219"/>
        <c:overlap val="-27"/>
        <c:axId val="259177552"/>
        <c:axId val="164473584"/>
      </c:barChart>
      <c:catAx>
        <c:axId val="2591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73584"/>
        <c:crosses val="autoZero"/>
        <c:auto val="1"/>
        <c:lblAlgn val="ctr"/>
        <c:lblOffset val="100"/>
        <c:noMultiLvlLbl val="0"/>
      </c:catAx>
      <c:valAx>
        <c:axId val="16447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77552"/>
        <c:crosses val="autoZero"/>
        <c:crossBetween val="between"/>
      </c:valAx>
      <c:spPr>
        <a:noFill/>
        <a:ln>
          <a:noFill/>
        </a:ln>
        <a:effectLst/>
      </c:spPr>
    </c:plotArea>
    <c:legend>
      <c:legendPos val="r"/>
      <c:layout>
        <c:manualLayout>
          <c:xMode val="edge"/>
          <c:yMode val="edge"/>
          <c:x val="0.64590454343033932"/>
          <c:y val="0.29217519685039373"/>
          <c:w val="0.33333322434523766"/>
          <c:h val="0.4526862787984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!PivotTable15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'!$G$16</c:f>
              <c:strCache>
                <c:ptCount val="1"/>
                <c:pt idx="0">
                  <c:v>Sum of Number_of_Items</c:v>
                </c:pt>
              </c:strCache>
            </c:strRef>
          </c:tx>
          <c:spPr>
            <a:solidFill>
              <a:schemeClr val="accent1"/>
            </a:solidFill>
            <a:ln>
              <a:noFill/>
            </a:ln>
            <a:effectLst/>
          </c:spPr>
          <c:invertIfNegative val="0"/>
          <c:cat>
            <c:strRef>
              <c:f>'PIVOT '!$F$17:$F$26</c:f>
              <c:strCache>
                <c:ptCount val="9"/>
                <c:pt idx="0">
                  <c:v>Cash Card</c:v>
                </c:pt>
                <c:pt idx="1">
                  <c:v>Cash On Delivery</c:v>
                </c:pt>
                <c:pt idx="2">
                  <c:v>Cod</c:v>
                </c:pt>
                <c:pt idx="3">
                  <c:v>Credit Card</c:v>
                </c:pt>
                <c:pt idx="4">
                  <c:v>Debit Card</c:v>
                </c:pt>
                <c:pt idx="5">
                  <c:v>Net Banking</c:v>
                </c:pt>
                <c:pt idx="6">
                  <c:v>Unknown</c:v>
                </c:pt>
                <c:pt idx="7">
                  <c:v>Upi</c:v>
                </c:pt>
                <c:pt idx="8">
                  <c:v>Wallet</c:v>
                </c:pt>
              </c:strCache>
            </c:strRef>
          </c:cat>
          <c:val>
            <c:numRef>
              <c:f>'PIVOT '!$G$17:$G$26</c:f>
              <c:numCache>
                <c:formatCode>General</c:formatCode>
                <c:ptCount val="9"/>
                <c:pt idx="0">
                  <c:v>42</c:v>
                </c:pt>
                <c:pt idx="1">
                  <c:v>299</c:v>
                </c:pt>
                <c:pt idx="2">
                  <c:v>12</c:v>
                </c:pt>
                <c:pt idx="3">
                  <c:v>393</c:v>
                </c:pt>
                <c:pt idx="4">
                  <c:v>337</c:v>
                </c:pt>
                <c:pt idx="5">
                  <c:v>309</c:v>
                </c:pt>
                <c:pt idx="6">
                  <c:v>98</c:v>
                </c:pt>
                <c:pt idx="7">
                  <c:v>457</c:v>
                </c:pt>
                <c:pt idx="8">
                  <c:v>348</c:v>
                </c:pt>
              </c:numCache>
            </c:numRef>
          </c:val>
          <c:extLst>
            <c:ext xmlns:c16="http://schemas.microsoft.com/office/drawing/2014/chart" uri="{C3380CC4-5D6E-409C-BE32-E72D297353CC}">
              <c16:uniqueId val="{00000000-68DD-4B37-A3F6-AC493911CB16}"/>
            </c:ext>
          </c:extLst>
        </c:ser>
        <c:ser>
          <c:idx val="1"/>
          <c:order val="1"/>
          <c:tx>
            <c:strRef>
              <c:f>'PIVOT '!$H$16</c:f>
              <c:strCache>
                <c:ptCount val="1"/>
                <c:pt idx="0">
                  <c:v>Count of Order_ID</c:v>
                </c:pt>
              </c:strCache>
            </c:strRef>
          </c:tx>
          <c:spPr>
            <a:solidFill>
              <a:schemeClr val="accent2"/>
            </a:solidFill>
            <a:ln>
              <a:noFill/>
            </a:ln>
            <a:effectLst/>
          </c:spPr>
          <c:invertIfNegative val="0"/>
          <c:cat>
            <c:strRef>
              <c:f>'PIVOT '!$F$17:$F$26</c:f>
              <c:strCache>
                <c:ptCount val="9"/>
                <c:pt idx="0">
                  <c:v>Cash Card</c:v>
                </c:pt>
                <c:pt idx="1">
                  <c:v>Cash On Delivery</c:v>
                </c:pt>
                <c:pt idx="2">
                  <c:v>Cod</c:v>
                </c:pt>
                <c:pt idx="3">
                  <c:v>Credit Card</c:v>
                </c:pt>
                <c:pt idx="4">
                  <c:v>Debit Card</c:v>
                </c:pt>
                <c:pt idx="5">
                  <c:v>Net Banking</c:v>
                </c:pt>
                <c:pt idx="6">
                  <c:v>Unknown</c:v>
                </c:pt>
                <c:pt idx="7">
                  <c:v>Upi</c:v>
                </c:pt>
                <c:pt idx="8">
                  <c:v>Wallet</c:v>
                </c:pt>
              </c:strCache>
            </c:strRef>
          </c:cat>
          <c:val>
            <c:numRef>
              <c:f>'PIVOT '!$H$17:$H$26</c:f>
              <c:numCache>
                <c:formatCode>General</c:formatCode>
                <c:ptCount val="9"/>
                <c:pt idx="0">
                  <c:v>8</c:v>
                </c:pt>
                <c:pt idx="1">
                  <c:v>55</c:v>
                </c:pt>
                <c:pt idx="2">
                  <c:v>2</c:v>
                </c:pt>
                <c:pt idx="3">
                  <c:v>75</c:v>
                </c:pt>
                <c:pt idx="4">
                  <c:v>70</c:v>
                </c:pt>
                <c:pt idx="5">
                  <c:v>57</c:v>
                </c:pt>
                <c:pt idx="6">
                  <c:v>18</c:v>
                </c:pt>
                <c:pt idx="7">
                  <c:v>82</c:v>
                </c:pt>
                <c:pt idx="8">
                  <c:v>67</c:v>
                </c:pt>
              </c:numCache>
            </c:numRef>
          </c:val>
          <c:extLst>
            <c:ext xmlns:c16="http://schemas.microsoft.com/office/drawing/2014/chart" uri="{C3380CC4-5D6E-409C-BE32-E72D297353CC}">
              <c16:uniqueId val="{00000001-68DD-4B37-A3F6-AC493911CB16}"/>
            </c:ext>
          </c:extLst>
        </c:ser>
        <c:ser>
          <c:idx val="2"/>
          <c:order val="2"/>
          <c:tx>
            <c:strRef>
              <c:f>'PIVOT '!$I$16</c:f>
              <c:strCache>
                <c:ptCount val="1"/>
                <c:pt idx="0">
                  <c:v>Average of Profit</c:v>
                </c:pt>
              </c:strCache>
            </c:strRef>
          </c:tx>
          <c:spPr>
            <a:solidFill>
              <a:schemeClr val="accent3"/>
            </a:solidFill>
            <a:ln>
              <a:noFill/>
            </a:ln>
            <a:effectLst/>
          </c:spPr>
          <c:invertIfNegative val="0"/>
          <c:cat>
            <c:strRef>
              <c:f>'PIVOT '!$F$17:$F$26</c:f>
              <c:strCache>
                <c:ptCount val="9"/>
                <c:pt idx="0">
                  <c:v>Cash Card</c:v>
                </c:pt>
                <c:pt idx="1">
                  <c:v>Cash On Delivery</c:v>
                </c:pt>
                <c:pt idx="2">
                  <c:v>Cod</c:v>
                </c:pt>
                <c:pt idx="3">
                  <c:v>Credit Card</c:v>
                </c:pt>
                <c:pt idx="4">
                  <c:v>Debit Card</c:v>
                </c:pt>
                <c:pt idx="5">
                  <c:v>Net Banking</c:v>
                </c:pt>
                <c:pt idx="6">
                  <c:v>Unknown</c:v>
                </c:pt>
                <c:pt idx="7">
                  <c:v>Upi</c:v>
                </c:pt>
                <c:pt idx="8">
                  <c:v>Wallet</c:v>
                </c:pt>
              </c:strCache>
            </c:strRef>
          </c:cat>
          <c:val>
            <c:numRef>
              <c:f>'PIVOT '!$I$17:$I$26</c:f>
              <c:numCache>
                <c:formatCode>General</c:formatCode>
                <c:ptCount val="9"/>
                <c:pt idx="0">
                  <c:v>55</c:v>
                </c:pt>
                <c:pt idx="1">
                  <c:v>108.21568627450981</c:v>
                </c:pt>
                <c:pt idx="2">
                  <c:v>34</c:v>
                </c:pt>
                <c:pt idx="3">
                  <c:v>99.685714285714283</c:v>
                </c:pt>
                <c:pt idx="4">
                  <c:v>112.61290322580645</c:v>
                </c:pt>
                <c:pt idx="5">
                  <c:v>94.553571428571431</c:v>
                </c:pt>
                <c:pt idx="6">
                  <c:v>115.4375</c:v>
                </c:pt>
                <c:pt idx="7">
                  <c:v>102.02564102564102</c:v>
                </c:pt>
                <c:pt idx="8">
                  <c:v>103.56060606060606</c:v>
                </c:pt>
              </c:numCache>
            </c:numRef>
          </c:val>
          <c:extLst>
            <c:ext xmlns:c16="http://schemas.microsoft.com/office/drawing/2014/chart" uri="{C3380CC4-5D6E-409C-BE32-E72D297353CC}">
              <c16:uniqueId val="{00000002-68DD-4B37-A3F6-AC493911CB16}"/>
            </c:ext>
          </c:extLst>
        </c:ser>
        <c:dLbls>
          <c:showLegendKey val="0"/>
          <c:showVal val="0"/>
          <c:showCatName val="0"/>
          <c:showSerName val="0"/>
          <c:showPercent val="0"/>
          <c:showBubbleSize val="0"/>
        </c:dLbls>
        <c:gapWidth val="182"/>
        <c:axId val="259206320"/>
        <c:axId val="164458704"/>
      </c:barChart>
      <c:catAx>
        <c:axId val="25920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8704"/>
        <c:crosses val="autoZero"/>
        <c:auto val="1"/>
        <c:lblAlgn val="ctr"/>
        <c:lblOffset val="100"/>
        <c:noMultiLvlLbl val="0"/>
      </c:catAx>
      <c:valAx>
        <c:axId val="164458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0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[zomato_dataset.xlsx]PIVOT !PivotTable21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'!$K$3</c:f>
              <c:strCache>
                <c:ptCount val="1"/>
                <c:pt idx="0">
                  <c:v>Total</c:v>
                </c:pt>
              </c:strCache>
            </c:strRef>
          </c:tx>
          <c:spPr>
            <a:solidFill>
              <a:schemeClr val="accent1"/>
            </a:solidFill>
            <a:ln>
              <a:noFill/>
            </a:ln>
            <a:effectLst/>
          </c:spPr>
          <c:invertIfNegative val="0"/>
          <c:cat>
            <c:strRef>
              <c:f>'PIVOT '!$J$4:$J$18</c:f>
              <c:strCache>
                <c:ptCount val="14"/>
                <c:pt idx="0">
                  <c:v>Ahmedabad</c:v>
                </c:pt>
                <c:pt idx="1">
                  <c:v>Bangalore</c:v>
                </c:pt>
                <c:pt idx="2">
                  <c:v>Bengaluru</c:v>
                </c:pt>
                <c:pt idx="3">
                  <c:v>Bombay</c:v>
                </c:pt>
                <c:pt idx="4">
                  <c:v>Calcutta</c:v>
                </c:pt>
                <c:pt idx="5">
                  <c:v>Chennai</c:v>
                </c:pt>
                <c:pt idx="6">
                  <c:v>Delhi</c:v>
                </c:pt>
                <c:pt idx="7">
                  <c:v>Hyderabad</c:v>
                </c:pt>
                <c:pt idx="8">
                  <c:v>Jaipur</c:v>
                </c:pt>
                <c:pt idx="9">
                  <c:v>Kolkata</c:v>
                </c:pt>
                <c:pt idx="10">
                  <c:v>Lucknow</c:v>
                </c:pt>
                <c:pt idx="11">
                  <c:v>Mumbai</c:v>
                </c:pt>
                <c:pt idx="12">
                  <c:v>Pune</c:v>
                </c:pt>
                <c:pt idx="13">
                  <c:v>Unknown</c:v>
                </c:pt>
              </c:strCache>
            </c:strRef>
          </c:cat>
          <c:val>
            <c:numRef>
              <c:f>'PIVOT '!$K$4:$K$18</c:f>
              <c:numCache>
                <c:formatCode>General</c:formatCode>
                <c:ptCount val="14"/>
                <c:pt idx="0">
                  <c:v>57237</c:v>
                </c:pt>
                <c:pt idx="1">
                  <c:v>52956</c:v>
                </c:pt>
                <c:pt idx="2">
                  <c:v>1739</c:v>
                </c:pt>
                <c:pt idx="3">
                  <c:v>6914</c:v>
                </c:pt>
                <c:pt idx="4">
                  <c:v>3990</c:v>
                </c:pt>
                <c:pt idx="5">
                  <c:v>38891</c:v>
                </c:pt>
                <c:pt idx="6">
                  <c:v>49771</c:v>
                </c:pt>
                <c:pt idx="7">
                  <c:v>55512</c:v>
                </c:pt>
                <c:pt idx="8">
                  <c:v>54372</c:v>
                </c:pt>
                <c:pt idx="9">
                  <c:v>59436</c:v>
                </c:pt>
                <c:pt idx="10">
                  <c:v>53286</c:v>
                </c:pt>
                <c:pt idx="11">
                  <c:v>57284</c:v>
                </c:pt>
                <c:pt idx="12">
                  <c:v>45942</c:v>
                </c:pt>
                <c:pt idx="13">
                  <c:v>9898</c:v>
                </c:pt>
              </c:numCache>
            </c:numRef>
          </c:val>
          <c:extLst>
            <c:ext xmlns:c16="http://schemas.microsoft.com/office/drawing/2014/chart" uri="{C3380CC4-5D6E-409C-BE32-E72D297353CC}">
              <c16:uniqueId val="{00000000-3731-489E-9499-A27DB66A4F00}"/>
            </c:ext>
          </c:extLst>
        </c:ser>
        <c:dLbls>
          <c:showLegendKey val="0"/>
          <c:showVal val="0"/>
          <c:showCatName val="0"/>
          <c:showSerName val="0"/>
          <c:showPercent val="0"/>
          <c:showBubbleSize val="0"/>
        </c:dLbls>
        <c:gapWidth val="219"/>
        <c:overlap val="-27"/>
        <c:axId val="159265984"/>
        <c:axId val="164479344"/>
      </c:barChart>
      <c:catAx>
        <c:axId val="1592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79344"/>
        <c:crosses val="autoZero"/>
        <c:auto val="1"/>
        <c:lblAlgn val="ctr"/>
        <c:lblOffset val="100"/>
        <c:noMultiLvlLbl val="0"/>
      </c:catAx>
      <c:valAx>
        <c:axId val="16447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6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104384</xdr:colOff>
      <xdr:row>8</xdr:row>
      <xdr:rowOff>62631</xdr:rowOff>
    </xdr:from>
    <xdr:to>
      <xdr:col>5</xdr:col>
      <xdr:colOff>104384</xdr:colOff>
      <xdr:row>23</xdr:row>
      <xdr:rowOff>156575</xdr:rowOff>
    </xdr:to>
    <xdr:graphicFrame macro="">
      <xdr:nvGraphicFramePr>
        <xdr:cNvPr id="2" name="Chart 1">
          <a:extLst>
            <a:ext uri="{FF2B5EF4-FFF2-40B4-BE49-F238E27FC236}">
              <a16:creationId xmlns:a16="http://schemas.microsoft.com/office/drawing/2014/main" id="{247171A6-C5B8-16A4-6A90-72EEF2DD4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90291</xdr:colOff>
      <xdr:row>8</xdr:row>
      <xdr:rowOff>52191</xdr:rowOff>
    </xdr:from>
    <xdr:to>
      <xdr:col>10</xdr:col>
      <xdr:colOff>344464</xdr:colOff>
      <xdr:row>23</xdr:row>
      <xdr:rowOff>167014</xdr:rowOff>
    </xdr:to>
    <xdr:graphicFrame macro="">
      <xdr:nvGraphicFramePr>
        <xdr:cNvPr id="3" name="Chart 2">
          <a:extLst>
            <a:ext uri="{FF2B5EF4-FFF2-40B4-BE49-F238E27FC236}">
              <a16:creationId xmlns:a16="http://schemas.microsoft.com/office/drawing/2014/main" id="{B7B04D48-D4DB-61DA-A734-90169BF89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368300</xdr:colOff>
      <xdr:row>8</xdr:row>
      <xdr:rowOff>38100</xdr:rowOff>
    </xdr:from>
    <xdr:to>
      <xdr:col>18</xdr:col>
      <xdr:colOff>31102</xdr:colOff>
      <xdr:row>23</xdr:row>
      <xdr:rowOff>119934</xdr:rowOff>
    </xdr:to>
    <xdr:graphicFrame macro="">
      <xdr:nvGraphicFramePr>
        <xdr:cNvPr id="4" name="Chart 1">
          <a:extLst>
            <a:ext uri="{FF2B5EF4-FFF2-40B4-BE49-F238E27FC236}">
              <a16:creationId xmlns:a16="http://schemas.microsoft.com/office/drawing/2014/main" id="{CAE8C4F1-DAAC-EE42-DDEF-058B2E228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20877</xdr:colOff>
      <xdr:row>24</xdr:row>
      <xdr:rowOff>15761</xdr:rowOff>
    </xdr:from>
    <xdr:to>
      <xdr:col>5</xdr:col>
      <xdr:colOff>52192</xdr:colOff>
      <xdr:row>39</xdr:row>
      <xdr:rowOff>73068</xdr:rowOff>
    </xdr:to>
    <xdr:graphicFrame macro="">
      <xdr:nvGraphicFramePr>
        <xdr:cNvPr id="5" name="Chart 2">
          <a:extLst>
            <a:ext uri="{FF2B5EF4-FFF2-40B4-BE49-F238E27FC236}">
              <a16:creationId xmlns:a16="http://schemas.microsoft.com/office/drawing/2014/main" id="{3687EEE8-EE92-60BA-69E4-329BE5B64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107202</xdr:colOff>
      <xdr:row>23</xdr:row>
      <xdr:rowOff>181939</xdr:rowOff>
    </xdr:from>
    <xdr:to>
      <xdr:col>10</xdr:col>
      <xdr:colOff>386219</xdr:colOff>
      <xdr:row>39</xdr:row>
      <xdr:rowOff>73068</xdr:rowOff>
    </xdr:to>
    <xdr:graphicFrame macro="">
      <xdr:nvGraphicFramePr>
        <xdr:cNvPr id="6" name="Chart 3">
          <a:extLst>
            <a:ext uri="{FF2B5EF4-FFF2-40B4-BE49-F238E27FC236}">
              <a16:creationId xmlns:a16="http://schemas.microsoft.com/office/drawing/2014/main" id="{812B2BCA-DA09-6FE8-ADC8-E74CE7D46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404069</xdr:colOff>
      <xdr:row>23</xdr:row>
      <xdr:rowOff>130582</xdr:rowOff>
    </xdr:from>
    <xdr:to>
      <xdr:col>18</xdr:col>
      <xdr:colOff>835</xdr:colOff>
      <xdr:row>39</xdr:row>
      <xdr:rowOff>52192</xdr:rowOff>
    </xdr:to>
    <xdr:graphicFrame macro="">
      <xdr:nvGraphicFramePr>
        <xdr:cNvPr id="7" name="Chart 4">
          <a:extLst>
            <a:ext uri="{FF2B5EF4-FFF2-40B4-BE49-F238E27FC236}">
              <a16:creationId xmlns:a16="http://schemas.microsoft.com/office/drawing/2014/main" id="{2016EDF3-4F4C-65A4-7AD1-D6335F7FF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20473</xdr:colOff>
      <xdr:row>28</xdr:row>
      <xdr:rowOff>3753</xdr:rowOff>
    </xdr:from>
    <xdr:to>
      <xdr:col>20</xdr:col>
      <xdr:colOff>457201</xdr:colOff>
      <xdr:row>40</xdr:row>
      <xdr:rowOff>101601</xdr:rowOff>
    </xdr:to>
    <mc:AlternateContent xmlns:mc="http://schemas.openxmlformats.org/markup-compatibility/2006" xmlns:a14="http://schemas.microsoft.com/office/drawing/2010/main">
      <mc:Choice Requires="a14">
        <xdr:graphicFrame macro="">
          <xdr:nvGraphicFramePr>
            <xdr:cNvPr id="8" name="Restaurant">
              <a:extLst>
                <a:ext uri="{FF2B5EF4-FFF2-40B4-BE49-F238E27FC236}">
                  <a16:creationId xmlns:a16="http://schemas.microsoft.com/office/drawing/2014/main" id="{084C3E21-EEC5-88DF-C723-756ECFDC16D4}"/>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11348873" y="5032953"/>
              <a:ext cx="1782928" cy="2231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26513</xdr:colOff>
      <xdr:row>3</xdr:row>
      <xdr:rowOff>114300</xdr:rowOff>
    </xdr:from>
    <xdr:to>
      <xdr:col>20</xdr:col>
      <xdr:colOff>469901</xdr:colOff>
      <xdr:row>14</xdr:row>
      <xdr:rowOff>153935</xdr:rowOff>
    </xdr:to>
    <mc:AlternateContent xmlns:mc="http://schemas.openxmlformats.org/markup-compatibility/2006" xmlns:a14="http://schemas.microsoft.com/office/drawing/2010/main">
      <mc:Choice Requires="a14">
        <xdr:graphicFrame macro="">
          <xdr:nvGraphicFramePr>
            <xdr:cNvPr id="9" name="Cuisine">
              <a:extLst>
                <a:ext uri="{FF2B5EF4-FFF2-40B4-BE49-F238E27FC236}">
                  <a16:creationId xmlns:a16="http://schemas.microsoft.com/office/drawing/2014/main" id="{78295B6F-2D98-33EF-AF94-85CB5AB9BA17}"/>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10300813" y="647700"/>
              <a:ext cx="1789588" cy="2046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xdr:colOff>
      <xdr:row>15</xdr:row>
      <xdr:rowOff>63500</xdr:rowOff>
    </xdr:from>
    <xdr:to>
      <xdr:col>20</xdr:col>
      <xdr:colOff>469900</xdr:colOff>
      <xdr:row>27</xdr:row>
      <xdr:rowOff>107315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79DACF98-A70C-CF86-72F8-F665C589509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20020" y="2781300"/>
              <a:ext cx="1770380" cy="2177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124918</xdr:colOff>
      <xdr:row>0</xdr:row>
      <xdr:rowOff>12700</xdr:rowOff>
    </xdr:from>
    <xdr:to>
      <xdr:col>16</xdr:col>
      <xdr:colOff>112426</xdr:colOff>
      <xdr:row>8</xdr:row>
      <xdr:rowOff>12491</xdr:rowOff>
    </xdr:to>
    <xdr:sp macro="" textlink="">
      <xdr:nvSpPr>
        <xdr:cNvPr id="12" name="Rectangle 11">
          <a:extLst>
            <a:ext uri="{FF2B5EF4-FFF2-40B4-BE49-F238E27FC236}">
              <a16:creationId xmlns:a16="http://schemas.microsoft.com/office/drawing/2014/main" id="{D2DD0182-FF1E-D97B-9972-E560039AC738}"/>
            </a:ext>
          </a:extLst>
        </xdr:cNvPr>
        <xdr:cNvSpPr/>
      </xdr:nvSpPr>
      <xdr:spPr>
        <a:xfrm>
          <a:off x="8731770" y="12700"/>
          <a:ext cx="2011181" cy="148631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400" b="1">
            <a:solidFill>
              <a:schemeClr val="tx1"/>
            </a:solidFill>
            <a:latin typeface="Amasis MT Pro Black" panose="02040A04050005020304" pitchFamily="18" charset="0"/>
          </a:endParaRPr>
        </a:p>
      </xdr:txBody>
    </xdr:sp>
    <xdr:clientData/>
  </xdr:twoCellAnchor>
  <xdr:twoCellAnchor>
    <xdr:from>
      <xdr:col>0</xdr:col>
      <xdr:colOff>393700</xdr:colOff>
      <xdr:row>39</xdr:row>
      <xdr:rowOff>152400</xdr:rowOff>
    </xdr:from>
    <xdr:to>
      <xdr:col>7</xdr:col>
      <xdr:colOff>533400</xdr:colOff>
      <xdr:row>53</xdr:row>
      <xdr:rowOff>49967</xdr:rowOff>
    </xdr:to>
    <xdr:sp macro="" textlink="">
      <xdr:nvSpPr>
        <xdr:cNvPr id="10" name="Rectangle 9">
          <a:extLst>
            <a:ext uri="{FF2B5EF4-FFF2-40B4-BE49-F238E27FC236}">
              <a16:creationId xmlns:a16="http://schemas.microsoft.com/office/drawing/2014/main" id="{4794E826-7BD1-E0EC-6CB6-FDE06552068F}"/>
            </a:ext>
          </a:extLst>
        </xdr:cNvPr>
        <xdr:cNvSpPr/>
      </xdr:nvSpPr>
      <xdr:spPr>
        <a:xfrm>
          <a:off x="393700" y="7060367"/>
          <a:ext cx="4861602" cy="234596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latin typeface="Amasis MT Pro Black" panose="02040A04050005020304" pitchFamily="18" charset="0"/>
            </a:rPr>
            <a:t>KEY INSIGHTS</a:t>
          </a:r>
        </a:p>
        <a:p>
          <a:pPr algn="ctr"/>
          <a:endParaRPr lang="en-IN" sz="2000" b="1">
            <a:latin typeface="Amasis MT Pro Black" panose="02040A04050005020304" pitchFamily="18" charset="0"/>
          </a:endParaRPr>
        </a:p>
        <a:p>
          <a:pPr algn="l" rtl="0"/>
          <a:r>
            <a:rPr lang="en-IN" sz="1800" b="1" i="0" baseline="0">
              <a:solidFill>
                <a:srgbClr val="FF0000"/>
              </a:solidFill>
              <a:effectLst/>
              <a:latin typeface="+mn-lt"/>
              <a:ea typeface="+mn-ea"/>
              <a:cs typeface="+mn-cs"/>
            </a:rPr>
            <a:t>Kolkata recorded the highest order value.</a:t>
          </a:r>
          <a:endParaRPr lang="en-IN" sz="3600">
            <a:solidFill>
              <a:srgbClr val="FF0000"/>
            </a:solidFill>
            <a:effectLst/>
          </a:endParaRPr>
        </a:p>
        <a:p>
          <a:pPr algn="l" rtl="0"/>
          <a:r>
            <a:rPr lang="en-IN" sz="1800" b="1" i="0" baseline="0">
              <a:solidFill>
                <a:srgbClr val="FF0000"/>
              </a:solidFill>
              <a:effectLst/>
              <a:latin typeface="+mn-lt"/>
              <a:ea typeface="+mn-ea"/>
              <a:cs typeface="+mn-cs"/>
            </a:rPr>
            <a:t>Mughlai cuisine showed strong sales performance.</a:t>
          </a:r>
          <a:endParaRPr lang="en-IN" sz="3600">
            <a:solidFill>
              <a:srgbClr val="FF0000"/>
            </a:solidFill>
            <a:effectLst/>
          </a:endParaRPr>
        </a:p>
        <a:p>
          <a:pPr algn="l" rtl="0"/>
          <a:r>
            <a:rPr lang="en-IN" sz="1800" b="1" i="0" baseline="0">
              <a:solidFill>
                <a:srgbClr val="FF0000"/>
              </a:solidFill>
              <a:effectLst/>
              <a:latin typeface="+mn-lt"/>
              <a:ea typeface="+mn-ea"/>
              <a:cs typeface="+mn-cs"/>
            </a:rPr>
            <a:t>Order cancellations and refunds need attention.</a:t>
          </a:r>
          <a:endParaRPr lang="en-IN" sz="3600">
            <a:solidFill>
              <a:srgbClr val="FF0000"/>
            </a:solidFill>
            <a:effectLst/>
          </a:endParaRPr>
        </a:p>
        <a:p>
          <a:pPr algn="ctr"/>
          <a:endParaRPr lang="en-IN" sz="2000" b="1">
            <a:latin typeface="Amasis MT Pro Black" panose="02040A04050005020304" pitchFamily="18" charset="0"/>
          </a:endParaRPr>
        </a:p>
      </xdr:txBody>
    </xdr:sp>
    <xdr:clientData/>
  </xdr:twoCellAnchor>
  <xdr:twoCellAnchor>
    <xdr:from>
      <xdr:col>9</xdr:col>
      <xdr:colOff>38100</xdr:colOff>
      <xdr:row>39</xdr:row>
      <xdr:rowOff>63500</xdr:rowOff>
    </xdr:from>
    <xdr:to>
      <xdr:col>16</xdr:col>
      <xdr:colOff>558800</xdr:colOff>
      <xdr:row>53</xdr:row>
      <xdr:rowOff>62459</xdr:rowOff>
    </xdr:to>
    <xdr:sp macro="" textlink="">
      <xdr:nvSpPr>
        <xdr:cNvPr id="17" name="Rectangle 16">
          <a:extLst>
            <a:ext uri="{FF2B5EF4-FFF2-40B4-BE49-F238E27FC236}">
              <a16:creationId xmlns:a16="http://schemas.microsoft.com/office/drawing/2014/main" id="{D315D907-BDBF-85D5-8DC1-B215B8E92F85}"/>
            </a:ext>
          </a:extLst>
        </xdr:cNvPr>
        <xdr:cNvSpPr/>
      </xdr:nvSpPr>
      <xdr:spPr>
        <a:xfrm>
          <a:off x="6109116" y="6971467"/>
          <a:ext cx="5080209" cy="244735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latin typeface="Amasis MT Pro Black" panose="02040A04050005020304" pitchFamily="18" charset="0"/>
          </a:endParaRPr>
        </a:p>
        <a:p>
          <a:pPr algn="ctr"/>
          <a:endParaRPr lang="en-IN" sz="1800" b="1">
            <a:latin typeface="Amasis MT Pro Black" panose="02040A040500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latin typeface="Amasis MT Pro Black" panose="02040A04050005020304" pitchFamily="18" charset="0"/>
            </a:rPr>
            <a:t>CONCLUSION</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800"/>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rgbClr val="FF0000"/>
              </a:solidFill>
            </a:rPr>
            <a:t>Improving order completion and reducing cancellations and refunds may help improve business performance.</a:t>
          </a:r>
        </a:p>
        <a:p>
          <a:pPr algn="ctr"/>
          <a:endParaRPr lang="en-IN" sz="1800" b="1">
            <a:latin typeface="Amasis MT Pro Black" panose="02040A04050005020304" pitchFamily="18" charset="0"/>
          </a:endParaRPr>
        </a:p>
      </xdr:txBody>
    </xdr:sp>
    <xdr:clientData/>
  </xdr:twoCellAnchor>
  <xdr:twoCellAnchor>
    <xdr:from>
      <xdr:col>25</xdr:col>
      <xdr:colOff>368508</xdr:colOff>
      <xdr:row>43</xdr:row>
      <xdr:rowOff>152400</xdr:rowOff>
    </xdr:from>
    <xdr:to>
      <xdr:col>32</xdr:col>
      <xdr:colOff>203409</xdr:colOff>
      <xdr:row>54</xdr:row>
      <xdr:rowOff>165099</xdr:rowOff>
    </xdr:to>
    <xdr:sp macro="" textlink="">
      <xdr:nvSpPr>
        <xdr:cNvPr id="1031" name="Text Box 7">
          <a:extLst>
            <a:ext uri="{FF2B5EF4-FFF2-40B4-BE49-F238E27FC236}">
              <a16:creationId xmlns:a16="http://schemas.microsoft.com/office/drawing/2014/main" id="{C0239973-BCC4-E42A-D192-AB950444BA69}"/>
            </a:ext>
          </a:extLst>
        </xdr:cNvPr>
        <xdr:cNvSpPr txBox="1">
          <a:spLocks noChangeArrowheads="1"/>
        </xdr:cNvSpPr>
      </xdr:nvSpPr>
      <xdr:spPr bwMode="auto">
        <a:xfrm>
          <a:off x="16445459" y="7759908"/>
          <a:ext cx="4556802" cy="1936437"/>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800" b="1" i="0" u="none" strike="noStrike" baseline="0">
            <a:solidFill>
              <a:schemeClr val="tx1"/>
            </a:solidFill>
            <a:latin typeface="Congenial Black" panose="020F0502020204030204" pitchFamily="2" charset="0"/>
          </a:endParaRPr>
        </a:p>
      </xdr:txBody>
    </xdr:sp>
    <xdr:clientData/>
  </xdr:twoCellAnchor>
  <xdr:twoCellAnchor editAs="oneCell">
    <xdr:from>
      <xdr:col>11</xdr:col>
      <xdr:colOff>549639</xdr:colOff>
      <xdr:row>0</xdr:row>
      <xdr:rowOff>0</xdr:rowOff>
    </xdr:from>
    <xdr:to>
      <xdr:col>16</xdr:col>
      <xdr:colOff>662065</xdr:colOff>
      <xdr:row>7</xdr:row>
      <xdr:rowOff>168640</xdr:rowOff>
    </xdr:to>
    <xdr:pic>
      <xdr:nvPicPr>
        <xdr:cNvPr id="14" name="Picture 13">
          <a:extLst>
            <a:ext uri="{FF2B5EF4-FFF2-40B4-BE49-F238E27FC236}">
              <a16:creationId xmlns:a16="http://schemas.microsoft.com/office/drawing/2014/main" id="{204849BF-2CA7-CE96-C341-85E38B1EECEB}"/>
            </a:ext>
          </a:extLst>
        </xdr:cNvPr>
        <xdr:cNvPicPr>
          <a:picLocks noChangeAspect="1"/>
        </xdr:cNvPicPr>
      </xdr:nvPicPr>
      <xdr:blipFill>
        <a:blip xmlns:r="http://schemas.openxmlformats.org/officeDocument/2006/relationships" r:embed="rId7"/>
        <a:stretch>
          <a:fillRect/>
        </a:stretch>
      </xdr:blipFill>
      <xdr:spPr>
        <a:xfrm>
          <a:off x="7969770" y="0"/>
          <a:ext cx="3322820" cy="148027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10.498231597223" createdVersion="8" refreshedVersion="8" minRefreshableVersion="3" recordCount="434" xr:uid="{332D971A-FA15-4A4F-9A21-F6257EB6DB26}">
  <cacheSource type="worksheet">
    <worksheetSource name="Table1_1"/>
  </cacheSource>
  <cacheFields count="17">
    <cacheField name="Order_ID" numFmtId="0">
      <sharedItems/>
    </cacheField>
    <cacheField name="Order_Date" numFmtId="165">
      <sharedItems containsSemiMixedTypes="0" containsNonDate="0" containsDate="1" containsString="0" minDate="2026-01-01T00:00:00" maxDate="2027-01-01T00:00:00"/>
    </cacheField>
    <cacheField name="Order_Date.1" numFmtId="0">
      <sharedItems containsBlank="1"/>
    </cacheField>
    <cacheField name="Order_Date.2" numFmtId="164">
      <sharedItems containsSemiMixedTypes="0" containsNonDate="0" containsDate="1" containsString="0" minDate="1899-12-30T00:00:00" maxDate="1899-12-31T00:00:00"/>
    </cacheField>
    <cacheField name="Restaurant" numFmtId="0">
      <sharedItems count="22">
        <s v="Haldiram'S"/>
        <s v="Burger King"/>
        <s v="Behrouz Biryani"/>
        <s v="Bikanervala"/>
        <s v="Wow! Momo"/>
        <s v="B@Rbeque N@Ti0N"/>
        <s v="Dominos Pizza"/>
        <s v="Subway"/>
        <s v="Kfc"/>
        <s v="Paradise Biryani"/>
        <s v="Chai Point"/>
        <s v="Bik@Nerv@L@"/>
        <s v="Faasos"/>
        <s v="Unknown"/>
        <s v="Barbeque Nation"/>
        <s v="H@Ldir@M'S"/>
        <s v="Ch@I P0Int"/>
        <s v="Behr0Uz Biry@Ni"/>
        <s v="D0Min0S Pizz@"/>
        <s v="Subw@Y"/>
        <s v="W0W! M0M0"/>
        <s v="P@R@Dise Biry@Ni"/>
      </sharedItems>
    </cacheField>
    <cacheField name="City" numFmtId="0">
      <sharedItems/>
    </cacheField>
    <cacheField name="Cuisine" numFmtId="0">
      <sharedItems count="34">
        <s v="Street Food"/>
        <s v="Chinese"/>
        <s v="Fast Food"/>
        <s v="North Indian, Italian"/>
        <s v="Italian"/>
        <s v="North Indian"/>
        <s v="Unknown"/>
        <s v="Desserts"/>
        <s v="Mughlai"/>
        <s v="Bakery, Desserts"/>
        <s v="Bakery"/>
        <s v="South Indian"/>
        <s v="Biryani"/>
        <s v="Mughlai, South Indian"/>
        <s v="Italian, Fast Food"/>
        <s v="North Indian, Street Food"/>
        <s v="Italian, Mughlai"/>
        <s v="Biryani, Chinese"/>
        <s v="Fast Food, Bakery"/>
        <s v="Fast Food, Mughlai"/>
        <s v="Desserts, Chinese"/>
        <s v="South Indian, Chinese"/>
        <s v="Fast Food, Italian"/>
        <s v="Bakery, Street Food"/>
        <s v="Italian, Italian"/>
        <s v="North Indian, Chinese"/>
        <s v="Fast Food, Biryani"/>
        <s v="Desserts, Desserts"/>
        <s v="South Indian, North Indian"/>
        <s v="Fast Food, Desserts"/>
        <s v="Chinese, Fast Food"/>
        <s v="Italian, North Indian"/>
        <s v="North Indian, Mughlai"/>
        <s v="Italian, Desserts"/>
      </sharedItems>
    </cacheField>
    <cacheField name="Customer_Age" numFmtId="0">
      <sharedItems containsSemiMixedTypes="0" containsString="0" containsNumber="1" containsInteger="1" minValue="18" maxValue="65"/>
    </cacheField>
    <cacheField name="Rating" numFmtId="0">
      <sharedItems containsSemiMixedTypes="0" containsString="0" containsNumber="1" minValue="1" maxValue="5"/>
    </cacheField>
    <cacheField name="Delivery_Time" numFmtId="0">
      <sharedItems/>
    </cacheField>
    <cacheField name="Order_Value" numFmtId="0">
      <sharedItems containsSemiMixedTypes="0" containsString="0" containsNumber="1" containsInteger="1" minValue="123" maxValue="2496"/>
    </cacheField>
    <cacheField name="Discount" numFmtId="0">
      <sharedItems containsSemiMixedTypes="0" containsString="0" containsNumber="1" minValue="0" maxValue="150"/>
    </cacheField>
    <cacheField name="Payment_Mode" numFmtId="0">
      <sharedItems count="9">
        <s v="Upi"/>
        <s v="Wallet"/>
        <s v="Cash On Delivery"/>
        <s v="Cash Card"/>
        <s v="Credit Card"/>
        <s v="Debit Card"/>
        <s v="Unknown"/>
        <s v="Net Banking"/>
        <s v="Cod"/>
      </sharedItems>
    </cacheField>
    <cacheField name="Order_Status" numFmtId="0">
      <sharedItems count="7">
        <s v="Failed"/>
        <s v="Delivered"/>
        <s v="Refunded"/>
        <s v="Cancelled"/>
        <s v="Pending"/>
        <s v="Unknown"/>
        <s v="Delvrd"/>
      </sharedItems>
    </cacheField>
    <cacheField name="Number_of_Items" numFmtId="0">
      <sharedItems containsSemiMixedTypes="0" containsString="0" containsNumber="1" containsInteger="1" minValue="0" maxValue="10"/>
    </cacheField>
    <cacheField name="Delivery_Partner" numFmtId="0">
      <sharedItems/>
    </cacheField>
    <cacheField name="Profit" numFmtId="0">
      <sharedItems containsString="0" containsBlank="1" containsNumber="1" containsInteger="1" minValue="0" maxValue="250"/>
    </cacheField>
  </cacheFields>
  <extLst>
    <ext xmlns:x14="http://schemas.microsoft.com/office/spreadsheetml/2009/9/main" uri="{725AE2AE-9491-48be-B2B4-4EB974FC3084}">
      <x14:pivotCacheDefinition pivotCacheId="5304651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10.498401736113" createdVersion="8" refreshedVersion="8" minRefreshableVersion="3" recordCount="434" xr:uid="{DFA6C5F1-C937-4A40-82E0-D52C11E5A45B}">
  <cacheSource type="worksheet">
    <worksheetSource name="Table1_1"/>
  </cacheSource>
  <cacheFields count="17">
    <cacheField name="Order_ID" numFmtId="0">
      <sharedItems/>
    </cacheField>
    <cacheField name="Order_Date" numFmtId="165">
      <sharedItems containsSemiMixedTypes="0" containsNonDate="0" containsDate="1" containsString="0" minDate="2026-01-01T00:00:00" maxDate="2027-01-01T00:00:00"/>
    </cacheField>
    <cacheField name="Order_Date.1" numFmtId="0">
      <sharedItems containsBlank="1"/>
    </cacheField>
    <cacheField name="Order_Date.2" numFmtId="164">
      <sharedItems containsSemiMixedTypes="0" containsNonDate="0" containsDate="1" containsString="0" minDate="1899-12-30T00:00:00" maxDate="1899-12-31T00:00:00"/>
    </cacheField>
    <cacheField name="Restaurant" numFmtId="0">
      <sharedItems/>
    </cacheField>
    <cacheField name="City" numFmtId="0">
      <sharedItems count="14">
        <s v="Delhi"/>
        <s v="Ahmedabad"/>
        <s v="Bengaluru"/>
        <s v="Chennai"/>
        <s v="Bangalore"/>
        <s v="Kolkata"/>
        <s v="Hyderabad"/>
        <s v="Pune"/>
        <s v="Jaipur"/>
        <s v="Mumbai"/>
        <s v="Lucknow"/>
        <s v="Unknown"/>
        <s v="Bombay"/>
        <s v="Calcutta"/>
      </sharedItems>
    </cacheField>
    <cacheField name="Cuisine" numFmtId="0">
      <sharedItems/>
    </cacheField>
    <cacheField name="Customer_Age" numFmtId="0">
      <sharedItems containsSemiMixedTypes="0" containsString="0" containsNumber="1" containsInteger="1" minValue="18" maxValue="65"/>
    </cacheField>
    <cacheField name="Rating" numFmtId="0">
      <sharedItems containsSemiMixedTypes="0" containsString="0" containsNumber="1" minValue="1" maxValue="5"/>
    </cacheField>
    <cacheField name="Delivery_Time" numFmtId="0">
      <sharedItems/>
    </cacheField>
    <cacheField name="Order_Value" numFmtId="0">
      <sharedItems containsSemiMixedTypes="0" containsString="0" containsNumber="1" containsInteger="1" minValue="123" maxValue="2496"/>
    </cacheField>
    <cacheField name="Discount" numFmtId="0">
      <sharedItems containsSemiMixedTypes="0" containsString="0" containsNumber="1" minValue="0" maxValue="150"/>
    </cacheField>
    <cacheField name="Payment_Mode" numFmtId="0">
      <sharedItems/>
    </cacheField>
    <cacheField name="Order_Status" numFmtId="0">
      <sharedItems count="7">
        <s v="Failed"/>
        <s v="Delivered"/>
        <s v="Refunded"/>
        <s v="Cancelled"/>
        <s v="Pending"/>
        <s v="Unknown"/>
        <s v="Delvrd"/>
      </sharedItems>
    </cacheField>
    <cacheField name="Number_of_Items" numFmtId="0">
      <sharedItems containsSemiMixedTypes="0" containsString="0" containsNumber="1" containsInteger="1" minValue="0" maxValue="10"/>
    </cacheField>
    <cacheField name="Delivery_Partner" numFmtId="0">
      <sharedItems/>
    </cacheField>
    <cacheField name="Profit" numFmtId="0">
      <sharedItems containsString="0" containsBlank="1" containsNumber="1" containsInteger="1" minValue="0" maxValue="250"/>
    </cacheField>
  </cacheFields>
  <extLst>
    <ext xmlns:x14="http://schemas.microsoft.com/office/spreadsheetml/2009/9/main" uri="{725AE2AE-9491-48be-B2B4-4EB974FC3084}">
      <x14:pivotCacheDefinition pivotCacheId="8297692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10.499096064814" createdVersion="8" refreshedVersion="8" minRefreshableVersion="3" recordCount="434" xr:uid="{5D58E6FA-E83A-4661-B6A2-48B0C52107CB}">
  <cacheSource type="worksheet">
    <worksheetSource name="Table1_1"/>
  </cacheSource>
  <cacheFields count="17">
    <cacheField name="Order_ID" numFmtId="0">
      <sharedItems count="415">
        <s v="ORD_117"/>
        <s v="ZOM-10002"/>
        <s v="ZOM-10003"/>
        <s v="ZOM-10000"/>
        <s v="ZOM-10006"/>
        <s v="ZOM-10007"/>
        <s v="ZOM-10008"/>
        <s v="ZOM-10009"/>
        <s v="ZOM-10010"/>
        <s v="ZOM-10011"/>
        <s v="ZOM-10012"/>
        <s v="ZOM-10013"/>
        <s v="ZOM-10014"/>
        <s v="ZOM-10015"/>
        <s v="ZOM-10016"/>
        <s v="ZOM-10018"/>
        <s v="ZOM-10019"/>
        <s v="ZOM-10020"/>
        <s v="ZOM-10021"/>
        <s v="ZOM-10022"/>
        <s v="ZOM-10023"/>
        <s v="ZOM-10024"/>
        <s v="ZOM-10025"/>
        <s v="ZOM-10026"/>
        <s v="ZOM-10027"/>
        <s v="ZOM-10028"/>
        <s v="ZOM-10029"/>
        <s v="ZOM-10030"/>
        <s v="ZOM-10031"/>
        <s v="ZOM-10032"/>
        <s v="ZOM-10033"/>
        <s v="ZOM-10034"/>
        <s v="ZOM-10035"/>
        <s v="ZOM-10036"/>
        <s v="ORD_113"/>
        <s v="ZOM-10038"/>
        <s v="ZOM-10039"/>
        <s v="ZOM-10040"/>
        <s v="ZOM-10041"/>
        <s v="ZOM-10042"/>
        <s v="ZOM-10043"/>
        <s v="ZOM-10044"/>
        <s v="ZOM-10045"/>
        <s v="ZOM-10046"/>
        <s v="ZOM-10047"/>
        <s v="ZOM-10048"/>
        <s v="ORD_121"/>
        <s v="ZOM-10050"/>
        <s v="ZOM-10052"/>
        <s v="ZOM-10053"/>
        <s v="ZOM-10054"/>
        <s v="ZOM-10055"/>
        <s v="ZOM-10056"/>
        <s v="ZOM-10058"/>
        <s v="ZOM-10059"/>
        <s v="ZOM-10060"/>
        <s v="ZOM-10061"/>
        <s v="ZOM-10062"/>
        <s v="ZOM-10064"/>
        <s v="ZOM-10065"/>
        <s v="ZOM-10066"/>
        <s v="ZOM-10067"/>
        <s v="ZOM-10072"/>
        <s v="ZOM-10074"/>
        <s v="ZOM-10075"/>
        <s v="ZOM-10076"/>
        <s v="ZOM-10077"/>
        <s v="ZOM-10078"/>
        <s v="ZOM-10079"/>
        <s v="ZOM-10080"/>
        <s v="ZOM-10081"/>
        <s v="ZOM-10082"/>
        <s v="ZOM-10083"/>
        <s v="ZOM-10084"/>
        <s v="ZOM-10085"/>
        <s v="ZOM-10086"/>
        <s v="ZOM-10087"/>
        <s v="ZOM-10088"/>
        <s v="ORD_140"/>
        <s v="ZOM-10090"/>
        <s v="ZOM-10091"/>
        <s v="ZOM-10092"/>
        <s v="ZOM-10093"/>
        <s v="ZOM-10094"/>
        <s v="ZOM-10095"/>
        <s v="ZOM-10096"/>
        <s v="ZOM-10097"/>
        <s v="ZOM-10098"/>
        <s v="ZOM-10099"/>
        <s v="ZOM-10101"/>
        <s v="ZOM-10102"/>
        <s v="ZOM-10103"/>
        <s v="ZOM-10104"/>
        <s v="ZOM-10106"/>
        <s v="ZOM-10107"/>
        <s v="ZOM-10108"/>
        <s v="ZOM-10109"/>
        <s v="ZOM-10110"/>
        <s v="ZOM-10111"/>
        <s v="ZOM-10112"/>
        <s v="ZOM-10115"/>
        <s v="ZOM-10116"/>
        <s v="ZOM-10117"/>
        <s v="ZOM-10118"/>
        <s v="ORD_145"/>
        <s v="ZOM-10120"/>
        <s v="ZOM-10121"/>
        <s v="ZOM-10123"/>
        <s v="ZOM-10124"/>
        <s v="ZOM-10127"/>
        <s v="ZOM-10128"/>
        <s v="ZOM-10129"/>
        <s v="ZOM-10130"/>
        <s v="ZOM-10131"/>
        <s v="ZOM-10132"/>
        <s v="ZOM-10133"/>
        <s v="ZOM-10134"/>
        <s v="ZOM-10135"/>
        <s v="ZOM-10136"/>
        <s v="ZOM-10137"/>
        <s v="ZOM-10138"/>
        <s v="ZOM-10139"/>
        <s v="ZOM-10140"/>
        <s v="ZOM-10141"/>
        <s v="ZOM-10142"/>
        <s v="ZOM-10143"/>
        <s v="ZOM-10144"/>
        <s v="ZOM-10145"/>
        <s v="ZOM-10146"/>
        <s v="ORD_101"/>
        <s v="ZOM-10148"/>
        <s v="ZOM-10149"/>
        <s v="ZOM-10151"/>
        <s v="ZOM-10152"/>
        <s v="ZOM-10153"/>
        <s v="ZOM-10154"/>
        <s v="ZOM-10156"/>
        <s v="ZOM-10158"/>
        <s v="ZOM-10159"/>
        <s v="ORD_133"/>
        <s v="ORD_143"/>
        <s v="ZOM-10164"/>
        <s v="ZOM-10165"/>
        <s v="ZOM-10167"/>
        <s v="ZOM-10168"/>
        <s v="ZOM-10169"/>
        <s v="ZOM-10170"/>
        <s v="ZOM-10171"/>
        <s v="ZOM-10172"/>
        <s v="ZOM-10174"/>
        <s v="ZOM-10175"/>
        <s v="ZOM-10176"/>
        <s v="ZOM-10178"/>
        <s v="ZOM-10179"/>
        <s v="ZOM-10180"/>
        <s v="ZOM-10181"/>
        <s v="ZOM-10182"/>
        <s v="ZOM-10184"/>
        <s v="ZOM-10185"/>
        <s v="ZOM-10186"/>
        <s v="ZOM-10187"/>
        <s v="ZOM-10190"/>
        <s v="ZOM-10191"/>
        <s v="ZOM-10192"/>
        <s v="ZOM-10193"/>
        <s v="ZOM-10194"/>
        <s v="ZOM-10195"/>
        <s v="ZOM-10196"/>
        <s v="ZOM-10197"/>
        <s v="ZOM-10198"/>
        <s v="ZOM-10200"/>
        <s v="ZOM-10201"/>
        <s v="ZOM-10202"/>
        <s v="ZOM-10203"/>
        <s v="ZOM-10206"/>
        <s v="ZOM-10207"/>
        <s v="ZOM-10208"/>
        <s v="ZOM-10209"/>
        <s v="ORD_132"/>
        <s v="ZOM-10212"/>
        <s v="ORD_123"/>
        <s v="ZOM-10215"/>
        <s v="ZOM-10216"/>
        <s v="ZOM-10217"/>
        <s v="ZOM-10218"/>
        <s v="ZOM-10219"/>
        <s v="ORD_136"/>
        <s v="ZOM-10223"/>
        <s v="ZOM-10224"/>
        <s v="ZOM-10226"/>
        <s v="ZOM-10227"/>
        <s v="ZOM-10228"/>
        <s v="ZOM-10229"/>
        <s v="ZOM-10230"/>
        <s v="ZOM-10231"/>
        <s v="ZOM-10232"/>
        <s v="ZOM-10234"/>
        <s v="ZOM-10236"/>
        <s v="ZOM-10237"/>
        <s v="ZOM-10238"/>
        <s v="ZOM-10239"/>
        <s v="ZOM-10240"/>
        <s v="ORD_109"/>
        <s v="ZOM-10242"/>
        <s v="ZOM-10243"/>
        <s v="ZOM-10244"/>
        <s v="ZOM-10245"/>
        <s v="ZOM-10247"/>
        <s v="ZOM-10248"/>
        <s v="ZOM-10249"/>
        <s v="ZOM-10250"/>
        <s v="ZOM-10251"/>
        <s v="ZOM-10252"/>
        <s v="ZOM-10254"/>
        <s v="ZOM-10255"/>
        <s v="ZOM-10256"/>
        <s v="ZOM-10258"/>
        <s v="ZOM-10259"/>
        <s v="ZOM-10260"/>
        <s v="ZOM-10261"/>
        <s v="ZOM-10263"/>
        <s v="ZOM-10265"/>
        <s v="ZOM-10266"/>
        <s v="ZOM-10268"/>
        <s v="ZOM-10269"/>
        <s v="ZOM-10270"/>
        <s v="ZOM-10271"/>
        <s v="ZOM-10272"/>
        <s v="ZOM-10273"/>
        <s v="ZOM-10275"/>
        <s v="ZOM-10276"/>
        <s v="ZOM-10277"/>
        <s v="ZOM-10278"/>
        <s v="ZOM-10282"/>
        <s v="ZOM-10283"/>
        <s v="ZOM-10286"/>
        <s v="ZOM-10288"/>
        <s v="ZOM-10289"/>
        <s v="ZOM-10290"/>
        <s v="ZOM-10291"/>
        <s v="ZOM-10292"/>
        <s v="ZOM-10293"/>
        <s v="ZOM-10295"/>
        <s v="ZOM-10296"/>
        <s v="ZOM-10298"/>
        <s v="ZOM-10299"/>
        <s v="ZOM-10300"/>
        <s v="ZOM-10301"/>
        <s v="ZOM-10302"/>
        <s v="ZOM-10303"/>
        <s v="ZOM-10304"/>
        <s v="ZOM-10305"/>
        <s v="ZOM-10306"/>
        <s v="ZOM-10307"/>
        <s v="ZOM-10308"/>
        <s v="ZOM-10309"/>
        <s v="ZOM-10310"/>
        <s v="ZOM-10311"/>
        <s v="ZOM-10312"/>
        <s v="ZOM-10313"/>
        <s v="ZOM-10314"/>
        <s v="ZOM-10315"/>
        <s v="ZOM-10316"/>
        <s v="ZOM-10317"/>
        <s v="ZOM-10318"/>
        <s v="ZOM-10319"/>
        <s v="ZOM-10320"/>
        <s v="ZOM-10321"/>
        <s v="ZOM-10322"/>
        <s v="ZOM-10323"/>
        <s v="ZOM-10324"/>
        <s v="ZOM-10325"/>
        <s v="ZOM-10326"/>
        <s v="ZOM-10327"/>
        <s v="ZOM-10328"/>
        <s v="ZOM-10329"/>
        <s v="ZOM-10331"/>
        <s v="ZOM-10332"/>
        <s v="ZOM-10333"/>
        <s v="ZOM-10335"/>
        <s v="ZOM-10336"/>
        <s v="ZOM-10337"/>
        <s v="ZOM-10338"/>
        <s v="ZOM-10339"/>
        <s v="ZOM-10340"/>
        <s v="ZOM-10341"/>
        <s v="ZOM-10342"/>
        <s v="ZOM-10344"/>
        <s v="ZOM-10345"/>
        <s v="ZOM-10347"/>
        <s v="ZOM-10349"/>
        <s v="ZOM-10350"/>
        <s v="ZOM-10351"/>
        <s v="ZOM-10352"/>
        <s v="ZOM-10354"/>
        <s v="ZOM-10355"/>
        <s v="ZOM-10356"/>
        <s v="ZOM-10357"/>
        <s v="ZOM-10358"/>
        <s v="ZOM-10359"/>
        <s v="ZOM-10360"/>
        <s v="ZOM-10361"/>
        <s v="ZOM-10364"/>
        <s v="ZOM-10365"/>
        <s v="ZOM-10366"/>
        <s v="ZOM-10367"/>
        <s v="ZOM-10368"/>
        <s v="ZOM-10370"/>
        <s v="ZOM-10372"/>
        <s v="ZOM-10374"/>
        <s v="ZOM-10376"/>
        <s v="ZOM-10377"/>
        <s v="ZOM-10378"/>
        <s v="ZOM-10379"/>
        <s v="ZOM-10380"/>
        <s v="ZOM-10381"/>
        <s v="ZOM-10382"/>
        <s v="ZOM-10383"/>
        <s v="ZOM-10384"/>
        <s v="ZOM-10385"/>
        <s v="ZOM-10386"/>
        <s v="ORD_116"/>
        <s v="ZOM-10389"/>
        <s v="ZOM-10390"/>
        <s v="ZOM-10391"/>
        <s v="ZOM-10392"/>
        <s v="ZOM-10393"/>
        <s v="ZOM-10394"/>
        <s v="ZOM-10395"/>
        <s v="ZOM-10396"/>
        <s v="ZOM-10397"/>
        <s v="ZOM-10398"/>
        <s v="ZOM-10400"/>
        <s v="ZOM-10401"/>
        <s v="ZOM-10402"/>
        <s v="ZOM-10403"/>
        <s v="ZOM-10404"/>
        <s v="ZOM-10405"/>
        <s v="ZOM-10406"/>
        <s v="ZOM-10407"/>
        <s v="ZOM-10409"/>
        <s v="ZOM-10410"/>
        <s v="ZOM-10411"/>
        <s v="ZOM-10412"/>
        <s v="ZOM-10413"/>
        <s v="ZOM-10414"/>
        <s v="ZOM-10415"/>
        <s v="ZOM-10418"/>
        <s v="ZOM-10419"/>
        <s v="ZOM-10421"/>
        <s v="ZOM-10422"/>
        <s v="ZOM-10423"/>
        <s v="ZOM-10424"/>
        <s v="ZOM-10425"/>
        <s v="ZOM-10428"/>
        <s v="ZOM-10429"/>
        <s v="ZOM-10431"/>
        <s v="ZOM-10432"/>
        <s v="ORD_150"/>
        <s v="ZOM-10434"/>
        <s v="ZOM-10435"/>
        <s v="ZOM-10436"/>
        <s v="ZOM-10437"/>
        <s v="ZOM-10438"/>
        <s v="ZOM-10439"/>
        <s v="ORD_148"/>
        <s v="ZOM-10443"/>
        <s v="ZOM-10446"/>
        <s v="ZOM-10447"/>
        <s v="ZOM-10448"/>
        <s v="ZOM-10449"/>
        <s v="ZOM-10450"/>
        <s v="ZOM-10452"/>
        <s v="ZOM-10453"/>
        <s v="ZOM-10454"/>
        <s v="ZOM-10455"/>
        <s v="ZOM-10456"/>
        <s v="ZOM-10457"/>
        <s v="ZOM-10458"/>
        <s v="ZOM-10459"/>
        <s v="ZOM-10460"/>
        <s v="ZOM-10461"/>
        <s v="ZOM-10463"/>
        <s v="ZOM-10464"/>
        <s v="ZOM-10465"/>
        <s v="ZOM-10466"/>
        <s v="ZOM-10467"/>
        <s v="ZOM-10468"/>
        <s v="ZOM-10469"/>
        <s v="ZOM-10470"/>
        <s v="ZOM-10471"/>
        <s v="ZOM-10472"/>
        <s v="ZOM-10473"/>
        <s v="ZOM-10474"/>
        <s v="ZOM-10475"/>
        <s v="ZOM-10476"/>
        <s v="ZOM-10477"/>
        <s v="ZOM-10479"/>
        <s v="ZOM-10480"/>
        <s v="ZOM-10481"/>
        <s v="ZOM-10482"/>
        <s v="ZOM-10484"/>
        <s v="ZOM-10487"/>
        <s v="ZOM-10488"/>
        <s v="ZOM-10489"/>
        <s v="ZOM-10490"/>
        <s v="ZOM-10491"/>
        <s v="ZOM-10492"/>
        <s v="ZOM-10493"/>
        <s v="ZOM-10494"/>
        <s v="ZOM-10495"/>
        <s v="ZOM-10496"/>
        <s v="ZOM-10497"/>
        <s v="ZOM-10498"/>
        <s v="ZOM-10499"/>
      </sharedItems>
    </cacheField>
    <cacheField name="Order_Date" numFmtId="165">
      <sharedItems containsSemiMixedTypes="0" containsNonDate="0" containsDate="1" containsString="0" minDate="2026-01-01T00:00:00" maxDate="2026-12-31T00:00:00"/>
    </cacheField>
    <cacheField name="Order_Date.1" numFmtId="0">
      <sharedItems containsBlank="1"/>
    </cacheField>
    <cacheField name="Order_Date.2" numFmtId="164">
      <sharedItems containsSemiMixedTypes="0" containsNonDate="0" containsDate="1" containsString="0" minDate="1899-12-30T00:00:00" maxDate="1899-12-31T00:00:00"/>
    </cacheField>
    <cacheField name="Restaurant" numFmtId="0">
      <sharedItems/>
    </cacheField>
    <cacheField name="City" numFmtId="0">
      <sharedItems/>
    </cacheField>
    <cacheField name="Cuisine" numFmtId="0">
      <sharedItems/>
    </cacheField>
    <cacheField name="Customer_Age" numFmtId="0">
      <sharedItems containsSemiMixedTypes="0" containsString="0" containsNumber="1" containsInteger="1" minValue="18" maxValue="65"/>
    </cacheField>
    <cacheField name="Rating" numFmtId="0">
      <sharedItems containsSemiMixedTypes="0" containsString="0" containsNumber="1" minValue="1" maxValue="5"/>
    </cacheField>
    <cacheField name="Delivery_Time" numFmtId="0">
      <sharedItems/>
    </cacheField>
    <cacheField name="Order_Value" numFmtId="0">
      <sharedItems containsSemiMixedTypes="0" containsString="0" containsNumber="1" containsInteger="1" minValue="123" maxValue="2496"/>
    </cacheField>
    <cacheField name="Discount" numFmtId="0">
      <sharedItems containsSemiMixedTypes="0" containsString="0" containsNumber="1" minValue="0" maxValue="150"/>
    </cacheField>
    <cacheField name="Payment_Mode" numFmtId="0">
      <sharedItems/>
    </cacheField>
    <cacheField name="Order_Status" numFmtId="0">
      <sharedItems/>
    </cacheField>
    <cacheField name="Number_of_Items" numFmtId="0">
      <sharedItems containsSemiMixedTypes="0" containsString="0" containsNumber="1" containsInteger="1" minValue="0" maxValue="10"/>
    </cacheField>
    <cacheField name="Delivery_Partner" numFmtId="0">
      <sharedItems count="7">
        <s v="Zomato Valet"/>
        <s v="In-House"/>
        <s v="Shadowfax"/>
        <s v="Rapido"/>
        <s v="Grab"/>
        <s v="Dunzo"/>
        <s v="Unknown"/>
      </sharedItems>
    </cacheField>
    <cacheField name="Profit" numFmtId="0">
      <sharedItems containsString="0" containsBlank="1" containsNumber="1" containsInteger="1" minValue="0" maxValue="2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10.49988935185" createdVersion="8" refreshedVersion="8" minRefreshableVersion="3" recordCount="434" xr:uid="{8EFEAD20-1BB9-407B-8CAF-5BF82D509075}">
  <cacheSource type="worksheet">
    <worksheetSource name="Table1_1"/>
  </cacheSource>
  <cacheFields count="17">
    <cacheField name="Order_ID" numFmtId="0">
      <sharedItems count="415">
        <s v="ORD_117"/>
        <s v="ZOM-10002"/>
        <s v="ZOM-10003"/>
        <s v="ZOM-10000"/>
        <s v="ZOM-10006"/>
        <s v="ZOM-10007"/>
        <s v="ZOM-10008"/>
        <s v="ZOM-10009"/>
        <s v="ZOM-10010"/>
        <s v="ZOM-10011"/>
        <s v="ZOM-10012"/>
        <s v="ZOM-10013"/>
        <s v="ZOM-10014"/>
        <s v="ZOM-10015"/>
        <s v="ZOM-10016"/>
        <s v="ZOM-10018"/>
        <s v="ZOM-10019"/>
        <s v="ZOM-10020"/>
        <s v="ZOM-10021"/>
        <s v="ZOM-10022"/>
        <s v="ZOM-10023"/>
        <s v="ZOM-10024"/>
        <s v="ZOM-10025"/>
        <s v="ZOM-10026"/>
        <s v="ZOM-10027"/>
        <s v="ZOM-10028"/>
        <s v="ZOM-10029"/>
        <s v="ZOM-10030"/>
        <s v="ZOM-10031"/>
        <s v="ZOM-10032"/>
        <s v="ZOM-10033"/>
        <s v="ZOM-10034"/>
        <s v="ZOM-10035"/>
        <s v="ZOM-10036"/>
        <s v="ORD_113"/>
        <s v="ZOM-10038"/>
        <s v="ZOM-10039"/>
        <s v="ZOM-10040"/>
        <s v="ZOM-10041"/>
        <s v="ZOM-10042"/>
        <s v="ZOM-10043"/>
        <s v="ZOM-10044"/>
        <s v="ZOM-10045"/>
        <s v="ZOM-10046"/>
        <s v="ZOM-10047"/>
        <s v="ZOM-10048"/>
        <s v="ORD_121"/>
        <s v="ZOM-10050"/>
        <s v="ZOM-10052"/>
        <s v="ZOM-10053"/>
        <s v="ZOM-10054"/>
        <s v="ZOM-10055"/>
        <s v="ZOM-10056"/>
        <s v="ZOM-10058"/>
        <s v="ZOM-10059"/>
        <s v="ZOM-10060"/>
        <s v="ZOM-10061"/>
        <s v="ZOM-10062"/>
        <s v="ZOM-10064"/>
        <s v="ZOM-10065"/>
        <s v="ZOM-10066"/>
        <s v="ZOM-10067"/>
        <s v="ZOM-10072"/>
        <s v="ZOM-10074"/>
        <s v="ZOM-10075"/>
        <s v="ZOM-10076"/>
        <s v="ZOM-10077"/>
        <s v="ZOM-10078"/>
        <s v="ZOM-10079"/>
        <s v="ZOM-10080"/>
        <s v="ZOM-10081"/>
        <s v="ZOM-10082"/>
        <s v="ZOM-10083"/>
        <s v="ZOM-10084"/>
        <s v="ZOM-10085"/>
        <s v="ZOM-10086"/>
        <s v="ZOM-10087"/>
        <s v="ZOM-10088"/>
        <s v="ORD_140"/>
        <s v="ZOM-10090"/>
        <s v="ZOM-10091"/>
        <s v="ZOM-10092"/>
        <s v="ZOM-10093"/>
        <s v="ZOM-10094"/>
        <s v="ZOM-10095"/>
        <s v="ZOM-10096"/>
        <s v="ZOM-10097"/>
        <s v="ZOM-10098"/>
        <s v="ZOM-10099"/>
        <s v="ZOM-10101"/>
        <s v="ZOM-10102"/>
        <s v="ZOM-10103"/>
        <s v="ZOM-10104"/>
        <s v="ZOM-10106"/>
        <s v="ZOM-10107"/>
        <s v="ZOM-10108"/>
        <s v="ZOM-10109"/>
        <s v="ZOM-10110"/>
        <s v="ZOM-10111"/>
        <s v="ZOM-10112"/>
        <s v="ZOM-10115"/>
        <s v="ZOM-10116"/>
        <s v="ZOM-10117"/>
        <s v="ZOM-10118"/>
        <s v="ORD_145"/>
        <s v="ZOM-10120"/>
        <s v="ZOM-10121"/>
        <s v="ZOM-10123"/>
        <s v="ZOM-10124"/>
        <s v="ZOM-10127"/>
        <s v="ZOM-10128"/>
        <s v="ZOM-10129"/>
        <s v="ZOM-10130"/>
        <s v="ZOM-10131"/>
        <s v="ZOM-10132"/>
        <s v="ZOM-10133"/>
        <s v="ZOM-10134"/>
        <s v="ZOM-10135"/>
        <s v="ZOM-10136"/>
        <s v="ZOM-10137"/>
        <s v="ZOM-10138"/>
        <s v="ZOM-10139"/>
        <s v="ZOM-10140"/>
        <s v="ZOM-10141"/>
        <s v="ZOM-10142"/>
        <s v="ZOM-10143"/>
        <s v="ZOM-10144"/>
        <s v="ZOM-10145"/>
        <s v="ZOM-10146"/>
        <s v="ORD_101"/>
        <s v="ZOM-10148"/>
        <s v="ZOM-10149"/>
        <s v="ZOM-10151"/>
        <s v="ZOM-10152"/>
        <s v="ZOM-10153"/>
        <s v="ZOM-10154"/>
        <s v="ZOM-10156"/>
        <s v="ZOM-10158"/>
        <s v="ZOM-10159"/>
        <s v="ORD_133"/>
        <s v="ORD_143"/>
        <s v="ZOM-10164"/>
        <s v="ZOM-10165"/>
        <s v="ZOM-10167"/>
        <s v="ZOM-10168"/>
        <s v="ZOM-10169"/>
        <s v="ZOM-10170"/>
        <s v="ZOM-10171"/>
        <s v="ZOM-10172"/>
        <s v="ZOM-10174"/>
        <s v="ZOM-10175"/>
        <s v="ZOM-10176"/>
        <s v="ZOM-10178"/>
        <s v="ZOM-10179"/>
        <s v="ZOM-10180"/>
        <s v="ZOM-10181"/>
        <s v="ZOM-10182"/>
        <s v="ZOM-10184"/>
        <s v="ZOM-10185"/>
        <s v="ZOM-10186"/>
        <s v="ZOM-10187"/>
        <s v="ZOM-10190"/>
        <s v="ZOM-10191"/>
        <s v="ZOM-10192"/>
        <s v="ZOM-10193"/>
        <s v="ZOM-10194"/>
        <s v="ZOM-10195"/>
        <s v="ZOM-10196"/>
        <s v="ZOM-10197"/>
        <s v="ZOM-10198"/>
        <s v="ZOM-10200"/>
        <s v="ZOM-10201"/>
        <s v="ZOM-10202"/>
        <s v="ZOM-10203"/>
        <s v="ZOM-10206"/>
        <s v="ZOM-10207"/>
        <s v="ZOM-10208"/>
        <s v="ZOM-10209"/>
        <s v="ORD_132"/>
        <s v="ZOM-10212"/>
        <s v="ORD_123"/>
        <s v="ZOM-10215"/>
        <s v="ZOM-10216"/>
        <s v="ZOM-10217"/>
        <s v="ZOM-10218"/>
        <s v="ZOM-10219"/>
        <s v="ORD_136"/>
        <s v="ZOM-10223"/>
        <s v="ZOM-10224"/>
        <s v="ZOM-10226"/>
        <s v="ZOM-10227"/>
        <s v="ZOM-10228"/>
        <s v="ZOM-10229"/>
        <s v="ZOM-10230"/>
        <s v="ZOM-10231"/>
        <s v="ZOM-10232"/>
        <s v="ZOM-10234"/>
        <s v="ZOM-10236"/>
        <s v="ZOM-10237"/>
        <s v="ZOM-10238"/>
        <s v="ZOM-10239"/>
        <s v="ZOM-10240"/>
        <s v="ORD_109"/>
        <s v="ZOM-10242"/>
        <s v="ZOM-10243"/>
        <s v="ZOM-10244"/>
        <s v="ZOM-10245"/>
        <s v="ZOM-10247"/>
        <s v="ZOM-10248"/>
        <s v="ZOM-10249"/>
        <s v="ZOM-10250"/>
        <s v="ZOM-10251"/>
        <s v="ZOM-10252"/>
        <s v="ZOM-10254"/>
        <s v="ZOM-10255"/>
        <s v="ZOM-10256"/>
        <s v="ZOM-10258"/>
        <s v="ZOM-10259"/>
        <s v="ZOM-10260"/>
        <s v="ZOM-10261"/>
        <s v="ZOM-10263"/>
        <s v="ZOM-10265"/>
        <s v="ZOM-10266"/>
        <s v="ZOM-10268"/>
        <s v="ZOM-10269"/>
        <s v="ZOM-10270"/>
        <s v="ZOM-10271"/>
        <s v="ZOM-10272"/>
        <s v="ZOM-10273"/>
        <s v="ZOM-10275"/>
        <s v="ZOM-10276"/>
        <s v="ZOM-10277"/>
        <s v="ZOM-10278"/>
        <s v="ZOM-10282"/>
        <s v="ZOM-10283"/>
        <s v="ZOM-10286"/>
        <s v="ZOM-10288"/>
        <s v="ZOM-10289"/>
        <s v="ZOM-10290"/>
        <s v="ZOM-10291"/>
        <s v="ZOM-10292"/>
        <s v="ZOM-10293"/>
        <s v="ZOM-10295"/>
        <s v="ZOM-10296"/>
        <s v="ZOM-10298"/>
        <s v="ZOM-10299"/>
        <s v="ZOM-10300"/>
        <s v="ZOM-10301"/>
        <s v="ZOM-10302"/>
        <s v="ZOM-10303"/>
        <s v="ZOM-10304"/>
        <s v="ZOM-10305"/>
        <s v="ZOM-10306"/>
        <s v="ZOM-10307"/>
        <s v="ZOM-10308"/>
        <s v="ZOM-10309"/>
        <s v="ZOM-10310"/>
        <s v="ZOM-10311"/>
        <s v="ZOM-10312"/>
        <s v="ZOM-10313"/>
        <s v="ZOM-10314"/>
        <s v="ZOM-10315"/>
        <s v="ZOM-10316"/>
        <s v="ZOM-10317"/>
        <s v="ZOM-10318"/>
        <s v="ZOM-10319"/>
        <s v="ZOM-10320"/>
        <s v="ZOM-10321"/>
        <s v="ZOM-10322"/>
        <s v="ZOM-10323"/>
        <s v="ZOM-10324"/>
        <s v="ZOM-10325"/>
        <s v="ZOM-10326"/>
        <s v="ZOM-10327"/>
        <s v="ZOM-10328"/>
        <s v="ZOM-10329"/>
        <s v="ZOM-10331"/>
        <s v="ZOM-10332"/>
        <s v="ZOM-10333"/>
        <s v="ZOM-10335"/>
        <s v="ZOM-10336"/>
        <s v="ZOM-10337"/>
        <s v="ZOM-10338"/>
        <s v="ZOM-10339"/>
        <s v="ZOM-10340"/>
        <s v="ZOM-10341"/>
        <s v="ZOM-10342"/>
        <s v="ZOM-10344"/>
        <s v="ZOM-10345"/>
        <s v="ZOM-10347"/>
        <s v="ZOM-10349"/>
        <s v="ZOM-10350"/>
        <s v="ZOM-10351"/>
        <s v="ZOM-10352"/>
        <s v="ZOM-10354"/>
        <s v="ZOM-10355"/>
        <s v="ZOM-10356"/>
        <s v="ZOM-10357"/>
        <s v="ZOM-10358"/>
        <s v="ZOM-10359"/>
        <s v="ZOM-10360"/>
        <s v="ZOM-10361"/>
        <s v="ZOM-10364"/>
        <s v="ZOM-10365"/>
        <s v="ZOM-10366"/>
        <s v="ZOM-10367"/>
        <s v="ZOM-10368"/>
        <s v="ZOM-10370"/>
        <s v="ZOM-10372"/>
        <s v="ZOM-10374"/>
        <s v="ZOM-10376"/>
        <s v="ZOM-10377"/>
        <s v="ZOM-10378"/>
        <s v="ZOM-10379"/>
        <s v="ZOM-10380"/>
        <s v="ZOM-10381"/>
        <s v="ZOM-10382"/>
        <s v="ZOM-10383"/>
        <s v="ZOM-10384"/>
        <s v="ZOM-10385"/>
        <s v="ZOM-10386"/>
        <s v="ORD_116"/>
        <s v="ZOM-10389"/>
        <s v="ZOM-10390"/>
        <s v="ZOM-10391"/>
        <s v="ZOM-10392"/>
        <s v="ZOM-10393"/>
        <s v="ZOM-10394"/>
        <s v="ZOM-10395"/>
        <s v="ZOM-10396"/>
        <s v="ZOM-10397"/>
        <s v="ZOM-10398"/>
        <s v="ZOM-10400"/>
        <s v="ZOM-10401"/>
        <s v="ZOM-10402"/>
        <s v="ZOM-10403"/>
        <s v="ZOM-10404"/>
        <s v="ZOM-10405"/>
        <s v="ZOM-10406"/>
        <s v="ZOM-10407"/>
        <s v="ZOM-10409"/>
        <s v="ZOM-10410"/>
        <s v="ZOM-10411"/>
        <s v="ZOM-10412"/>
        <s v="ZOM-10413"/>
        <s v="ZOM-10414"/>
        <s v="ZOM-10415"/>
        <s v="ZOM-10418"/>
        <s v="ZOM-10419"/>
        <s v="ZOM-10421"/>
        <s v="ZOM-10422"/>
        <s v="ZOM-10423"/>
        <s v="ZOM-10424"/>
        <s v="ZOM-10425"/>
        <s v="ZOM-10428"/>
        <s v="ZOM-10429"/>
        <s v="ZOM-10431"/>
        <s v="ZOM-10432"/>
        <s v="ORD_150"/>
        <s v="ZOM-10434"/>
        <s v="ZOM-10435"/>
        <s v="ZOM-10436"/>
        <s v="ZOM-10437"/>
        <s v="ZOM-10438"/>
        <s v="ZOM-10439"/>
        <s v="ORD_148"/>
        <s v="ZOM-10443"/>
        <s v="ZOM-10446"/>
        <s v="ZOM-10447"/>
        <s v="ZOM-10448"/>
        <s v="ZOM-10449"/>
        <s v="ZOM-10450"/>
        <s v="ZOM-10452"/>
        <s v="ZOM-10453"/>
        <s v="ZOM-10454"/>
        <s v="ZOM-10455"/>
        <s v="ZOM-10456"/>
        <s v="ZOM-10457"/>
        <s v="ZOM-10458"/>
        <s v="ZOM-10459"/>
        <s v="ZOM-10460"/>
        <s v="ZOM-10461"/>
        <s v="ZOM-10463"/>
        <s v="ZOM-10464"/>
        <s v="ZOM-10465"/>
        <s v="ZOM-10466"/>
        <s v="ZOM-10467"/>
        <s v="ZOM-10468"/>
        <s v="ZOM-10469"/>
        <s v="ZOM-10470"/>
        <s v="ZOM-10471"/>
        <s v="ZOM-10472"/>
        <s v="ZOM-10473"/>
        <s v="ZOM-10474"/>
        <s v="ZOM-10475"/>
        <s v="ZOM-10476"/>
        <s v="ZOM-10477"/>
        <s v="ZOM-10479"/>
        <s v="ZOM-10480"/>
        <s v="ZOM-10481"/>
        <s v="ZOM-10482"/>
        <s v="ZOM-10484"/>
        <s v="ZOM-10487"/>
        <s v="ZOM-10488"/>
        <s v="ZOM-10489"/>
        <s v="ZOM-10490"/>
        <s v="ZOM-10491"/>
        <s v="ZOM-10492"/>
        <s v="ZOM-10493"/>
        <s v="ZOM-10494"/>
        <s v="ZOM-10495"/>
        <s v="ZOM-10496"/>
        <s v="ZOM-10497"/>
        <s v="ZOM-10498"/>
        <s v="ZOM-10499"/>
      </sharedItems>
    </cacheField>
    <cacheField name="Order_Date" numFmtId="165">
      <sharedItems containsSemiMixedTypes="0" containsNonDate="0" containsDate="1" containsString="0" minDate="2026-01-01T00:00:00" maxDate="2027-01-01T00:00:00"/>
    </cacheField>
    <cacheField name="Order_Date.1" numFmtId="0">
      <sharedItems containsBlank="1"/>
    </cacheField>
    <cacheField name="Order_Date.2" numFmtId="164">
      <sharedItems containsSemiMixedTypes="0" containsNonDate="0" containsDate="1" containsString="0" minDate="1899-12-30T00:00:00" maxDate="1899-12-31T00:00:00"/>
    </cacheField>
    <cacheField name="Restaurant" numFmtId="0">
      <sharedItems/>
    </cacheField>
    <cacheField name="City" numFmtId="0">
      <sharedItems/>
    </cacheField>
    <cacheField name="Cuisine" numFmtId="0">
      <sharedItems/>
    </cacheField>
    <cacheField name="Customer_Age" numFmtId="0">
      <sharedItems containsSemiMixedTypes="0" containsString="0" containsNumber="1" containsInteger="1" minValue="18" maxValue="65"/>
    </cacheField>
    <cacheField name="Rating" numFmtId="0">
      <sharedItems containsSemiMixedTypes="0" containsString="0" containsNumber="1" minValue="1" maxValue="5"/>
    </cacheField>
    <cacheField name="Delivery_Time" numFmtId="0">
      <sharedItems/>
    </cacheField>
    <cacheField name="Order_Value" numFmtId="0">
      <sharedItems containsSemiMixedTypes="0" containsString="0" containsNumber="1" containsInteger="1" minValue="123" maxValue="2496"/>
    </cacheField>
    <cacheField name="Discount" numFmtId="0">
      <sharedItems containsSemiMixedTypes="0" containsString="0" containsNumber="1" minValue="0" maxValue="150"/>
    </cacheField>
    <cacheField name="Payment_Mode" numFmtId="0">
      <sharedItems/>
    </cacheField>
    <cacheField name="Order_Status" numFmtId="0">
      <sharedItems count="7">
        <s v="Failed"/>
        <s v="Delivered"/>
        <s v="Refunded"/>
        <s v="Cancelled"/>
        <s v="Pending"/>
        <s v="Unknown"/>
        <s v="Delvrd"/>
      </sharedItems>
    </cacheField>
    <cacheField name="Number_of_Items" numFmtId="0">
      <sharedItems containsSemiMixedTypes="0" containsString="0" containsNumber="1" containsInteger="1" minValue="0" maxValue="10"/>
    </cacheField>
    <cacheField name="Delivery_Partner" numFmtId="0">
      <sharedItems/>
    </cacheField>
    <cacheField name="Profit" numFmtId="0">
      <sharedItems containsString="0" containsBlank="1" containsNumber="1" containsInteger="1" minValue="0" maxValue="25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10.500618402781" createdVersion="8" refreshedVersion="8" minRefreshableVersion="3" recordCount="434" xr:uid="{1494DBE6-3057-4521-8313-5EE62D65827A}">
  <cacheSource type="worksheet">
    <worksheetSource name="Table1_1"/>
  </cacheSource>
  <cacheFields count="17">
    <cacheField name="Order_ID" numFmtId="0">
      <sharedItems/>
    </cacheField>
    <cacheField name="Order_Date" numFmtId="165">
      <sharedItems containsSemiMixedTypes="0" containsNonDate="0" containsDate="1" containsString="0" minDate="2026-01-01T00:00:00" maxDate="2026-12-31T00:00:00"/>
    </cacheField>
    <cacheField name="Order_Date.1" numFmtId="0">
      <sharedItems containsBlank="1"/>
    </cacheField>
    <cacheField name="Order_Date.2" numFmtId="164">
      <sharedItems containsSemiMixedTypes="0" containsNonDate="0" containsDate="1" containsString="0" minDate="1899-12-30T00:00:00" maxDate="1899-12-31T00:00:00"/>
    </cacheField>
    <cacheField name="Restaurant" numFmtId="0">
      <sharedItems/>
    </cacheField>
    <cacheField name="City" numFmtId="0">
      <sharedItems/>
    </cacheField>
    <cacheField name="Cuisine" numFmtId="0">
      <sharedItems/>
    </cacheField>
    <cacheField name="Customer_Age" numFmtId="0">
      <sharedItems containsSemiMixedTypes="0" containsString="0" containsNumber="1" containsInteger="1" minValue="18" maxValue="65"/>
    </cacheField>
    <cacheField name="Rating" numFmtId="0">
      <sharedItems containsSemiMixedTypes="0" containsString="0" containsNumber="1" minValue="1" maxValue="5"/>
    </cacheField>
    <cacheField name="Delivery_Time" numFmtId="0">
      <sharedItems/>
    </cacheField>
    <cacheField name="Order_Value" numFmtId="0">
      <sharedItems containsSemiMixedTypes="0" containsString="0" containsNumber="1" containsInteger="1" minValue="123" maxValue="2496"/>
    </cacheField>
    <cacheField name="Discount" numFmtId="0">
      <sharedItems containsSemiMixedTypes="0" containsString="0" containsNumber="1" minValue="0" maxValue="150"/>
    </cacheField>
    <cacheField name="Payment_Mode" numFmtId="0">
      <sharedItems count="9">
        <s v="Upi"/>
        <s v="Wallet"/>
        <s v="Cash On Delivery"/>
        <s v="Cash Card"/>
        <s v="Credit Card"/>
        <s v="Debit Card"/>
        <s v="Unknown"/>
        <s v="Net Banking"/>
        <s v="Cod"/>
      </sharedItems>
    </cacheField>
    <cacheField name="Order_Status" numFmtId="0">
      <sharedItems/>
    </cacheField>
    <cacheField name="Number_of_Items" numFmtId="0">
      <sharedItems containsSemiMixedTypes="0" containsString="0" containsNumber="1" containsInteger="1" minValue="0" maxValue="10"/>
    </cacheField>
    <cacheField name="Delivery_Partner" numFmtId="0">
      <sharedItems/>
    </cacheField>
    <cacheField name="Profit" numFmtId="0">
      <sharedItems containsString="0" containsBlank="1" containsNumber="1" containsInteger="1" minValue="0" maxValue="25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10.50178460648" createdVersion="8" refreshedVersion="8" minRefreshableVersion="3" recordCount="434" xr:uid="{697896F4-C566-4944-A8E7-ED715ED4CAA1}">
  <cacheSource type="worksheet">
    <worksheetSource name="Table1_1"/>
  </cacheSource>
  <cacheFields count="17">
    <cacheField name="Order_ID" numFmtId="0">
      <sharedItems count="415">
        <s v="ORD_117"/>
        <s v="ZOM-10002"/>
        <s v="ZOM-10003"/>
        <s v="ZOM-10000"/>
        <s v="ZOM-10006"/>
        <s v="ZOM-10007"/>
        <s v="ZOM-10008"/>
        <s v="ZOM-10009"/>
        <s v="ZOM-10010"/>
        <s v="ZOM-10011"/>
        <s v="ZOM-10012"/>
        <s v="ZOM-10013"/>
        <s v="ZOM-10014"/>
        <s v="ZOM-10015"/>
        <s v="ZOM-10016"/>
        <s v="ZOM-10018"/>
        <s v="ZOM-10019"/>
        <s v="ZOM-10020"/>
        <s v="ZOM-10021"/>
        <s v="ZOM-10022"/>
        <s v="ZOM-10023"/>
        <s v="ZOM-10024"/>
        <s v="ZOM-10025"/>
        <s v="ZOM-10026"/>
        <s v="ZOM-10027"/>
        <s v="ZOM-10028"/>
        <s v="ZOM-10029"/>
        <s v="ZOM-10030"/>
        <s v="ZOM-10031"/>
        <s v="ZOM-10032"/>
        <s v="ZOM-10033"/>
        <s v="ZOM-10034"/>
        <s v="ZOM-10035"/>
        <s v="ZOM-10036"/>
        <s v="ORD_113"/>
        <s v="ZOM-10038"/>
        <s v="ZOM-10039"/>
        <s v="ZOM-10040"/>
        <s v="ZOM-10041"/>
        <s v="ZOM-10042"/>
        <s v="ZOM-10043"/>
        <s v="ZOM-10044"/>
        <s v="ZOM-10045"/>
        <s v="ZOM-10046"/>
        <s v="ZOM-10047"/>
        <s v="ZOM-10048"/>
        <s v="ORD_121"/>
        <s v="ZOM-10050"/>
        <s v="ZOM-10052"/>
        <s v="ZOM-10053"/>
        <s v="ZOM-10054"/>
        <s v="ZOM-10055"/>
        <s v="ZOM-10056"/>
        <s v="ZOM-10058"/>
        <s v="ZOM-10059"/>
        <s v="ZOM-10060"/>
        <s v="ZOM-10061"/>
        <s v="ZOM-10062"/>
        <s v="ZOM-10064"/>
        <s v="ZOM-10065"/>
        <s v="ZOM-10066"/>
        <s v="ZOM-10067"/>
        <s v="ZOM-10072"/>
        <s v="ZOM-10074"/>
        <s v="ZOM-10075"/>
        <s v="ZOM-10076"/>
        <s v="ZOM-10077"/>
        <s v="ZOM-10078"/>
        <s v="ZOM-10079"/>
        <s v="ZOM-10080"/>
        <s v="ZOM-10081"/>
        <s v="ZOM-10082"/>
        <s v="ZOM-10083"/>
        <s v="ZOM-10084"/>
        <s v="ZOM-10085"/>
        <s v="ZOM-10086"/>
        <s v="ZOM-10087"/>
        <s v="ZOM-10088"/>
        <s v="ORD_140"/>
        <s v="ZOM-10090"/>
        <s v="ZOM-10091"/>
        <s v="ZOM-10092"/>
        <s v="ZOM-10093"/>
        <s v="ZOM-10094"/>
        <s v="ZOM-10095"/>
        <s v="ZOM-10096"/>
        <s v="ZOM-10097"/>
        <s v="ZOM-10098"/>
        <s v="ZOM-10099"/>
        <s v="ZOM-10101"/>
        <s v="ZOM-10102"/>
        <s v="ZOM-10103"/>
        <s v="ZOM-10104"/>
        <s v="ZOM-10106"/>
        <s v="ZOM-10107"/>
        <s v="ZOM-10108"/>
        <s v="ZOM-10109"/>
        <s v="ZOM-10110"/>
        <s v="ZOM-10111"/>
        <s v="ZOM-10112"/>
        <s v="ZOM-10115"/>
        <s v="ZOM-10116"/>
        <s v="ZOM-10117"/>
        <s v="ZOM-10118"/>
        <s v="ORD_145"/>
        <s v="ZOM-10120"/>
        <s v="ZOM-10121"/>
        <s v="ZOM-10123"/>
        <s v="ZOM-10124"/>
        <s v="ZOM-10127"/>
        <s v="ZOM-10128"/>
        <s v="ZOM-10129"/>
        <s v="ZOM-10130"/>
        <s v="ZOM-10131"/>
        <s v="ZOM-10132"/>
        <s v="ZOM-10133"/>
        <s v="ZOM-10134"/>
        <s v="ZOM-10135"/>
        <s v="ZOM-10136"/>
        <s v="ZOM-10137"/>
        <s v="ZOM-10138"/>
        <s v="ZOM-10139"/>
        <s v="ZOM-10140"/>
        <s v="ZOM-10141"/>
        <s v="ZOM-10142"/>
        <s v="ZOM-10143"/>
        <s v="ZOM-10144"/>
        <s v="ZOM-10145"/>
        <s v="ZOM-10146"/>
        <s v="ORD_101"/>
        <s v="ZOM-10148"/>
        <s v="ZOM-10149"/>
        <s v="ZOM-10151"/>
        <s v="ZOM-10152"/>
        <s v="ZOM-10153"/>
        <s v="ZOM-10154"/>
        <s v="ZOM-10156"/>
        <s v="ZOM-10158"/>
        <s v="ZOM-10159"/>
        <s v="ORD_133"/>
        <s v="ORD_143"/>
        <s v="ZOM-10164"/>
        <s v="ZOM-10165"/>
        <s v="ZOM-10167"/>
        <s v="ZOM-10168"/>
        <s v="ZOM-10169"/>
        <s v="ZOM-10170"/>
        <s v="ZOM-10171"/>
        <s v="ZOM-10172"/>
        <s v="ZOM-10174"/>
        <s v="ZOM-10175"/>
        <s v="ZOM-10176"/>
        <s v="ZOM-10178"/>
        <s v="ZOM-10179"/>
        <s v="ZOM-10180"/>
        <s v="ZOM-10181"/>
        <s v="ZOM-10182"/>
        <s v="ZOM-10184"/>
        <s v="ZOM-10185"/>
        <s v="ZOM-10186"/>
        <s v="ZOM-10187"/>
        <s v="ZOM-10190"/>
        <s v="ZOM-10191"/>
        <s v="ZOM-10192"/>
        <s v="ZOM-10193"/>
        <s v="ZOM-10194"/>
        <s v="ZOM-10195"/>
        <s v="ZOM-10196"/>
        <s v="ZOM-10197"/>
        <s v="ZOM-10198"/>
        <s v="ZOM-10200"/>
        <s v="ZOM-10201"/>
        <s v="ZOM-10202"/>
        <s v="ZOM-10203"/>
        <s v="ZOM-10206"/>
        <s v="ZOM-10207"/>
        <s v="ZOM-10208"/>
        <s v="ZOM-10209"/>
        <s v="ORD_132"/>
        <s v="ZOM-10212"/>
        <s v="ORD_123"/>
        <s v="ZOM-10215"/>
        <s v="ZOM-10216"/>
        <s v="ZOM-10217"/>
        <s v="ZOM-10218"/>
        <s v="ZOM-10219"/>
        <s v="ORD_136"/>
        <s v="ZOM-10223"/>
        <s v="ZOM-10224"/>
        <s v="ZOM-10226"/>
        <s v="ZOM-10227"/>
        <s v="ZOM-10228"/>
        <s v="ZOM-10229"/>
        <s v="ZOM-10230"/>
        <s v="ZOM-10231"/>
        <s v="ZOM-10232"/>
        <s v="ZOM-10234"/>
        <s v="ZOM-10236"/>
        <s v="ZOM-10237"/>
        <s v="ZOM-10238"/>
        <s v="ZOM-10239"/>
        <s v="ZOM-10240"/>
        <s v="ORD_109"/>
        <s v="ZOM-10242"/>
        <s v="ZOM-10243"/>
        <s v="ZOM-10244"/>
        <s v="ZOM-10245"/>
        <s v="ZOM-10247"/>
        <s v="ZOM-10248"/>
        <s v="ZOM-10249"/>
        <s v="ZOM-10250"/>
        <s v="ZOM-10251"/>
        <s v="ZOM-10252"/>
        <s v="ZOM-10254"/>
        <s v="ZOM-10255"/>
        <s v="ZOM-10256"/>
        <s v="ZOM-10258"/>
        <s v="ZOM-10259"/>
        <s v="ZOM-10260"/>
        <s v="ZOM-10261"/>
        <s v="ZOM-10263"/>
        <s v="ZOM-10265"/>
        <s v="ZOM-10266"/>
        <s v="ZOM-10268"/>
        <s v="ZOM-10269"/>
        <s v="ZOM-10270"/>
        <s v="ZOM-10271"/>
        <s v="ZOM-10272"/>
        <s v="ZOM-10273"/>
        <s v="ZOM-10275"/>
        <s v="ZOM-10276"/>
        <s v="ZOM-10277"/>
        <s v="ZOM-10278"/>
        <s v="ZOM-10282"/>
        <s v="ZOM-10283"/>
        <s v="ZOM-10286"/>
        <s v="ZOM-10288"/>
        <s v="ZOM-10289"/>
        <s v="ZOM-10290"/>
        <s v="ZOM-10291"/>
        <s v="ZOM-10292"/>
        <s v="ZOM-10293"/>
        <s v="ZOM-10295"/>
        <s v="ZOM-10296"/>
        <s v="ZOM-10298"/>
        <s v="ZOM-10299"/>
        <s v="ZOM-10300"/>
        <s v="ZOM-10301"/>
        <s v="ZOM-10302"/>
        <s v="ZOM-10303"/>
        <s v="ZOM-10304"/>
        <s v="ZOM-10305"/>
        <s v="ZOM-10306"/>
        <s v="ZOM-10307"/>
        <s v="ZOM-10308"/>
        <s v="ZOM-10309"/>
        <s v="ZOM-10310"/>
        <s v="ZOM-10311"/>
        <s v="ZOM-10312"/>
        <s v="ZOM-10313"/>
        <s v="ZOM-10314"/>
        <s v="ZOM-10315"/>
        <s v="ZOM-10316"/>
        <s v="ZOM-10317"/>
        <s v="ZOM-10318"/>
        <s v="ZOM-10319"/>
        <s v="ZOM-10320"/>
        <s v="ZOM-10321"/>
        <s v="ZOM-10322"/>
        <s v="ZOM-10323"/>
        <s v="ZOM-10324"/>
        <s v="ZOM-10325"/>
        <s v="ZOM-10326"/>
        <s v="ZOM-10327"/>
        <s v="ZOM-10328"/>
        <s v="ZOM-10329"/>
        <s v="ZOM-10331"/>
        <s v="ZOM-10332"/>
        <s v="ZOM-10333"/>
        <s v="ZOM-10335"/>
        <s v="ZOM-10336"/>
        <s v="ZOM-10337"/>
        <s v="ZOM-10338"/>
        <s v="ZOM-10339"/>
        <s v="ZOM-10340"/>
        <s v="ZOM-10341"/>
        <s v="ZOM-10342"/>
        <s v="ZOM-10344"/>
        <s v="ZOM-10345"/>
        <s v="ZOM-10347"/>
        <s v="ZOM-10349"/>
        <s v="ZOM-10350"/>
        <s v="ZOM-10351"/>
        <s v="ZOM-10352"/>
        <s v="ZOM-10354"/>
        <s v="ZOM-10355"/>
        <s v="ZOM-10356"/>
        <s v="ZOM-10357"/>
        <s v="ZOM-10358"/>
        <s v="ZOM-10359"/>
        <s v="ZOM-10360"/>
        <s v="ZOM-10361"/>
        <s v="ZOM-10364"/>
        <s v="ZOM-10365"/>
        <s v="ZOM-10366"/>
        <s v="ZOM-10367"/>
        <s v="ZOM-10368"/>
        <s v="ZOM-10370"/>
        <s v="ZOM-10372"/>
        <s v="ZOM-10374"/>
        <s v="ZOM-10376"/>
        <s v="ZOM-10377"/>
        <s v="ZOM-10378"/>
        <s v="ZOM-10379"/>
        <s v="ZOM-10380"/>
        <s v="ZOM-10381"/>
        <s v="ZOM-10382"/>
        <s v="ZOM-10383"/>
        <s v="ZOM-10384"/>
        <s v="ZOM-10385"/>
        <s v="ZOM-10386"/>
        <s v="ORD_116"/>
        <s v="ZOM-10389"/>
        <s v="ZOM-10390"/>
        <s v="ZOM-10391"/>
        <s v="ZOM-10392"/>
        <s v="ZOM-10393"/>
        <s v="ZOM-10394"/>
        <s v="ZOM-10395"/>
        <s v="ZOM-10396"/>
        <s v="ZOM-10397"/>
        <s v="ZOM-10398"/>
        <s v="ZOM-10400"/>
        <s v="ZOM-10401"/>
        <s v="ZOM-10402"/>
        <s v="ZOM-10403"/>
        <s v="ZOM-10404"/>
        <s v="ZOM-10405"/>
        <s v="ZOM-10406"/>
        <s v="ZOM-10407"/>
        <s v="ZOM-10409"/>
        <s v="ZOM-10410"/>
        <s v="ZOM-10411"/>
        <s v="ZOM-10412"/>
        <s v="ZOM-10413"/>
        <s v="ZOM-10414"/>
        <s v="ZOM-10415"/>
        <s v="ZOM-10418"/>
        <s v="ZOM-10419"/>
        <s v="ZOM-10421"/>
        <s v="ZOM-10422"/>
        <s v="ZOM-10423"/>
        <s v="ZOM-10424"/>
        <s v="ZOM-10425"/>
        <s v="ZOM-10428"/>
        <s v="ZOM-10429"/>
        <s v="ZOM-10431"/>
        <s v="ZOM-10432"/>
        <s v="ORD_150"/>
        <s v="ZOM-10434"/>
        <s v="ZOM-10435"/>
        <s v="ZOM-10436"/>
        <s v="ZOM-10437"/>
        <s v="ZOM-10438"/>
        <s v="ZOM-10439"/>
        <s v="ORD_148"/>
        <s v="ZOM-10443"/>
        <s v="ZOM-10446"/>
        <s v="ZOM-10447"/>
        <s v="ZOM-10448"/>
        <s v="ZOM-10449"/>
        <s v="ZOM-10450"/>
        <s v="ZOM-10452"/>
        <s v="ZOM-10453"/>
        <s v="ZOM-10454"/>
        <s v="ZOM-10455"/>
        <s v="ZOM-10456"/>
        <s v="ZOM-10457"/>
        <s v="ZOM-10458"/>
        <s v="ZOM-10459"/>
        <s v="ZOM-10460"/>
        <s v="ZOM-10461"/>
        <s v="ZOM-10463"/>
        <s v="ZOM-10464"/>
        <s v="ZOM-10465"/>
        <s v="ZOM-10466"/>
        <s v="ZOM-10467"/>
        <s v="ZOM-10468"/>
        <s v="ZOM-10469"/>
        <s v="ZOM-10470"/>
        <s v="ZOM-10471"/>
        <s v="ZOM-10472"/>
        <s v="ZOM-10473"/>
        <s v="ZOM-10474"/>
        <s v="ZOM-10475"/>
        <s v="ZOM-10476"/>
        <s v="ZOM-10477"/>
        <s v="ZOM-10479"/>
        <s v="ZOM-10480"/>
        <s v="ZOM-10481"/>
        <s v="ZOM-10482"/>
        <s v="ZOM-10484"/>
        <s v="ZOM-10487"/>
        <s v="ZOM-10488"/>
        <s v="ZOM-10489"/>
        <s v="ZOM-10490"/>
        <s v="ZOM-10491"/>
        <s v="ZOM-10492"/>
        <s v="ZOM-10493"/>
        <s v="ZOM-10494"/>
        <s v="ZOM-10495"/>
        <s v="ZOM-10496"/>
        <s v="ZOM-10497"/>
        <s v="ZOM-10498"/>
        <s v="ZOM-10499"/>
      </sharedItems>
    </cacheField>
    <cacheField name="Order_Date" numFmtId="165">
      <sharedItems containsSemiMixedTypes="0" containsNonDate="0" containsDate="1" containsString="0" minDate="2026-01-01T00:00:00" maxDate="2027-01-01T00:00:00"/>
    </cacheField>
    <cacheField name="Order_Date.1" numFmtId="0">
      <sharedItems containsBlank="1"/>
    </cacheField>
    <cacheField name="Order_Date.2" numFmtId="164">
      <sharedItems containsSemiMixedTypes="0" containsNonDate="0" containsDate="1" containsString="0" minDate="1899-12-30T00:00:00" maxDate="1899-12-31T00:00:00"/>
    </cacheField>
    <cacheField name="Restaurant" numFmtId="0">
      <sharedItems/>
    </cacheField>
    <cacheField name="City" numFmtId="0">
      <sharedItems count="14">
        <s v="Delhi"/>
        <s v="Ahmedabad"/>
        <s v="Bengaluru"/>
        <s v="Chennai"/>
        <s v="Bangalore"/>
        <s v="Kolkata"/>
        <s v="Hyderabad"/>
        <s v="Pune"/>
        <s v="Jaipur"/>
        <s v="Mumbai"/>
        <s v="Lucknow"/>
        <s v="Unknown"/>
        <s v="Bombay"/>
        <s v="Calcutta"/>
      </sharedItems>
    </cacheField>
    <cacheField name="Cuisine" numFmtId="0">
      <sharedItems/>
    </cacheField>
    <cacheField name="Customer_Age" numFmtId="0">
      <sharedItems containsSemiMixedTypes="0" containsString="0" containsNumber="1" containsInteger="1" minValue="18" maxValue="65"/>
    </cacheField>
    <cacheField name="Rating" numFmtId="0">
      <sharedItems containsSemiMixedTypes="0" containsString="0" containsNumber="1" minValue="1" maxValue="5"/>
    </cacheField>
    <cacheField name="Delivery_Time" numFmtId="0">
      <sharedItems/>
    </cacheField>
    <cacheField name="Order_Value" numFmtId="0">
      <sharedItems containsSemiMixedTypes="0" containsString="0" containsNumber="1" containsInteger="1" minValue="123" maxValue="2496"/>
    </cacheField>
    <cacheField name="Discount" numFmtId="0">
      <sharedItems containsSemiMixedTypes="0" containsString="0" containsNumber="1" minValue="0" maxValue="150"/>
    </cacheField>
    <cacheField name="Payment_Mode" numFmtId="0">
      <sharedItems/>
    </cacheField>
    <cacheField name="Order_Status" numFmtId="0">
      <sharedItems/>
    </cacheField>
    <cacheField name="Number_of_Items" numFmtId="0">
      <sharedItems containsSemiMixedTypes="0" containsString="0" containsNumber="1" containsInteger="1" minValue="0" maxValue="10"/>
    </cacheField>
    <cacheField name="Delivery_Partner" numFmtId="0">
      <sharedItems/>
    </cacheField>
    <cacheField name="Profit" numFmtId="0">
      <sharedItems containsString="0" containsBlank="1" containsNumber="1" containsInteger="1" minValue="0" maxValue="2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s v="ORD_117"/>
    <d v="2026-05-07T00:00:00"/>
    <s v="03-03-2024"/>
    <d v="1899-12-30T00:00:00"/>
    <x v="0"/>
    <s v="Delhi"/>
    <x v="0"/>
    <n v="55"/>
    <n v="4.5"/>
    <s v="35mins"/>
    <n v="1782"/>
    <n v="0.2"/>
    <x v="0"/>
    <x v="0"/>
    <n v="7"/>
    <s v="Zomato Valet"/>
    <n v="124"/>
  </r>
  <r>
    <s v="ZOM-10002"/>
    <d v="2026-05-11T00:00:00"/>
    <s v="12-01-2024"/>
    <d v="1899-12-30T00:00:00"/>
    <x v="1"/>
    <s v="Ahmedabad"/>
    <x v="1"/>
    <n v="58"/>
    <n v="3.9"/>
    <s v="39 mins"/>
    <n v="762"/>
    <n v="50"/>
    <x v="1"/>
    <x v="1"/>
    <n v="10"/>
    <s v="In-House"/>
    <n v="51"/>
  </r>
  <r>
    <s v="ZOM-10003"/>
    <d v="2026-10-09T00:00:00"/>
    <s v="04-03-2024"/>
    <d v="1899-12-30T00:00:00"/>
    <x v="2"/>
    <s v="Bengaluru"/>
    <x v="2"/>
    <n v="42"/>
    <n v="2.9"/>
    <s v="16mins"/>
    <n v="1739"/>
    <n v="75"/>
    <x v="1"/>
    <x v="1"/>
    <n v="9"/>
    <s v="Shadowfax"/>
    <n v="126"/>
  </r>
  <r>
    <s v="ZOM-10000"/>
    <d v="2026-08-30T00:00:00"/>
    <s v="21-05-2024"/>
    <d v="1899-12-30T00:00:00"/>
    <x v="3"/>
    <s v="Chennai"/>
    <x v="1"/>
    <n v="33"/>
    <n v="4.2"/>
    <s v="21 mins"/>
    <n v="1688"/>
    <n v="150"/>
    <x v="0"/>
    <x v="1"/>
    <n v="4"/>
    <s v="Shadowfax"/>
    <n v="19"/>
  </r>
  <r>
    <s v="ZOM-10006"/>
    <d v="2026-10-31T00:00:00"/>
    <s v="20-05-2024"/>
    <d v="1899-12-30T00:00:00"/>
    <x v="4"/>
    <s v="Bangalore"/>
    <x v="3"/>
    <n v="47"/>
    <n v="3.8"/>
    <s v="77mins"/>
    <n v="488"/>
    <n v="120"/>
    <x v="1"/>
    <x v="1"/>
    <n v="1"/>
    <s v="Rapido"/>
    <n v="116"/>
  </r>
  <r>
    <s v="ZOM-10007"/>
    <d v="2026-10-03T00:00:00"/>
    <s v="25-05-2024"/>
    <d v="1899-12-30T00:00:00"/>
    <x v="3"/>
    <s v="Kolkata"/>
    <x v="4"/>
    <n v="22"/>
    <n v="2.5"/>
    <s v="27mins"/>
    <n v="294"/>
    <n v="0.2"/>
    <x v="0"/>
    <x v="1"/>
    <n v="9"/>
    <s v="Zomato Valet"/>
    <n v="227"/>
  </r>
  <r>
    <s v="ZOM-10008"/>
    <d v="2026-06-09T00:00:00"/>
    <s v="28-01-2024"/>
    <d v="1899-12-30T00:00:00"/>
    <x v="1"/>
    <s v="Kolkata"/>
    <x v="5"/>
    <n v="18"/>
    <n v="3.5"/>
    <s v="71mins"/>
    <n v="1433"/>
    <n v="0"/>
    <x v="0"/>
    <x v="1"/>
    <n v="3"/>
    <s v="Zomato Valet"/>
    <n v="183"/>
  </r>
  <r>
    <s v="ZOM-10009"/>
    <d v="2026-10-26T00:00:00"/>
    <s v="04-03-2024"/>
    <d v="1899-12-30T00:00:00"/>
    <x v="4"/>
    <s v="Hyderabad"/>
    <x v="6"/>
    <n v="39"/>
    <n v="2.6"/>
    <s v="46mins"/>
    <n v="755"/>
    <n v="0.1"/>
    <x v="2"/>
    <x v="2"/>
    <n v="4"/>
    <s v="Grab"/>
    <n v="239"/>
  </r>
  <r>
    <s v="ZOM-10010"/>
    <d v="2026-08-25T00:00:00"/>
    <s v="17-05-2024"/>
    <d v="1899-12-30T00:00:00"/>
    <x v="0"/>
    <s v="Delhi"/>
    <x v="7"/>
    <n v="30"/>
    <n v="3.8"/>
    <s v="15 mins"/>
    <n v="2323"/>
    <n v="150"/>
    <x v="1"/>
    <x v="1"/>
    <n v="5"/>
    <s v="Rapido"/>
    <n v="53"/>
  </r>
  <r>
    <s v="ZOM-10011"/>
    <d v="2026-09-08T00:00:00"/>
    <s v="04-07-2024"/>
    <d v="1899-12-30T23:07:00"/>
    <x v="5"/>
    <s v="Kolkata"/>
    <x v="7"/>
    <n v="65"/>
    <n v="1.3"/>
    <s v="57mins"/>
    <n v="342"/>
    <n v="0.2"/>
    <x v="3"/>
    <x v="1"/>
    <n v="10"/>
    <s v="Shadowfax"/>
    <n v="52"/>
  </r>
  <r>
    <s v="ZOM-10012"/>
    <d v="2026-12-19T00:00:00"/>
    <s v="07-16-2024"/>
    <d v="1899-12-30T03:38:00"/>
    <x v="6"/>
    <s v="Hyderabad"/>
    <x v="8"/>
    <n v="46"/>
    <n v="3.9"/>
    <s v="72mins"/>
    <n v="2255"/>
    <n v="75"/>
    <x v="4"/>
    <x v="1"/>
    <n v="5"/>
    <s v="Shadowfax"/>
    <n v="98"/>
  </r>
  <r>
    <s v="ZOM-10013"/>
    <d v="2026-06-07T00:00:00"/>
    <s v="29-06-2024"/>
    <d v="1899-12-30T00:00:00"/>
    <x v="7"/>
    <s v="Pune"/>
    <x v="9"/>
    <n v="42"/>
    <n v="4.8"/>
    <s v="43mins"/>
    <n v="1282"/>
    <n v="100"/>
    <x v="5"/>
    <x v="1"/>
    <n v="7"/>
    <s v="Rapido"/>
    <n v="132"/>
  </r>
  <r>
    <s v="ZOM-10014"/>
    <d v="2026-06-23T00:00:00"/>
    <s v="07-04-2024"/>
    <d v="1899-12-30T00:00:00"/>
    <x v="8"/>
    <s v="Pune"/>
    <x v="0"/>
    <n v="59"/>
    <n v="2.5"/>
    <s v="15 mins"/>
    <n v="709"/>
    <n v="50"/>
    <x v="4"/>
    <x v="1"/>
    <n v="10"/>
    <s v="In-House"/>
    <n v="26"/>
  </r>
  <r>
    <s v="ZOM-10015"/>
    <d v="2026-05-19T00:00:00"/>
    <s v="27-05-2024"/>
    <d v="1899-12-30T00:00:00"/>
    <x v="7"/>
    <s v="Hyderabad"/>
    <x v="10"/>
    <n v="18"/>
    <n v="3.6"/>
    <s v="56 mins"/>
    <n v="932"/>
    <n v="0"/>
    <x v="2"/>
    <x v="3"/>
    <n v="5"/>
    <s v="Rapido"/>
    <n v="80"/>
  </r>
  <r>
    <s v="ZOM-10016"/>
    <d v="2026-03-08T00:00:00"/>
    <s v="03-03-2024"/>
    <d v="1899-12-30T00:00:00"/>
    <x v="9"/>
    <s v="Delhi"/>
    <x v="7"/>
    <n v="35"/>
    <n v="3.1"/>
    <s v="30 mins"/>
    <n v="1834"/>
    <n v="150"/>
    <x v="2"/>
    <x v="1"/>
    <n v="10"/>
    <s v="Dunzo"/>
    <n v="60"/>
  </r>
  <r>
    <s v="ZOM-10018"/>
    <d v="2026-12-20T00:00:00"/>
    <s v="24-06-2024"/>
    <d v="1899-12-30T00:00:00"/>
    <x v="10"/>
    <s v="Jaipur"/>
    <x v="1"/>
    <n v="55"/>
    <n v="2.2000000000000002"/>
    <s v="27mins"/>
    <n v="2375"/>
    <n v="0.1"/>
    <x v="4"/>
    <x v="1"/>
    <n v="4"/>
    <s v="Dunzo"/>
    <n v="70"/>
  </r>
  <r>
    <s v="ZOM-10019"/>
    <d v="2026-03-22T00:00:00"/>
    <s v="06-09-2024"/>
    <d v="1899-12-30T20:07:00"/>
    <x v="6"/>
    <s v="Bangalore"/>
    <x v="10"/>
    <n v="43"/>
    <n v="3"/>
    <s v="25mins"/>
    <n v="1543"/>
    <n v="120"/>
    <x v="6"/>
    <x v="3"/>
    <n v="1"/>
    <s v="In-House"/>
    <n v="172"/>
  </r>
  <r>
    <s v="ZOM-10020"/>
    <d v="2026-05-13T00:00:00"/>
    <s v="12-03-2024"/>
    <d v="1899-12-30T00:00:00"/>
    <x v="7"/>
    <s v="Chennai"/>
    <x v="4"/>
    <n v="53"/>
    <n v="2.5"/>
    <s v="31 mins"/>
    <n v="889"/>
    <n v="120"/>
    <x v="0"/>
    <x v="3"/>
    <n v="8"/>
    <s v="Zomato Valet"/>
    <n v="226"/>
  </r>
  <r>
    <s v="ZOM-10021"/>
    <d v="2026-03-06T00:00:00"/>
    <s v="06-10-2024"/>
    <d v="1899-12-30T20:46:00"/>
    <x v="2"/>
    <s v="Mumbai"/>
    <x v="8"/>
    <n v="48"/>
    <n v="2"/>
    <s v="64mins"/>
    <n v="574"/>
    <n v="50"/>
    <x v="0"/>
    <x v="4"/>
    <n v="10"/>
    <s v="In-House"/>
    <n v="98"/>
  </r>
  <r>
    <s v="ZOM-10022"/>
    <d v="2026-02-06T00:00:00"/>
    <s v="26-04-2024"/>
    <d v="1899-12-30T00:00:00"/>
    <x v="2"/>
    <s v="Chennai"/>
    <x v="4"/>
    <n v="20"/>
    <n v="4.9000000000000004"/>
    <s v="27mins"/>
    <n v="2201"/>
    <n v="100"/>
    <x v="0"/>
    <x v="3"/>
    <n v="10"/>
    <s v="In-House"/>
    <n v="28"/>
  </r>
  <r>
    <s v="ZOM-10023"/>
    <d v="2026-09-21T00:00:00"/>
    <s v="09-06-2024"/>
    <d v="1899-12-30T00:00:00"/>
    <x v="3"/>
    <s v="Hyderabad"/>
    <x v="11"/>
    <n v="18"/>
    <n v="2.2000000000000002"/>
    <s v="33mins"/>
    <n v="701"/>
    <n v="50"/>
    <x v="4"/>
    <x v="3"/>
    <n v="5"/>
    <s v="Grab"/>
    <n v="186"/>
  </r>
  <r>
    <s v="ZOM-10024"/>
    <d v="2026-11-22T00:00:00"/>
    <s v="23-04-2024"/>
    <d v="1899-12-30T00:00:00"/>
    <x v="1"/>
    <s v="Hyderabad"/>
    <x v="4"/>
    <n v="60"/>
    <n v="1"/>
    <s v="21mins"/>
    <n v="2287"/>
    <n v="75"/>
    <x v="4"/>
    <x v="1"/>
    <n v="3"/>
    <s v="In-House"/>
    <n v="67"/>
  </r>
  <r>
    <s v="ZOM-10025"/>
    <d v="2026-05-28T00:00:00"/>
    <s v="03-02-2024"/>
    <d v="1899-12-30T00:00:00"/>
    <x v="8"/>
    <s v="Chennai"/>
    <x v="12"/>
    <n v="39"/>
    <n v="2.9"/>
    <s v="63 mins"/>
    <n v="2420"/>
    <n v="100"/>
    <x v="7"/>
    <x v="1"/>
    <n v="5"/>
    <s v="Rapido"/>
    <n v="43"/>
  </r>
  <r>
    <s v="ZOM-10026"/>
    <d v="2026-01-04T00:00:00"/>
    <s v="23-05-2024"/>
    <d v="1899-12-30T00:00:00"/>
    <x v="6"/>
    <s v="Pune"/>
    <x v="5"/>
    <n v="26"/>
    <n v="2.5"/>
    <s v="68mins"/>
    <n v="1518"/>
    <n v="150"/>
    <x v="0"/>
    <x v="2"/>
    <n v="4"/>
    <s v="Dunzo"/>
    <n v="100"/>
  </r>
  <r>
    <s v="ZOM-10027"/>
    <d v="2026-04-02T00:00:00"/>
    <s v="18-02-2024"/>
    <d v="1899-12-30T00:00:00"/>
    <x v="9"/>
    <s v="Delhi"/>
    <x v="10"/>
    <n v="32"/>
    <n v="1.6"/>
    <s v="15mins"/>
    <n v="780"/>
    <n v="120"/>
    <x v="5"/>
    <x v="5"/>
    <n v="4"/>
    <s v="Rapido"/>
    <n v="63"/>
  </r>
  <r>
    <s v="ZOM-10028"/>
    <d v="2026-09-14T00:00:00"/>
    <s v="05-01-2024"/>
    <d v="1899-12-30T15:18:00"/>
    <x v="4"/>
    <s v="Jaipur"/>
    <x v="8"/>
    <n v="46"/>
    <n v="1.3"/>
    <s v="23mins"/>
    <n v="420"/>
    <n v="150"/>
    <x v="5"/>
    <x v="1"/>
    <n v="9"/>
    <s v="In-House"/>
    <n v="213"/>
  </r>
  <r>
    <s v="ZOM-10029"/>
    <d v="2026-10-21T00:00:00"/>
    <s v="05-07-2024"/>
    <d v="1899-12-30T00:00:00"/>
    <x v="8"/>
    <s v="Mumbai"/>
    <x v="7"/>
    <n v="39"/>
    <n v="2.6"/>
    <s v="69mins"/>
    <n v="2186"/>
    <n v="120"/>
    <x v="5"/>
    <x v="1"/>
    <n v="6"/>
    <s v="Zomato Valet"/>
    <n v="186"/>
  </r>
  <r>
    <s v="ZOM-10030"/>
    <d v="2026-07-04T00:00:00"/>
    <s v="06-06-2024"/>
    <d v="1899-12-30T23:02:00"/>
    <x v="11"/>
    <s v="Kolkata"/>
    <x v="5"/>
    <n v="65"/>
    <n v="1.1000000000000001"/>
    <s v="42mins"/>
    <n v="1015"/>
    <n v="0.2"/>
    <x v="1"/>
    <x v="1"/>
    <n v="2"/>
    <s v="Dunzo"/>
    <n v="120"/>
  </r>
  <r>
    <s v="ZOM-10031"/>
    <d v="2026-06-29T00:00:00"/>
    <s v="29-03-2024"/>
    <d v="1899-12-30T00:00:00"/>
    <x v="12"/>
    <s v="Pune"/>
    <x v="1"/>
    <n v="38"/>
    <n v="3"/>
    <s v="31mins"/>
    <n v="1025"/>
    <n v="150"/>
    <x v="5"/>
    <x v="1"/>
    <n v="7"/>
    <s v="Rapido"/>
    <n v="16"/>
  </r>
  <r>
    <s v="ZOM-10032"/>
    <d v="2026-04-09T00:00:00"/>
    <s v="07-06-2024"/>
    <d v="1899-12-30T00:00:00"/>
    <x v="8"/>
    <s v="Jaipur"/>
    <x v="1"/>
    <n v="50"/>
    <n v="4.0999999999999996"/>
    <s v="33mins"/>
    <n v="682"/>
    <n v="0.6"/>
    <x v="4"/>
    <x v="1"/>
    <n v="10"/>
    <s v="In-House"/>
    <n v="205"/>
  </r>
  <r>
    <s v="ZOM-10033"/>
    <d v="2026-04-21T00:00:00"/>
    <s v="23-04-2024"/>
    <d v="1899-12-30T00:00:00"/>
    <x v="1"/>
    <s v="Delhi"/>
    <x v="11"/>
    <n v="65"/>
    <n v="2.8"/>
    <s v="39mins"/>
    <n v="885"/>
    <n v="0.1"/>
    <x v="2"/>
    <x v="1"/>
    <n v="8"/>
    <s v="Grab"/>
    <n v="40"/>
  </r>
  <r>
    <s v="ZOM-10034"/>
    <d v="2026-01-08T00:00:00"/>
    <s v="22-06-2024"/>
    <d v="1899-12-30T00:00:00"/>
    <x v="12"/>
    <s v="Pune"/>
    <x v="10"/>
    <n v="40"/>
    <n v="3.6"/>
    <s v="31mins"/>
    <n v="1536"/>
    <n v="0.5"/>
    <x v="1"/>
    <x v="1"/>
    <n v="1"/>
    <s v="Dunzo"/>
    <n v="33"/>
  </r>
  <r>
    <s v="ZOM-10035"/>
    <d v="2026-05-11T00:00:00"/>
    <s v="09-02-2024"/>
    <d v="1899-12-30T00:00:00"/>
    <x v="0"/>
    <s v="Chennai"/>
    <x v="2"/>
    <n v="28"/>
    <n v="1.2"/>
    <s v="45mins"/>
    <n v="2428"/>
    <n v="100"/>
    <x v="4"/>
    <x v="1"/>
    <n v="10"/>
    <s v="Grab"/>
    <n v="46"/>
  </r>
  <r>
    <s v="ZOM-10036"/>
    <d v="2026-10-18T00:00:00"/>
    <s v="03-06-2024"/>
    <d v="1899-12-30T00:00:00"/>
    <x v="3"/>
    <s v="Jaipur"/>
    <x v="12"/>
    <n v="32"/>
    <n v="4.5"/>
    <s v="68mins"/>
    <n v="247"/>
    <n v="0.1"/>
    <x v="5"/>
    <x v="2"/>
    <n v="8"/>
    <s v="In-House"/>
    <n v="75"/>
  </r>
  <r>
    <s v="ORD_113"/>
    <d v="2026-03-19T00:00:00"/>
    <s v="08-02-2024"/>
    <d v="1899-12-30T00:00:00"/>
    <x v="10"/>
    <s v="Delhi"/>
    <x v="11"/>
    <n v="18"/>
    <n v="2"/>
    <s v="42 mins"/>
    <n v="124"/>
    <n v="50"/>
    <x v="1"/>
    <x v="1"/>
    <n v="1"/>
    <s v="Grab"/>
    <n v="48"/>
  </r>
  <r>
    <s v="ZOM-10038"/>
    <d v="2026-01-29T00:00:00"/>
    <s v="18-01-2024"/>
    <d v="1899-12-30T00:00:00"/>
    <x v="12"/>
    <s v="Delhi"/>
    <x v="8"/>
    <n v="63"/>
    <n v="2.8"/>
    <s v="20mins"/>
    <n v="2003"/>
    <n v="0.2"/>
    <x v="7"/>
    <x v="1"/>
    <n v="1"/>
    <s v="In-House"/>
    <n v="41"/>
  </r>
  <r>
    <s v="ZOM-10039"/>
    <d v="2026-08-23T00:00:00"/>
    <s v="08-04-2024"/>
    <d v="1899-12-30T00:00:00"/>
    <x v="9"/>
    <s v="Mumbai"/>
    <x v="10"/>
    <n v="38"/>
    <n v="2.2000000000000002"/>
    <s v="69mins"/>
    <n v="517"/>
    <n v="150"/>
    <x v="5"/>
    <x v="1"/>
    <n v="3"/>
    <s v="Zomato Valet"/>
    <m/>
  </r>
  <r>
    <s v="ZOM-10040"/>
    <d v="2026-01-18T00:00:00"/>
    <s v="03-04-2024"/>
    <d v="1899-12-30T00:00:00"/>
    <x v="13"/>
    <s v="Bangalore"/>
    <x v="11"/>
    <n v="33"/>
    <n v="1.1000000000000001"/>
    <s v="48 mins"/>
    <n v="1041"/>
    <n v="0.2"/>
    <x v="1"/>
    <x v="1"/>
    <n v="3"/>
    <s v="In-House"/>
    <n v="145"/>
  </r>
  <r>
    <s v="ZOM-10041"/>
    <d v="2026-08-30T00:00:00"/>
    <s v="17-01-2024"/>
    <d v="1899-12-30T00:00:00"/>
    <x v="1"/>
    <s v="Chennai"/>
    <x v="2"/>
    <n v="47"/>
    <n v="3.2"/>
    <s v="26mins"/>
    <n v="276"/>
    <n v="100"/>
    <x v="7"/>
    <x v="3"/>
    <n v="9"/>
    <s v="Dunzo"/>
    <n v="102"/>
  </r>
  <r>
    <s v="ZOM-10042"/>
    <d v="2026-03-22T00:00:00"/>
    <s v="08-05-2024"/>
    <d v="1899-12-30T00:00:00"/>
    <x v="4"/>
    <s v="Chennai"/>
    <x v="11"/>
    <n v="37"/>
    <n v="1.4"/>
    <s v="34mins"/>
    <n v="527"/>
    <n v="75"/>
    <x v="7"/>
    <x v="1"/>
    <n v="10"/>
    <s v="Unknown"/>
    <n v="213"/>
  </r>
  <r>
    <s v="ZOM-10043"/>
    <d v="2026-05-11T00:00:00"/>
    <s v="03-03-2024"/>
    <d v="1899-12-30T00:00:00"/>
    <x v="0"/>
    <s v="Chennai"/>
    <x v="7"/>
    <n v="38"/>
    <n v="1.5"/>
    <s v="33mins"/>
    <n v="350"/>
    <n v="0.6"/>
    <x v="2"/>
    <x v="2"/>
    <n v="3"/>
    <s v="Grab"/>
    <n v="210"/>
  </r>
  <r>
    <s v="ZOM-10044"/>
    <d v="2026-04-04T00:00:00"/>
    <s v="27-04-2024"/>
    <d v="1899-12-30T00:00:00"/>
    <x v="13"/>
    <s v="Kolkata"/>
    <x v="13"/>
    <n v="34"/>
    <n v="4.0999999999999996"/>
    <s v="66mins"/>
    <n v="242"/>
    <n v="0.2"/>
    <x v="0"/>
    <x v="1"/>
    <n v="7"/>
    <s v="Dunzo"/>
    <n v="230"/>
  </r>
  <r>
    <s v="ZOM-10045"/>
    <d v="2026-04-27T00:00:00"/>
    <s v="08-05-2024"/>
    <d v="1899-12-30T00:00:00"/>
    <x v="14"/>
    <s v="Jaipur"/>
    <x v="4"/>
    <n v="50"/>
    <n v="3.8"/>
    <s v="17mins"/>
    <n v="997"/>
    <n v="120"/>
    <x v="5"/>
    <x v="1"/>
    <n v="10"/>
    <s v="Rapido"/>
    <n v="79"/>
  </r>
  <r>
    <s v="ZOM-10046"/>
    <d v="2026-12-29T00:00:00"/>
    <s v="07-04-2024"/>
    <d v="1899-12-30T00:00:00"/>
    <x v="13"/>
    <s v="Mumbai"/>
    <x v="4"/>
    <n v="65"/>
    <n v="3.8"/>
    <s v="56mins"/>
    <n v="2496"/>
    <n v="0.15"/>
    <x v="2"/>
    <x v="2"/>
    <n v="9"/>
    <s v="Dunzo"/>
    <n v="18"/>
  </r>
  <r>
    <s v="ZOM-10047"/>
    <d v="2026-03-09T00:00:00"/>
    <s v="22-03-2024"/>
    <d v="1899-12-30T00:00:00"/>
    <x v="2"/>
    <s v="Pune"/>
    <x v="12"/>
    <n v="59"/>
    <n v="2.9"/>
    <s v="49 mins"/>
    <n v="765"/>
    <n v="0.1"/>
    <x v="7"/>
    <x v="1"/>
    <n v="6"/>
    <s v="In-House"/>
    <n v="35"/>
  </r>
  <r>
    <s v="ZOM-10048"/>
    <d v="2026-02-06T00:00:00"/>
    <s v="16-06-2024"/>
    <d v="1899-12-30T00:00:00"/>
    <x v="6"/>
    <s v="Mumbai"/>
    <x v="5"/>
    <n v="20"/>
    <n v="2.6"/>
    <s v="52mins"/>
    <n v="500"/>
    <n v="0"/>
    <x v="5"/>
    <x v="1"/>
    <n v="5"/>
    <s v="Shadowfax"/>
    <n v="161"/>
  </r>
  <r>
    <s v="ORD_121"/>
    <d v="2026-12-25T00:00:00"/>
    <s v="03-16-2024"/>
    <d v="1899-12-30T19:22:00"/>
    <x v="6"/>
    <s v="Jaipur"/>
    <x v="2"/>
    <n v="46"/>
    <n v="4.8"/>
    <s v="16mins"/>
    <n v="742"/>
    <n v="0.1"/>
    <x v="2"/>
    <x v="2"/>
    <n v="6"/>
    <s v="Rapido"/>
    <n v="78"/>
  </r>
  <r>
    <s v="ZOM-10050"/>
    <d v="2026-03-16T00:00:00"/>
    <s v="28-06-2024"/>
    <d v="1899-12-30T00:00:00"/>
    <x v="4"/>
    <s v="Lucknow"/>
    <x v="7"/>
    <n v="50"/>
    <n v="3.1"/>
    <s v="69 mins"/>
    <n v="1358"/>
    <n v="0.6"/>
    <x v="2"/>
    <x v="1"/>
    <n v="9"/>
    <s v="Grab"/>
    <n v="73"/>
  </r>
  <r>
    <s v="ZOM-10000"/>
    <d v="2026-06-30T00:00:00"/>
    <s v="25-02-2024"/>
    <d v="1899-12-30T00:00:00"/>
    <x v="7"/>
    <s v="Mumbai"/>
    <x v="2"/>
    <n v="44"/>
    <n v="4.5999999999999996"/>
    <s v="63mins"/>
    <n v="1014"/>
    <n v="120"/>
    <x v="4"/>
    <x v="1"/>
    <n v="1"/>
    <s v="Zomato Valet"/>
    <n v="157"/>
  </r>
  <r>
    <s v="ZOM-10052"/>
    <d v="2026-09-01T00:00:00"/>
    <s v="27-04-2024"/>
    <d v="1899-12-30T00:00:00"/>
    <x v="6"/>
    <s v="Pune"/>
    <x v="1"/>
    <n v="63"/>
    <n v="2"/>
    <s v="15 mins"/>
    <n v="1165"/>
    <n v="0"/>
    <x v="4"/>
    <x v="1"/>
    <n v="6"/>
    <s v="Shadowfax"/>
    <n v="138"/>
  </r>
  <r>
    <s v="ZOM-10053"/>
    <d v="2026-02-01T00:00:00"/>
    <s v="05-31-2024"/>
    <d v="1899-12-30T05:58:00"/>
    <x v="7"/>
    <s v="Pune"/>
    <x v="2"/>
    <n v="32"/>
    <n v="3.8"/>
    <s v="22mins"/>
    <n v="1458"/>
    <n v="50"/>
    <x v="2"/>
    <x v="1"/>
    <n v="4"/>
    <s v="Zomato Valet"/>
    <n v="119"/>
  </r>
  <r>
    <s v="ZOM-10054"/>
    <d v="2026-06-05T00:00:00"/>
    <s v="04-07-2024"/>
    <d v="1899-12-30T00:00:00"/>
    <x v="9"/>
    <s v="Hyderabad"/>
    <x v="8"/>
    <n v="33"/>
    <n v="4.0999999999999996"/>
    <s v="60mins"/>
    <n v="854"/>
    <n v="100"/>
    <x v="0"/>
    <x v="2"/>
    <n v="10"/>
    <s v="Shadowfax"/>
    <n v="103"/>
  </r>
  <r>
    <s v="ZOM-10055"/>
    <d v="2026-01-10T00:00:00"/>
    <s v="20-02-2024"/>
    <d v="1899-12-30T00:00:00"/>
    <x v="10"/>
    <s v="Kolkata"/>
    <x v="8"/>
    <n v="52"/>
    <n v="4.7"/>
    <s v="22mins"/>
    <n v="1367"/>
    <n v="0"/>
    <x v="1"/>
    <x v="3"/>
    <n v="1"/>
    <s v="Shadowfax"/>
    <n v="124"/>
  </r>
  <r>
    <s v="ZOM-10056"/>
    <d v="2026-06-14T00:00:00"/>
    <m/>
    <d v="1899-12-30T00:00:00"/>
    <x v="4"/>
    <s v="Jaipur"/>
    <x v="4"/>
    <n v="27"/>
    <n v="3.5"/>
    <s v="60mins"/>
    <n v="756"/>
    <n v="0.5"/>
    <x v="2"/>
    <x v="1"/>
    <n v="2"/>
    <s v="Grab"/>
    <m/>
  </r>
  <r>
    <s v="ZOM-10058"/>
    <d v="2026-11-27T00:00:00"/>
    <s v="03-28-2024"/>
    <d v="1899-12-30T20:39:00"/>
    <x v="10"/>
    <s v="Kolkata"/>
    <x v="0"/>
    <n v="23"/>
    <n v="2.2000000000000002"/>
    <s v="19 mins"/>
    <n v="315"/>
    <n v="150"/>
    <x v="4"/>
    <x v="1"/>
    <n v="2"/>
    <s v="Shadowfax"/>
    <n v="104"/>
  </r>
  <r>
    <s v="ZOM-10059"/>
    <d v="2026-04-07T00:00:00"/>
    <s v="21-05-2024"/>
    <d v="1899-12-30T00:00:00"/>
    <x v="8"/>
    <s v="Mumbai"/>
    <x v="1"/>
    <n v="37"/>
    <n v="1.6"/>
    <s v="32 mins"/>
    <n v="1122"/>
    <n v="0"/>
    <x v="5"/>
    <x v="1"/>
    <n v="7"/>
    <s v="Dunzo"/>
    <n v="205"/>
  </r>
  <r>
    <s v="ZOM-10060"/>
    <d v="2026-01-24T00:00:00"/>
    <s v="15-06-2024"/>
    <d v="1899-12-30T00:00:00"/>
    <x v="8"/>
    <s v="Pune"/>
    <x v="8"/>
    <n v="43"/>
    <n v="4.7"/>
    <s v="49 mins"/>
    <n v="548"/>
    <n v="0"/>
    <x v="1"/>
    <x v="2"/>
    <n v="7"/>
    <s v="In-House"/>
    <n v="0"/>
  </r>
  <r>
    <s v="ZOM-10061"/>
    <d v="2026-09-13T00:00:00"/>
    <s v="19-01-2024"/>
    <d v="1899-12-30T00:00:00"/>
    <x v="9"/>
    <s v="Pune"/>
    <x v="0"/>
    <n v="60"/>
    <n v="3.6"/>
    <s v="15 mins"/>
    <n v="2461"/>
    <n v="0.2"/>
    <x v="2"/>
    <x v="1"/>
    <n v="6"/>
    <s v="Grab"/>
    <n v="148"/>
  </r>
  <r>
    <s v="ZOM-10062"/>
    <d v="2026-03-19T00:00:00"/>
    <s v="16-03-2024"/>
    <d v="1899-12-30T00:00:00"/>
    <x v="0"/>
    <s v="Ahmedabad"/>
    <x v="11"/>
    <n v="63"/>
    <n v="4.4000000000000004"/>
    <s v="36mins"/>
    <n v="2333"/>
    <n v="120"/>
    <x v="4"/>
    <x v="1"/>
    <n v="7"/>
    <s v="Zomato Valet"/>
    <n v="68"/>
  </r>
  <r>
    <s v="ZOM-10000"/>
    <d v="2026-06-30T00:00:00"/>
    <s v="24-02-2024"/>
    <d v="1899-12-30T00:00:00"/>
    <x v="2"/>
    <s v="Jaipur"/>
    <x v="12"/>
    <n v="42"/>
    <n v="3.3"/>
    <s v="73mins"/>
    <n v="1589"/>
    <n v="75"/>
    <x v="7"/>
    <x v="3"/>
    <n v="9"/>
    <s v="Grab"/>
    <n v="47"/>
  </r>
  <r>
    <s v="ZOM-10064"/>
    <d v="2026-06-24T00:00:00"/>
    <s v="14-06-2024"/>
    <d v="1899-12-30T00:00:00"/>
    <x v="9"/>
    <s v="Chennai"/>
    <x v="4"/>
    <n v="44"/>
    <n v="2.8"/>
    <s v="51 mins"/>
    <n v="193"/>
    <n v="0.2"/>
    <x v="4"/>
    <x v="1"/>
    <n v="9"/>
    <s v="Dunzo"/>
    <n v="171"/>
  </r>
  <r>
    <s v="ZOM-10065"/>
    <d v="2026-05-08T00:00:00"/>
    <s v="07-07-2024"/>
    <d v="1899-12-30T22:18:00"/>
    <x v="1"/>
    <s v="Mumbai"/>
    <x v="1"/>
    <n v="57"/>
    <n v="1.7"/>
    <s v="28 mins"/>
    <n v="2056"/>
    <n v="120"/>
    <x v="5"/>
    <x v="2"/>
    <n v="2"/>
    <s v="Shadowfax"/>
    <n v="223"/>
  </r>
  <r>
    <s v="ZOM-10066"/>
    <d v="2026-02-17T00:00:00"/>
    <s v="03-02-2024"/>
    <d v="1899-12-30T00:00:00"/>
    <x v="8"/>
    <s v="Lucknow"/>
    <x v="11"/>
    <n v="35"/>
    <n v="4.5"/>
    <s v="77mins"/>
    <n v="500"/>
    <n v="150"/>
    <x v="0"/>
    <x v="2"/>
    <n v="7"/>
    <s v="Shadowfax"/>
    <n v="14"/>
  </r>
  <r>
    <s v="ZOM-10067"/>
    <d v="2026-05-20T00:00:00"/>
    <s v="03-28-2024"/>
    <d v="1899-12-30T23:17:00"/>
    <x v="3"/>
    <s v="Bangalore"/>
    <x v="4"/>
    <n v="28"/>
    <n v="4.5"/>
    <s v="38 mins"/>
    <n v="716"/>
    <n v="50"/>
    <x v="0"/>
    <x v="3"/>
    <n v="4"/>
    <s v="Grab"/>
    <n v="91"/>
  </r>
  <r>
    <s v="ZOM-10072"/>
    <d v="2026-04-17T00:00:00"/>
    <s v="22-03-2024"/>
    <d v="1899-12-30T00:00:00"/>
    <x v="10"/>
    <s v="Jaipur"/>
    <x v="8"/>
    <n v="47"/>
    <n v="2.5"/>
    <s v="51 mins"/>
    <n v="1987"/>
    <n v="0.2"/>
    <x v="7"/>
    <x v="1"/>
    <n v="0"/>
    <s v="Unknown"/>
    <n v="99"/>
  </r>
  <r>
    <s v="ORD_121"/>
    <d v="2026-12-26T00:00:00"/>
    <s v="01-01-2024"/>
    <d v="1899-12-30T00:00:00"/>
    <x v="2"/>
    <s v="Ahmedabad"/>
    <x v="12"/>
    <n v="62"/>
    <n v="2.8"/>
    <s v="27mins"/>
    <n v="1323"/>
    <n v="0.6"/>
    <x v="7"/>
    <x v="2"/>
    <n v="6"/>
    <s v="Dunzo"/>
    <n v="231"/>
  </r>
  <r>
    <s v="ZOM-10074"/>
    <d v="2026-07-27T00:00:00"/>
    <s v="28-01-2024"/>
    <d v="1899-12-30T00:00:00"/>
    <x v="8"/>
    <s v="Kolkata"/>
    <x v="12"/>
    <n v="38"/>
    <n v="3.8"/>
    <s v="65mins"/>
    <n v="1342"/>
    <n v="0.15"/>
    <x v="0"/>
    <x v="1"/>
    <n v="3"/>
    <s v="Unknown"/>
    <n v="194"/>
  </r>
  <r>
    <s v="ZOM-10075"/>
    <d v="2026-03-15T00:00:00"/>
    <s v="05-04-2024"/>
    <d v="1899-12-30T00:00:00"/>
    <x v="15"/>
    <s v="Mumbai"/>
    <x v="11"/>
    <n v="18"/>
    <n v="1.7"/>
    <s v="65mins"/>
    <n v="1301"/>
    <n v="75"/>
    <x v="4"/>
    <x v="3"/>
    <n v="5"/>
    <s v="Grab"/>
    <n v="60"/>
  </r>
  <r>
    <s v="ZOM-10076"/>
    <d v="2026-07-02T00:00:00"/>
    <s v="05-14-2024"/>
    <d v="1899-12-30T08:30:00"/>
    <x v="4"/>
    <s v="Jaipur"/>
    <x v="7"/>
    <n v="35"/>
    <n v="2.5"/>
    <s v="60mins"/>
    <n v="1945"/>
    <n v="0"/>
    <x v="4"/>
    <x v="1"/>
    <n v="7"/>
    <s v="Dunzo"/>
    <n v="23"/>
  </r>
  <r>
    <s v="ZOM-10077"/>
    <d v="2026-10-22T00:00:00"/>
    <m/>
    <d v="1899-12-30T00:00:00"/>
    <x v="2"/>
    <s v="Ahmedabad"/>
    <x v="5"/>
    <n v="18"/>
    <n v="1.8"/>
    <s v="60 mins"/>
    <n v="542"/>
    <n v="0"/>
    <x v="0"/>
    <x v="1"/>
    <n v="6"/>
    <s v="In-House"/>
    <n v="47"/>
  </r>
  <r>
    <s v="ZOM-10078"/>
    <d v="2026-11-26T00:00:00"/>
    <s v="21-04-2024"/>
    <d v="1899-12-30T00:00:00"/>
    <x v="12"/>
    <s v="Lucknow"/>
    <x v="2"/>
    <n v="18"/>
    <n v="4.8"/>
    <s v="19mins"/>
    <n v="553"/>
    <n v="120"/>
    <x v="4"/>
    <x v="2"/>
    <n v="3"/>
    <s v="In-House"/>
    <n v="154"/>
  </r>
  <r>
    <s v="ZOM-10079"/>
    <d v="2026-02-10T00:00:00"/>
    <s v="08-03-2024"/>
    <d v="1899-12-30T00:00:00"/>
    <x v="0"/>
    <s v="Ahmedabad"/>
    <x v="8"/>
    <n v="54"/>
    <n v="3.7"/>
    <s v="19 mins"/>
    <n v="500"/>
    <n v="0"/>
    <x v="5"/>
    <x v="1"/>
    <n v="2"/>
    <s v="Dunzo"/>
    <m/>
  </r>
  <r>
    <s v="ZOM-10080"/>
    <d v="2026-10-20T00:00:00"/>
    <s v="21-04-2024"/>
    <d v="1899-12-30T00:00:00"/>
    <x v="8"/>
    <s v="Jaipur"/>
    <x v="5"/>
    <n v="18"/>
    <n v="2.2000000000000002"/>
    <s v="76mins"/>
    <n v="500"/>
    <n v="0.2"/>
    <x v="0"/>
    <x v="1"/>
    <n v="9"/>
    <s v="Grab"/>
    <n v="42"/>
  </r>
  <r>
    <s v="ZOM-10081"/>
    <d v="2026-02-17T00:00:00"/>
    <s v="27-02-2024"/>
    <d v="1899-12-30T00:00:00"/>
    <x v="14"/>
    <s v="Jaipur"/>
    <x v="5"/>
    <n v="48"/>
    <n v="1.9"/>
    <s v="65mins"/>
    <n v="2269"/>
    <n v="120"/>
    <x v="7"/>
    <x v="1"/>
    <n v="4"/>
    <s v="Unknown"/>
    <n v="54"/>
  </r>
  <r>
    <s v="ZOM-10082"/>
    <d v="2026-11-09T00:00:00"/>
    <s v="07-02-2024"/>
    <d v="1899-12-30T00:00:00"/>
    <x v="2"/>
    <s v="Pune"/>
    <x v="5"/>
    <n v="44"/>
    <n v="3.3"/>
    <s v="27mins"/>
    <n v="2321"/>
    <n v="0.2"/>
    <x v="7"/>
    <x v="1"/>
    <n v="7"/>
    <s v="Shadowfax"/>
    <n v="53"/>
  </r>
  <r>
    <s v="ZOM-10083"/>
    <d v="2026-08-12T00:00:00"/>
    <s v="13-01-2024"/>
    <d v="1899-12-30T00:00:00"/>
    <x v="13"/>
    <s v="Kolkata"/>
    <x v="11"/>
    <n v="38"/>
    <n v="2.7"/>
    <s v="39mins"/>
    <n v="1171"/>
    <n v="100"/>
    <x v="7"/>
    <x v="3"/>
    <n v="9"/>
    <s v="Unknown"/>
    <n v="16"/>
  </r>
  <r>
    <s v="ZOM-10084"/>
    <d v="2026-05-28T00:00:00"/>
    <s v="26-04-2024"/>
    <d v="1899-12-30T00:00:00"/>
    <x v="2"/>
    <s v="Mumbai"/>
    <x v="8"/>
    <n v="28"/>
    <n v="2"/>
    <s v="26mins"/>
    <n v="798"/>
    <n v="0.6"/>
    <x v="4"/>
    <x v="2"/>
    <n v="1"/>
    <s v="Grab"/>
    <m/>
  </r>
  <r>
    <s v="ZOM-10085"/>
    <d v="2026-04-24T00:00:00"/>
    <s v="19-03-2024"/>
    <d v="1899-12-30T00:00:00"/>
    <x v="7"/>
    <s v="Jaipur"/>
    <x v="0"/>
    <n v="56"/>
    <n v="2.2000000000000002"/>
    <s v="19 mins"/>
    <n v="920"/>
    <n v="0.2"/>
    <x v="5"/>
    <x v="3"/>
    <n v="10"/>
    <s v="Grab"/>
    <n v="158"/>
  </r>
  <r>
    <s v="ZOM-10086"/>
    <d v="2026-11-06T00:00:00"/>
    <s v="17-04-2024"/>
    <d v="1899-12-30T00:00:00"/>
    <x v="3"/>
    <s v="Hyderabad"/>
    <x v="7"/>
    <n v="29"/>
    <n v="2.9"/>
    <s v="38mins"/>
    <n v="2374"/>
    <n v="50"/>
    <x v="5"/>
    <x v="2"/>
    <n v="2"/>
    <s v="Grab"/>
    <n v="112"/>
  </r>
  <r>
    <s v="ZOM-10087"/>
    <d v="2026-08-23T00:00:00"/>
    <s v="31-01-2024"/>
    <d v="1899-12-30T00:00:00"/>
    <x v="1"/>
    <s v="Chennai"/>
    <x v="8"/>
    <n v="39"/>
    <n v="1.7"/>
    <s v="15mins"/>
    <n v="1196"/>
    <n v="120"/>
    <x v="4"/>
    <x v="1"/>
    <n v="8"/>
    <s v="Unknown"/>
    <n v="96"/>
  </r>
  <r>
    <s v="ZOM-10088"/>
    <d v="2026-11-04T00:00:00"/>
    <s v="12-07-2024"/>
    <d v="1899-12-30T00:00:00"/>
    <x v="13"/>
    <s v="Hyderabad"/>
    <x v="11"/>
    <n v="37"/>
    <n v="2.8"/>
    <s v="58mins"/>
    <n v="1152"/>
    <n v="0.5"/>
    <x v="5"/>
    <x v="5"/>
    <n v="3"/>
    <s v="Shadowfax"/>
    <n v="24"/>
  </r>
  <r>
    <s v="ORD_140"/>
    <d v="2026-08-24T00:00:00"/>
    <s v="03-06-2024"/>
    <d v="1899-12-30T18:15:00"/>
    <x v="16"/>
    <s v="Mumbai"/>
    <x v="8"/>
    <n v="18"/>
    <n v="1.4"/>
    <s v="32mins"/>
    <n v="1117"/>
    <n v="120"/>
    <x v="0"/>
    <x v="1"/>
    <n v="4"/>
    <s v="Dunzo"/>
    <n v="67"/>
  </r>
  <r>
    <s v="ZOM-10090"/>
    <d v="2026-09-12T00:00:00"/>
    <m/>
    <d v="1899-12-30T00:00:00"/>
    <x v="12"/>
    <s v="Mumbai"/>
    <x v="11"/>
    <n v="34"/>
    <n v="1.4"/>
    <s v="17 mins"/>
    <n v="2148"/>
    <n v="100"/>
    <x v="1"/>
    <x v="1"/>
    <n v="6"/>
    <s v="Grab"/>
    <n v="162"/>
  </r>
  <r>
    <s v="ZOM-10091"/>
    <d v="2026-10-23T00:00:00"/>
    <s v="12-04-2024"/>
    <d v="1899-12-30T00:00:00"/>
    <x v="7"/>
    <s v="Bangalore"/>
    <x v="2"/>
    <n v="46"/>
    <n v="2.5"/>
    <s v="18mins"/>
    <n v="2173"/>
    <n v="50"/>
    <x v="2"/>
    <x v="1"/>
    <n v="0"/>
    <s v="In-House"/>
    <n v="159"/>
  </r>
  <r>
    <s v="ZOM-10092"/>
    <d v="2026-12-11T00:00:00"/>
    <s v="05-12-2024"/>
    <d v="1899-12-30T17:51:00"/>
    <x v="10"/>
    <s v="Pune"/>
    <x v="10"/>
    <n v="49"/>
    <n v="1.3"/>
    <s v="45mins"/>
    <n v="908"/>
    <n v="120"/>
    <x v="1"/>
    <x v="1"/>
    <n v="8"/>
    <s v="Dunzo"/>
    <n v="136"/>
  </r>
  <r>
    <s v="ZOM-10093"/>
    <d v="2026-01-27T00:00:00"/>
    <s v="01-01-2024"/>
    <d v="1899-12-30T03:06:00"/>
    <x v="10"/>
    <s v="Ahmedabad"/>
    <x v="1"/>
    <n v="63"/>
    <n v="3.9"/>
    <s v="63 mins"/>
    <n v="500"/>
    <n v="0.2"/>
    <x v="7"/>
    <x v="3"/>
    <n v="7"/>
    <s v="Zomato Valet"/>
    <n v="40"/>
  </r>
  <r>
    <s v="ZOM-10094"/>
    <d v="2026-03-31T00:00:00"/>
    <s v="18-02-2024"/>
    <d v="1899-12-30T00:00:00"/>
    <x v="13"/>
    <s v="Lucknow"/>
    <x v="10"/>
    <n v="21"/>
    <n v="2.7"/>
    <s v="80mins"/>
    <n v="1979"/>
    <n v="50"/>
    <x v="1"/>
    <x v="1"/>
    <n v="10"/>
    <s v="In-House"/>
    <n v="238"/>
  </r>
  <r>
    <s v="ZOM-10095"/>
    <d v="2026-12-18T00:00:00"/>
    <s v="04-15-2024"/>
    <d v="1899-12-30T20:33:00"/>
    <x v="2"/>
    <s v="Jaipur"/>
    <x v="12"/>
    <n v="29"/>
    <n v="3.8"/>
    <s v="29mins"/>
    <n v="1931"/>
    <n v="150"/>
    <x v="1"/>
    <x v="2"/>
    <n v="0"/>
    <s v="Unknown"/>
    <n v="32"/>
  </r>
  <r>
    <s v="ZOM-10096"/>
    <d v="2026-03-08T00:00:00"/>
    <s v="02-11-2024"/>
    <d v="1899-12-30T09:46:00"/>
    <x v="14"/>
    <s v="Delhi"/>
    <x v="0"/>
    <n v="62"/>
    <n v="3.7"/>
    <s v="64mins"/>
    <n v="1111"/>
    <n v="120"/>
    <x v="6"/>
    <x v="2"/>
    <n v="8"/>
    <s v="Shadowfax"/>
    <n v="134"/>
  </r>
  <r>
    <s v="ZOM-10097"/>
    <d v="2026-03-09T00:00:00"/>
    <s v="17-07-2024"/>
    <d v="1899-12-30T00:00:00"/>
    <x v="14"/>
    <s v="Jaipur"/>
    <x v="12"/>
    <n v="39"/>
    <n v="4.7"/>
    <s v="15 mins"/>
    <n v="2330"/>
    <n v="150"/>
    <x v="7"/>
    <x v="1"/>
    <n v="4"/>
    <s v="Shadowfax"/>
    <n v="27"/>
  </r>
  <r>
    <s v="ZOM-10098"/>
    <d v="2026-01-03T00:00:00"/>
    <s v="24-02-2024"/>
    <d v="1899-12-30T00:00:00"/>
    <x v="8"/>
    <s v="Jaipur"/>
    <x v="7"/>
    <n v="20"/>
    <n v="2.2999999999999998"/>
    <s v="29mins"/>
    <n v="1038"/>
    <n v="0.6"/>
    <x v="5"/>
    <x v="2"/>
    <n v="2"/>
    <s v="Shadowfax"/>
    <n v="96"/>
  </r>
  <r>
    <s v="ZOM-10099"/>
    <d v="2026-10-31T00:00:00"/>
    <s v="24-02-2024"/>
    <d v="1899-12-30T00:00:00"/>
    <x v="6"/>
    <s v="Mumbai"/>
    <x v="6"/>
    <n v="29"/>
    <n v="3.2"/>
    <s v="44mins"/>
    <n v="2288"/>
    <n v="100"/>
    <x v="2"/>
    <x v="1"/>
    <n v="10"/>
    <s v="Zomato Valet"/>
    <n v="226"/>
  </r>
  <r>
    <s v="ZOM-10101"/>
    <d v="2026-03-26T00:00:00"/>
    <s v="01-30-2024"/>
    <d v="1899-12-30T06:11:00"/>
    <x v="10"/>
    <s v="Ahmedabad"/>
    <x v="11"/>
    <n v="40"/>
    <n v="3.6"/>
    <s v="54 mins"/>
    <n v="286"/>
    <n v="75"/>
    <x v="7"/>
    <x v="1"/>
    <n v="1"/>
    <s v="Dunzo"/>
    <n v="164"/>
  </r>
  <r>
    <s v="ZOM-10102"/>
    <d v="2026-01-06T00:00:00"/>
    <s v="06-07-2024"/>
    <d v="1899-12-30T00:00:00"/>
    <x v="9"/>
    <s v="Lucknow"/>
    <x v="0"/>
    <n v="19"/>
    <n v="3.5"/>
    <s v="66mins"/>
    <n v="1951"/>
    <n v="0"/>
    <x v="5"/>
    <x v="3"/>
    <n v="5"/>
    <s v="Shadowfax"/>
    <n v="51"/>
  </r>
  <r>
    <s v="ZOM-10103"/>
    <d v="2026-08-03T00:00:00"/>
    <s v="06-06-2024"/>
    <d v="1899-12-30T05:39:00"/>
    <x v="14"/>
    <s v="Bangalore"/>
    <x v="1"/>
    <n v="60"/>
    <n v="4.5999999999999996"/>
    <s v="75mins"/>
    <n v="2305"/>
    <n v="0"/>
    <x v="1"/>
    <x v="2"/>
    <n v="3"/>
    <s v="Grab"/>
    <n v="136"/>
  </r>
  <r>
    <s v="ZOM-10104"/>
    <d v="2026-10-06T00:00:00"/>
    <s v="27-02-2024"/>
    <d v="1899-12-30T00:00:00"/>
    <x v="8"/>
    <s v="Bangalore"/>
    <x v="12"/>
    <n v="25"/>
    <n v="2.7"/>
    <s v="29mins"/>
    <n v="1266"/>
    <n v="0.15"/>
    <x v="1"/>
    <x v="1"/>
    <n v="9"/>
    <s v="Zomato Valet"/>
    <n v="25"/>
  </r>
  <r>
    <s v="ZOM-10106"/>
    <d v="2026-05-19T00:00:00"/>
    <s v="31-01-2024"/>
    <d v="1899-12-30T00:00:00"/>
    <x v="14"/>
    <s v="Pune"/>
    <x v="0"/>
    <n v="40"/>
    <n v="4"/>
    <s v="27mins"/>
    <n v="1133"/>
    <n v="0"/>
    <x v="5"/>
    <x v="1"/>
    <n v="2"/>
    <s v="Unknown"/>
    <n v="136"/>
  </r>
  <r>
    <s v="ZOM-10107"/>
    <d v="2026-08-17T00:00:00"/>
    <s v="02-09-2024"/>
    <d v="1899-12-30T14:32:00"/>
    <x v="1"/>
    <s v="Pune"/>
    <x v="8"/>
    <n v="54"/>
    <n v="3.8"/>
    <s v="30mins"/>
    <n v="1900"/>
    <n v="50"/>
    <x v="0"/>
    <x v="1"/>
    <n v="7"/>
    <s v="Unknown"/>
    <n v="50"/>
  </r>
  <r>
    <s v="ZOM-10108"/>
    <d v="2026-09-24T00:00:00"/>
    <s v="17-01-2024"/>
    <d v="1899-12-30T00:00:00"/>
    <x v="0"/>
    <s v="Jaipur"/>
    <x v="2"/>
    <n v="51"/>
    <n v="1.1000000000000001"/>
    <s v="44mins"/>
    <n v="1584"/>
    <n v="0.1"/>
    <x v="4"/>
    <x v="1"/>
    <n v="0"/>
    <s v="In-House"/>
    <n v="14"/>
  </r>
  <r>
    <s v="ZOM-10109"/>
    <d v="2026-06-16T00:00:00"/>
    <s v="03-11-2024"/>
    <d v="1899-12-30T07:43:00"/>
    <x v="6"/>
    <s v="Bangalore"/>
    <x v="12"/>
    <n v="52"/>
    <n v="3.3"/>
    <s v="63mins"/>
    <n v="1460"/>
    <n v="100"/>
    <x v="1"/>
    <x v="1"/>
    <n v="4"/>
    <s v="In-House"/>
    <n v="56"/>
  </r>
  <r>
    <s v="ZOM-10110"/>
    <d v="2026-05-07T00:00:00"/>
    <s v="08-03-2024"/>
    <d v="1899-12-30T00:00:00"/>
    <x v="7"/>
    <s v="Ahmedabad"/>
    <x v="2"/>
    <n v="30"/>
    <n v="2"/>
    <s v="44mins"/>
    <n v="603"/>
    <n v="50"/>
    <x v="0"/>
    <x v="1"/>
    <n v="1"/>
    <s v="Grab"/>
    <n v="216"/>
  </r>
  <r>
    <s v="ZOM-10111"/>
    <d v="2026-01-27T00:00:00"/>
    <s v="16-02-2024"/>
    <d v="1899-12-30T00:00:00"/>
    <x v="6"/>
    <s v="Unknown"/>
    <x v="7"/>
    <n v="62"/>
    <n v="2.2999999999999998"/>
    <s v="15 mins"/>
    <n v="1724"/>
    <n v="0.2"/>
    <x v="7"/>
    <x v="2"/>
    <n v="8"/>
    <s v="Grab"/>
    <n v="43"/>
  </r>
  <r>
    <s v="ZOM-10112"/>
    <d v="2026-11-19T00:00:00"/>
    <s v="02-03-2024"/>
    <d v="1899-12-30T19:39:00"/>
    <x v="0"/>
    <s v="Hyderabad"/>
    <x v="5"/>
    <n v="51"/>
    <n v="2.2999999999999998"/>
    <s v="47mins"/>
    <n v="1458"/>
    <n v="0.15"/>
    <x v="0"/>
    <x v="1"/>
    <n v="9"/>
    <s v="Rapido"/>
    <n v="73"/>
  </r>
  <r>
    <s v="ZOM-10000"/>
    <d v="2026-11-03T00:00:00"/>
    <s v="07-05-2024"/>
    <d v="1899-12-30T08:00:00"/>
    <x v="2"/>
    <s v="Mumbai"/>
    <x v="6"/>
    <n v="23"/>
    <n v="3.5"/>
    <s v="74 mins"/>
    <n v="2227"/>
    <n v="0.2"/>
    <x v="2"/>
    <x v="1"/>
    <n v="8"/>
    <s v="Grab"/>
    <n v="10"/>
  </r>
  <r>
    <s v="ZOM-10115"/>
    <d v="2026-04-07T00:00:00"/>
    <s v="15-02-2024"/>
    <d v="1899-12-30T00:00:00"/>
    <x v="12"/>
    <s v="Jaipur"/>
    <x v="11"/>
    <n v="18"/>
    <n v="4"/>
    <s v="33 mins"/>
    <n v="500"/>
    <n v="100"/>
    <x v="6"/>
    <x v="1"/>
    <n v="9"/>
    <s v="Dunzo"/>
    <n v="64"/>
  </r>
  <r>
    <s v="ZOM-10116"/>
    <d v="2026-07-06T00:00:00"/>
    <s v="06-04-2024"/>
    <d v="1899-12-30T00:00:00"/>
    <x v="7"/>
    <s v="Kolkata"/>
    <x v="14"/>
    <n v="58"/>
    <n v="2.8"/>
    <s v="77mins"/>
    <n v="500"/>
    <n v="0"/>
    <x v="6"/>
    <x v="1"/>
    <n v="1"/>
    <s v="Shadowfax"/>
    <n v="8"/>
  </r>
  <r>
    <s v="ZOM-10117"/>
    <d v="2026-02-02T00:00:00"/>
    <s v="04-05-2024"/>
    <d v="1899-12-30T15:49:00"/>
    <x v="3"/>
    <s v="Pune"/>
    <x v="12"/>
    <n v="33"/>
    <n v="4.9000000000000004"/>
    <s v="17 mins"/>
    <n v="594"/>
    <n v="0"/>
    <x v="1"/>
    <x v="2"/>
    <n v="9"/>
    <s v="Rapido"/>
    <n v="19"/>
  </r>
  <r>
    <s v="ZOM-10118"/>
    <d v="2026-02-08T00:00:00"/>
    <s v="01-29-2024"/>
    <d v="1899-12-30T08:03:00"/>
    <x v="13"/>
    <s v="Kolkata"/>
    <x v="5"/>
    <n v="23"/>
    <n v="3"/>
    <s v="58mins"/>
    <n v="2335"/>
    <n v="0"/>
    <x v="5"/>
    <x v="3"/>
    <n v="6"/>
    <s v="Grab"/>
    <n v="45"/>
  </r>
  <r>
    <s v="ORD_145"/>
    <d v="2026-05-08T00:00:00"/>
    <s v="22-04-2024"/>
    <d v="1899-12-30T00:00:00"/>
    <x v="2"/>
    <s v="Ahmedabad"/>
    <x v="0"/>
    <n v="52"/>
    <n v="1"/>
    <s v="63mins"/>
    <n v="1866"/>
    <n v="75"/>
    <x v="7"/>
    <x v="1"/>
    <n v="9"/>
    <s v="Shadowfax"/>
    <n v="132"/>
  </r>
  <r>
    <s v="ZOM-10120"/>
    <d v="2026-12-26T00:00:00"/>
    <s v="03-02-2024"/>
    <d v="1899-12-30T00:00:00"/>
    <x v="6"/>
    <s v="Pune"/>
    <x v="12"/>
    <n v="18"/>
    <n v="3.6"/>
    <s v="25mins"/>
    <n v="1234"/>
    <n v="0.5"/>
    <x v="5"/>
    <x v="1"/>
    <n v="4"/>
    <s v="Rapido"/>
    <n v="95"/>
  </r>
  <r>
    <s v="ZOM-10121"/>
    <d v="2026-10-20T00:00:00"/>
    <s v="09-06-2024"/>
    <d v="1899-12-30T00:00:00"/>
    <x v="4"/>
    <s v="Ahmedabad"/>
    <x v="2"/>
    <n v="56"/>
    <n v="2.4"/>
    <s v="56mins"/>
    <n v="2131"/>
    <n v="150"/>
    <x v="5"/>
    <x v="1"/>
    <n v="8"/>
    <s v="Unknown"/>
    <n v="69"/>
  </r>
  <r>
    <s v="ZOM-10000"/>
    <d v="2026-07-10T00:00:00"/>
    <m/>
    <d v="1899-12-30T00:00:00"/>
    <x v="6"/>
    <s v="Kolkata"/>
    <x v="9"/>
    <n v="34"/>
    <n v="3.3"/>
    <s v="66 mins"/>
    <n v="835"/>
    <n v="50"/>
    <x v="1"/>
    <x v="1"/>
    <n v="2"/>
    <s v="Rapido"/>
    <n v="187"/>
  </r>
  <r>
    <s v="ZOM-10123"/>
    <d v="2026-06-24T00:00:00"/>
    <s v="26-03-2024"/>
    <d v="1899-12-30T00:00:00"/>
    <x v="7"/>
    <s v="Lucknow"/>
    <x v="15"/>
    <n v="38"/>
    <n v="1.9"/>
    <s v="61 mins"/>
    <n v="2494"/>
    <n v="120"/>
    <x v="7"/>
    <x v="3"/>
    <n v="1"/>
    <s v="Rapido"/>
    <n v="86"/>
  </r>
  <r>
    <s v="ZOM-10124"/>
    <d v="2026-12-12T00:00:00"/>
    <s v="23-05-2024"/>
    <d v="1899-12-30T00:00:00"/>
    <x v="12"/>
    <s v="Hyderabad"/>
    <x v="10"/>
    <n v="38"/>
    <n v="3.6"/>
    <s v="36mins"/>
    <n v="2471"/>
    <n v="100"/>
    <x v="7"/>
    <x v="3"/>
    <n v="2"/>
    <s v="Zomato Valet"/>
    <n v="125"/>
  </r>
  <r>
    <s v="ZOM-10127"/>
    <d v="2026-08-25T00:00:00"/>
    <s v="20-03-2024"/>
    <d v="1899-12-30T00:00:00"/>
    <x v="4"/>
    <s v="Hyderabad"/>
    <x v="0"/>
    <n v="59"/>
    <n v="4.7"/>
    <s v="30mins"/>
    <n v="558"/>
    <n v="0.1"/>
    <x v="5"/>
    <x v="1"/>
    <n v="5"/>
    <s v="Shadowfax"/>
    <n v="19"/>
  </r>
  <r>
    <s v="ZOM-10128"/>
    <d v="2026-04-16T00:00:00"/>
    <s v="25-05-2024"/>
    <d v="1899-12-30T00:00:00"/>
    <x v="6"/>
    <s v="Ahmedabad"/>
    <x v="7"/>
    <n v="32"/>
    <n v="2.5"/>
    <s v="16mins"/>
    <n v="2323"/>
    <n v="0.15"/>
    <x v="4"/>
    <x v="1"/>
    <n v="4"/>
    <s v="Grab"/>
    <n v="163"/>
  </r>
  <r>
    <s v="ZOM-10129"/>
    <d v="2026-05-07T00:00:00"/>
    <s v="09-07-2024"/>
    <d v="1899-12-30T00:00:00"/>
    <x v="4"/>
    <s v="Bombay"/>
    <x v="1"/>
    <n v="51"/>
    <n v="4.9000000000000004"/>
    <s v="43 mins"/>
    <n v="1067"/>
    <n v="100"/>
    <x v="4"/>
    <x v="1"/>
    <n v="2"/>
    <s v="In-House"/>
    <n v="113"/>
  </r>
  <r>
    <s v="ZOM-10130"/>
    <d v="2026-01-09T00:00:00"/>
    <m/>
    <d v="1899-12-30T00:00:00"/>
    <x v="9"/>
    <s v="Kolkata"/>
    <x v="2"/>
    <n v="41"/>
    <n v="3.8"/>
    <s v="80mins"/>
    <n v="1577"/>
    <n v="0"/>
    <x v="4"/>
    <x v="3"/>
    <n v="1"/>
    <s v="Grab"/>
    <n v="237"/>
  </r>
  <r>
    <s v="ZOM-10131"/>
    <d v="2026-05-13T00:00:00"/>
    <s v="02-21-2024"/>
    <d v="1899-12-30T00:07:00"/>
    <x v="13"/>
    <s v="Ahmedabad"/>
    <x v="8"/>
    <n v="23"/>
    <n v="1"/>
    <s v="50mins"/>
    <n v="1595"/>
    <n v="0"/>
    <x v="3"/>
    <x v="1"/>
    <n v="2"/>
    <s v="Zomato Valet"/>
    <n v="27"/>
  </r>
  <r>
    <s v="ZOM-10132"/>
    <d v="2026-01-22T00:00:00"/>
    <s v="26-05-2024"/>
    <d v="1899-12-30T00:00:00"/>
    <x v="9"/>
    <s v="Kolkata"/>
    <x v="16"/>
    <n v="62"/>
    <n v="2.2999999999999998"/>
    <s v="41mins"/>
    <n v="1776"/>
    <n v="0.6"/>
    <x v="0"/>
    <x v="2"/>
    <n v="10"/>
    <s v="Rapido"/>
    <n v="106"/>
  </r>
  <r>
    <s v="ZOM-10133"/>
    <d v="2026-07-12T00:00:00"/>
    <s v="16-02-2024"/>
    <d v="1899-12-30T00:00:00"/>
    <x v="1"/>
    <s v="Mumbai"/>
    <x v="4"/>
    <n v="18"/>
    <n v="3.8"/>
    <s v="23mins"/>
    <n v="852"/>
    <n v="0.1"/>
    <x v="0"/>
    <x v="1"/>
    <n v="6"/>
    <s v="In-House"/>
    <n v="68"/>
  </r>
  <r>
    <s v="ZOM-10134"/>
    <d v="2026-01-03T00:00:00"/>
    <s v="17-05-2024"/>
    <d v="1899-12-30T00:00:00"/>
    <x v="7"/>
    <s v="Lucknow"/>
    <x v="1"/>
    <n v="22"/>
    <n v="2.1"/>
    <s v="15 mins"/>
    <n v="2461"/>
    <n v="120"/>
    <x v="7"/>
    <x v="2"/>
    <n v="0"/>
    <s v="Grab"/>
    <n v="43"/>
  </r>
  <r>
    <s v="ZOM-10135"/>
    <d v="2026-11-20T00:00:00"/>
    <s v="14-02-2024"/>
    <d v="1899-12-30T00:00:00"/>
    <x v="11"/>
    <s v="Ahmedabad"/>
    <x v="8"/>
    <n v="24"/>
    <n v="4.8"/>
    <s v="31mins"/>
    <n v="500"/>
    <n v="0.6"/>
    <x v="6"/>
    <x v="1"/>
    <n v="8"/>
    <s v="Zomato Valet"/>
    <m/>
  </r>
  <r>
    <s v="ZOM-10136"/>
    <d v="2026-06-23T00:00:00"/>
    <s v="23-02-2024"/>
    <d v="1899-12-30T00:00:00"/>
    <x v="1"/>
    <s v="Bangalore"/>
    <x v="0"/>
    <n v="27"/>
    <n v="4.2"/>
    <s v="36mins"/>
    <n v="290"/>
    <n v="0.5"/>
    <x v="0"/>
    <x v="1"/>
    <n v="10"/>
    <s v="Rapido"/>
    <n v="67"/>
  </r>
  <r>
    <s v="ZOM-10137"/>
    <d v="2026-03-23T00:00:00"/>
    <s v="13-07-2024"/>
    <d v="1899-12-30T00:00:00"/>
    <x v="0"/>
    <s v="Ahmedabad"/>
    <x v="8"/>
    <n v="34"/>
    <n v="2.6"/>
    <s v="57mins"/>
    <n v="1997"/>
    <n v="0"/>
    <x v="0"/>
    <x v="3"/>
    <n v="9"/>
    <s v="Zomato Valet"/>
    <n v="45"/>
  </r>
  <r>
    <s v="ZOM-10138"/>
    <d v="2026-11-24T00:00:00"/>
    <s v="28-04-2024"/>
    <d v="1899-12-30T00:00:00"/>
    <x v="6"/>
    <s v="Chennai"/>
    <x v="4"/>
    <n v="60"/>
    <n v="4.7"/>
    <s v="77mins"/>
    <n v="392"/>
    <n v="0.1"/>
    <x v="2"/>
    <x v="1"/>
    <n v="6"/>
    <s v="Grab"/>
    <n v="8"/>
  </r>
  <r>
    <s v="ZOM-10139"/>
    <d v="2026-03-30T00:00:00"/>
    <s v="01-01-2024"/>
    <d v="1899-12-30T05:00:00"/>
    <x v="9"/>
    <s v="Chennai"/>
    <x v="4"/>
    <n v="57"/>
    <n v="2.6"/>
    <s v="33 mins"/>
    <n v="269"/>
    <n v="0"/>
    <x v="1"/>
    <x v="2"/>
    <n v="7"/>
    <s v="In-House"/>
    <n v="46"/>
  </r>
  <r>
    <s v="ZOM-10140"/>
    <d v="2026-01-14T00:00:00"/>
    <s v="18-02-2024"/>
    <d v="1899-12-30T00:00:00"/>
    <x v="8"/>
    <s v="Unknown"/>
    <x v="5"/>
    <n v="26"/>
    <n v="3.6"/>
    <s v="73mins"/>
    <n v="2247"/>
    <n v="120"/>
    <x v="4"/>
    <x v="1"/>
    <n v="10"/>
    <s v="Grab"/>
    <n v="86"/>
  </r>
  <r>
    <s v="ZOM-10141"/>
    <d v="2026-04-05T00:00:00"/>
    <s v="10-01-2024"/>
    <d v="1899-12-30T00:00:00"/>
    <x v="8"/>
    <s v="Jaipur"/>
    <x v="8"/>
    <n v="58"/>
    <n v="4.8"/>
    <s v="55 mins"/>
    <n v="1403"/>
    <n v="75"/>
    <x v="7"/>
    <x v="1"/>
    <n v="5"/>
    <s v="Dunzo"/>
    <n v="117"/>
  </r>
  <r>
    <s v="ZOM-10142"/>
    <d v="2026-11-01T00:00:00"/>
    <s v="10-06-2024"/>
    <d v="1899-12-30T00:00:00"/>
    <x v="10"/>
    <s v="Kolkata"/>
    <x v="12"/>
    <n v="65"/>
    <n v="1.7"/>
    <s v="34mins"/>
    <n v="1689"/>
    <n v="0.15"/>
    <x v="8"/>
    <x v="1"/>
    <n v="8"/>
    <s v="Grab"/>
    <n v="65"/>
  </r>
  <r>
    <s v="ZOM-10143"/>
    <d v="2026-06-25T00:00:00"/>
    <s v="03-29-2024"/>
    <d v="1899-12-30T01:51:00"/>
    <x v="0"/>
    <s v="Jaipur"/>
    <x v="12"/>
    <n v="46"/>
    <n v="2.2999999999999998"/>
    <s v="20mins"/>
    <n v="352"/>
    <n v="0.5"/>
    <x v="7"/>
    <x v="2"/>
    <n v="8"/>
    <s v="In-House"/>
    <n v="114"/>
  </r>
  <r>
    <s v="ZOM-10144"/>
    <d v="2026-04-25T00:00:00"/>
    <s v="16-02-2024"/>
    <d v="1899-12-30T00:00:00"/>
    <x v="13"/>
    <s v="Unknown"/>
    <x v="11"/>
    <n v="34"/>
    <n v="1.1000000000000001"/>
    <s v="75 mins"/>
    <n v="1534"/>
    <n v="0.6"/>
    <x v="1"/>
    <x v="1"/>
    <n v="10"/>
    <s v="Shadowfax"/>
    <n v="4"/>
  </r>
  <r>
    <s v="ZOM-10145"/>
    <d v="2026-10-27T00:00:00"/>
    <s v="03-11-2024"/>
    <d v="1899-12-30T14:34:00"/>
    <x v="12"/>
    <s v="Delhi"/>
    <x v="17"/>
    <n v="29"/>
    <n v="1.4"/>
    <s v="70mins"/>
    <n v="640"/>
    <n v="150"/>
    <x v="5"/>
    <x v="0"/>
    <n v="1"/>
    <s v="Zomato Valet"/>
    <n v="151"/>
  </r>
  <r>
    <s v="ZOM-10146"/>
    <d v="2026-07-26T00:00:00"/>
    <s v="16-07-2024"/>
    <d v="1899-12-30T00:00:00"/>
    <x v="7"/>
    <s v="Delhi"/>
    <x v="11"/>
    <n v="43"/>
    <n v="2.5"/>
    <s v="26mins"/>
    <n v="990"/>
    <n v="0.5"/>
    <x v="5"/>
    <x v="1"/>
    <n v="2"/>
    <s v="In-House"/>
    <n v="212"/>
  </r>
  <r>
    <s v="ORD_101"/>
    <d v="2026-10-04T00:00:00"/>
    <s v="03-07-2024"/>
    <d v="1899-12-30T00:00:00"/>
    <x v="7"/>
    <s v="Ahmedabad"/>
    <x v="7"/>
    <n v="59"/>
    <n v="2.8"/>
    <s v="34mins"/>
    <n v="1884"/>
    <n v="0"/>
    <x v="1"/>
    <x v="1"/>
    <n v="3"/>
    <s v="Unknown"/>
    <n v="21"/>
  </r>
  <r>
    <s v="ZOM-10148"/>
    <d v="2026-09-29T00:00:00"/>
    <s v="31-05-2024"/>
    <d v="1899-12-30T00:00:00"/>
    <x v="0"/>
    <s v="Hyderabad"/>
    <x v="4"/>
    <n v="31"/>
    <n v="3.4"/>
    <s v="30mins"/>
    <n v="772"/>
    <n v="0.2"/>
    <x v="7"/>
    <x v="3"/>
    <n v="3"/>
    <s v="Zomato Valet"/>
    <n v="78"/>
  </r>
  <r>
    <s v="ZOM-10149"/>
    <d v="2026-05-21T00:00:00"/>
    <s v="03-13-2024"/>
    <d v="1899-12-30T14:12:00"/>
    <x v="9"/>
    <s v="Pune"/>
    <x v="10"/>
    <n v="37"/>
    <n v="1"/>
    <s v="22 mins"/>
    <n v="2468"/>
    <n v="120"/>
    <x v="7"/>
    <x v="2"/>
    <n v="8"/>
    <s v="Grab"/>
    <n v="66"/>
  </r>
  <r>
    <s v="ZOM-10151"/>
    <d v="2026-03-01T00:00:00"/>
    <s v="10-03-2024"/>
    <d v="1899-12-30T00:00:00"/>
    <x v="3"/>
    <s v="Ahmedabad"/>
    <x v="12"/>
    <n v="28"/>
    <n v="3.2"/>
    <s v="41 mins"/>
    <n v="2160"/>
    <n v="120"/>
    <x v="2"/>
    <x v="3"/>
    <n v="10"/>
    <s v="Shadowfax"/>
    <m/>
  </r>
  <r>
    <s v="ZOM-10152"/>
    <d v="2026-04-11T00:00:00"/>
    <s v="09-05-2024"/>
    <d v="1899-12-30T00:00:00"/>
    <x v="7"/>
    <s v="Hyderabad"/>
    <x v="4"/>
    <n v="23"/>
    <n v="2.5"/>
    <s v="35mins"/>
    <n v="1794"/>
    <n v="0"/>
    <x v="2"/>
    <x v="3"/>
    <n v="1"/>
    <s v="In-House"/>
    <m/>
  </r>
  <r>
    <s v="ZOM-10153"/>
    <d v="2026-07-27T00:00:00"/>
    <s v="05-06-2024"/>
    <d v="1899-12-30T00:00:00"/>
    <x v="6"/>
    <s v="Delhi"/>
    <x v="5"/>
    <n v="29"/>
    <n v="3.8"/>
    <s v="41mins"/>
    <n v="449"/>
    <n v="150"/>
    <x v="2"/>
    <x v="3"/>
    <n v="5"/>
    <s v="Rapido"/>
    <n v="59"/>
  </r>
  <r>
    <s v="ZOM-10154"/>
    <d v="2026-12-20T00:00:00"/>
    <s v="02-01-2024"/>
    <d v="1899-12-30T16:02:00"/>
    <x v="12"/>
    <s v="Mumbai"/>
    <x v="4"/>
    <n v="35"/>
    <n v="1.6"/>
    <s v="28 mins"/>
    <n v="1359"/>
    <n v="0.6"/>
    <x v="4"/>
    <x v="1"/>
    <n v="4"/>
    <s v="Rapido"/>
    <n v="33"/>
  </r>
  <r>
    <s v="ZOM-10156"/>
    <d v="2026-03-09T00:00:00"/>
    <s v="27-04-2024"/>
    <d v="1899-12-30T00:00:00"/>
    <x v="2"/>
    <s v="Kolkata"/>
    <x v="2"/>
    <n v="25"/>
    <n v="4.5999999999999996"/>
    <s v="50 mins"/>
    <n v="500"/>
    <n v="50"/>
    <x v="2"/>
    <x v="3"/>
    <n v="5"/>
    <s v="Unknown"/>
    <n v="98"/>
  </r>
  <r>
    <s v="ZOM-10158"/>
    <d v="2026-09-18T00:00:00"/>
    <s v="23-01-2024"/>
    <d v="1899-12-30T00:00:00"/>
    <x v="1"/>
    <s v="Bangalore"/>
    <x v="8"/>
    <n v="53"/>
    <n v="1.9"/>
    <s v="34mins"/>
    <n v="745"/>
    <n v="100"/>
    <x v="0"/>
    <x v="1"/>
    <n v="0"/>
    <s v="Dunzo"/>
    <n v="118"/>
  </r>
  <r>
    <s v="ZOM-10159"/>
    <d v="2026-11-27T00:00:00"/>
    <s v="03-07-2024"/>
    <d v="1899-12-30T21:26:00"/>
    <x v="17"/>
    <s v="Kolkata"/>
    <x v="7"/>
    <n v="41"/>
    <n v="4.5999999999999996"/>
    <s v="52mins"/>
    <n v="814"/>
    <n v="0"/>
    <x v="4"/>
    <x v="3"/>
    <n v="5"/>
    <s v="Dunzo"/>
    <n v="48"/>
  </r>
  <r>
    <s v="ORD_133"/>
    <d v="2026-07-21T00:00:00"/>
    <s v="03-13-2024"/>
    <d v="1899-12-30T12:43:00"/>
    <x v="7"/>
    <s v="Hyderabad"/>
    <x v="0"/>
    <n v="44"/>
    <n v="1.3"/>
    <s v="17mins"/>
    <n v="1261"/>
    <n v="0.5"/>
    <x v="7"/>
    <x v="5"/>
    <n v="4"/>
    <s v="Shadowfax"/>
    <n v="5"/>
  </r>
  <r>
    <s v="ORD_143"/>
    <d v="2026-07-08T00:00:00"/>
    <s v="05-05-2024"/>
    <d v="1899-12-30T00:00:00"/>
    <x v="9"/>
    <s v="Lucknow"/>
    <x v="2"/>
    <n v="43"/>
    <n v="4.4000000000000004"/>
    <s v="50mins"/>
    <n v="1940"/>
    <n v="150"/>
    <x v="2"/>
    <x v="1"/>
    <n v="2"/>
    <s v="Dunzo"/>
    <m/>
  </r>
  <r>
    <s v="ZOM-10164"/>
    <d v="2026-01-06T00:00:00"/>
    <m/>
    <d v="1899-12-30T00:00:00"/>
    <x v="14"/>
    <s v="Mumbai"/>
    <x v="8"/>
    <n v="34"/>
    <n v="4.2"/>
    <s v="17mins"/>
    <n v="500"/>
    <n v="0"/>
    <x v="2"/>
    <x v="1"/>
    <n v="5"/>
    <s v="In-House"/>
    <n v="23"/>
  </r>
  <r>
    <s v="ZOM-10165"/>
    <d v="2026-05-24T00:00:00"/>
    <s v="05-05-2024"/>
    <d v="1899-12-30T00:00:00"/>
    <x v="4"/>
    <s v="Pune"/>
    <x v="7"/>
    <n v="26"/>
    <n v="2.4"/>
    <s v="18mins"/>
    <n v="1941"/>
    <n v="0.5"/>
    <x v="5"/>
    <x v="3"/>
    <n v="2"/>
    <s v="Dunzo"/>
    <m/>
  </r>
  <r>
    <s v="ZOM-10167"/>
    <d v="2026-10-22T00:00:00"/>
    <s v="02-23-2024"/>
    <d v="1899-12-30T11:51:00"/>
    <x v="12"/>
    <s v="Chennai"/>
    <x v="8"/>
    <n v="51"/>
    <n v="3.3"/>
    <s v="67 mins"/>
    <n v="1886"/>
    <n v="120"/>
    <x v="7"/>
    <x v="1"/>
    <n v="3"/>
    <s v="In-House"/>
    <n v="64"/>
  </r>
  <r>
    <s v="ZOM-10168"/>
    <d v="2026-03-07T00:00:00"/>
    <s v="22-02-2024"/>
    <d v="1899-12-30T00:00:00"/>
    <x v="1"/>
    <s v="Mumbai"/>
    <x v="12"/>
    <n v="20"/>
    <n v="2.1"/>
    <s v="15 mins"/>
    <n v="1999"/>
    <n v="150"/>
    <x v="0"/>
    <x v="1"/>
    <n v="7"/>
    <s v="Dunzo"/>
    <n v="51"/>
  </r>
  <r>
    <s v="ZOM-10169"/>
    <d v="2026-10-28T00:00:00"/>
    <s v="26-05-2024"/>
    <d v="1899-12-30T00:00:00"/>
    <x v="4"/>
    <s v="Ahmedabad"/>
    <x v="7"/>
    <n v="33"/>
    <n v="1.9"/>
    <s v="28 mins"/>
    <n v="2428"/>
    <n v="0.6"/>
    <x v="0"/>
    <x v="2"/>
    <n v="5"/>
    <s v="Shadowfax"/>
    <m/>
  </r>
  <r>
    <s v="ZOM-10170"/>
    <d v="2026-02-15T00:00:00"/>
    <s v="07-08-2024"/>
    <d v="1899-12-30T22:36:00"/>
    <x v="3"/>
    <s v="Kolkata"/>
    <x v="11"/>
    <n v="18"/>
    <n v="4.7"/>
    <s v="53mins"/>
    <n v="335"/>
    <n v="0.15"/>
    <x v="4"/>
    <x v="1"/>
    <n v="8"/>
    <s v="Grab"/>
    <n v="30"/>
  </r>
  <r>
    <s v="ZOM-10171"/>
    <d v="2026-08-12T00:00:00"/>
    <s v="11-02-2024"/>
    <d v="1899-12-30T00:00:00"/>
    <x v="8"/>
    <s v="Delhi"/>
    <x v="8"/>
    <n v="38"/>
    <n v="1.4"/>
    <s v="60 mins"/>
    <n v="2428"/>
    <n v="120"/>
    <x v="1"/>
    <x v="3"/>
    <n v="5"/>
    <s v="Shadowfax"/>
    <n v="50"/>
  </r>
  <r>
    <s v="ZOM-10172"/>
    <d v="2026-11-27T00:00:00"/>
    <s v="06-01-2024"/>
    <d v="1899-12-30T00:00:00"/>
    <x v="12"/>
    <s v="Kolkata"/>
    <x v="4"/>
    <n v="54"/>
    <n v="3.9"/>
    <s v="73mins"/>
    <n v="2089"/>
    <n v="0.15"/>
    <x v="4"/>
    <x v="1"/>
    <n v="4"/>
    <s v="Dunzo"/>
    <n v="20"/>
  </r>
  <r>
    <s v="ZOM-10000"/>
    <d v="2026-05-10T00:00:00"/>
    <s v="03-08-2024"/>
    <d v="1899-12-30T08:02:00"/>
    <x v="18"/>
    <s v="Bangalore"/>
    <x v="1"/>
    <n v="24"/>
    <n v="1.2"/>
    <s v="75mins"/>
    <n v="2282"/>
    <n v="120"/>
    <x v="1"/>
    <x v="2"/>
    <n v="6"/>
    <s v="Shadowfax"/>
    <n v="112"/>
  </r>
  <r>
    <s v="ZOM-10174"/>
    <d v="2026-04-14T00:00:00"/>
    <s v="29-04-2024"/>
    <d v="1899-12-30T00:00:00"/>
    <x v="2"/>
    <s v="Bangalore"/>
    <x v="7"/>
    <n v="34"/>
    <n v="2.7"/>
    <s v="62 mins"/>
    <n v="2487"/>
    <n v="0.5"/>
    <x v="0"/>
    <x v="1"/>
    <n v="8"/>
    <s v="Zomato Valet"/>
    <n v="105"/>
  </r>
  <r>
    <s v="ZOM-10175"/>
    <d v="2026-06-18T00:00:00"/>
    <s v="07-02-2024"/>
    <d v="1899-12-30T00:00:00"/>
    <x v="6"/>
    <s v="Kolkata"/>
    <x v="5"/>
    <n v="49"/>
    <n v="4.5"/>
    <s v="15 mins"/>
    <n v="1742"/>
    <n v="0.6"/>
    <x v="0"/>
    <x v="1"/>
    <n v="1"/>
    <s v="Dunzo"/>
    <n v="234"/>
  </r>
  <r>
    <s v="ZOM-10176"/>
    <d v="2026-03-02T00:00:00"/>
    <s v="25-05-2024"/>
    <d v="1899-12-30T00:00:00"/>
    <x v="3"/>
    <s v="Jaipur"/>
    <x v="2"/>
    <n v="18"/>
    <n v="2.6"/>
    <s v="34mins"/>
    <n v="407"/>
    <n v="75"/>
    <x v="1"/>
    <x v="2"/>
    <n v="8"/>
    <s v="Dunzo"/>
    <n v="170"/>
  </r>
  <r>
    <s v="ZOM-10178"/>
    <d v="2026-09-06T00:00:00"/>
    <s v="10-04-2024"/>
    <d v="1899-12-30T00:00:00"/>
    <x v="2"/>
    <s v="Lucknow"/>
    <x v="18"/>
    <n v="61"/>
    <n v="3.1"/>
    <s v="15 mins"/>
    <n v="398"/>
    <n v="150"/>
    <x v="2"/>
    <x v="1"/>
    <n v="7"/>
    <s v="Dunzo"/>
    <n v="17"/>
  </r>
  <r>
    <s v="ZOM-10179"/>
    <d v="2026-09-05T00:00:00"/>
    <s v="07-01-2024"/>
    <d v="1899-12-30T00:00:00"/>
    <x v="14"/>
    <s v="Hyderabad"/>
    <x v="6"/>
    <n v="27"/>
    <n v="2.8"/>
    <s v="17mins"/>
    <n v="2166"/>
    <n v="0.6"/>
    <x v="2"/>
    <x v="1"/>
    <n v="10"/>
    <s v="In-House"/>
    <n v="81"/>
  </r>
  <r>
    <s v="ZOM-10180"/>
    <d v="2026-07-04T00:00:00"/>
    <s v="22-06-2024"/>
    <d v="1899-12-30T00:00:00"/>
    <x v="3"/>
    <s v="Pune"/>
    <x v="7"/>
    <n v="48"/>
    <n v="1.9"/>
    <s v="73 mins"/>
    <n v="1750"/>
    <n v="150"/>
    <x v="1"/>
    <x v="1"/>
    <n v="6"/>
    <s v="Grab"/>
    <n v="125"/>
  </r>
  <r>
    <s v="ZOM-10181"/>
    <d v="2026-05-03T00:00:00"/>
    <s v="03-02-2024"/>
    <d v="1899-12-30T00:00:00"/>
    <x v="10"/>
    <s v="Hyderabad"/>
    <x v="5"/>
    <n v="50"/>
    <n v="2.5"/>
    <s v="42 mins"/>
    <n v="391"/>
    <n v="100"/>
    <x v="5"/>
    <x v="1"/>
    <n v="9"/>
    <s v="Rapido"/>
    <n v="226"/>
  </r>
  <r>
    <s v="ZOM-10182"/>
    <d v="2026-03-29T00:00:00"/>
    <s v="01-29-2024"/>
    <d v="1899-12-30T03:36:00"/>
    <x v="10"/>
    <s v="Mumbai"/>
    <x v="7"/>
    <n v="64"/>
    <n v="1.6"/>
    <s v="32mins"/>
    <n v="413"/>
    <n v="0"/>
    <x v="4"/>
    <x v="3"/>
    <n v="6"/>
    <s v="In-House"/>
    <n v="169"/>
  </r>
  <r>
    <s v="ZOM-10184"/>
    <d v="2026-01-15T00:00:00"/>
    <s v="05-19-2024"/>
    <d v="1899-12-30T21:18:00"/>
    <x v="12"/>
    <s v="Hyderabad"/>
    <x v="4"/>
    <n v="36"/>
    <n v="3"/>
    <s v="58mins"/>
    <n v="1922"/>
    <n v="0"/>
    <x v="7"/>
    <x v="1"/>
    <n v="6"/>
    <s v="Dunzo"/>
    <n v="64"/>
  </r>
  <r>
    <s v="ZOM-10185"/>
    <d v="2026-12-04T00:00:00"/>
    <s v="07-07-2024"/>
    <d v="1899-12-30T00:00:00"/>
    <x v="6"/>
    <s v="Jaipur"/>
    <x v="10"/>
    <n v="38"/>
    <n v="1.8"/>
    <s v="73mins"/>
    <n v="353"/>
    <n v="0"/>
    <x v="0"/>
    <x v="1"/>
    <n v="9"/>
    <s v="Rapido"/>
    <n v="113"/>
  </r>
  <r>
    <s v="ZOM-10186"/>
    <d v="2026-03-29T00:00:00"/>
    <s v="05-05-2024"/>
    <d v="1899-12-30T00:00:00"/>
    <x v="14"/>
    <s v="Jaipur"/>
    <x v="6"/>
    <n v="53"/>
    <n v="4.8"/>
    <s v="67mins"/>
    <n v="383"/>
    <n v="0.6"/>
    <x v="4"/>
    <x v="2"/>
    <n v="10"/>
    <s v="Unknown"/>
    <n v="215"/>
  </r>
  <r>
    <s v="ZOM-10187"/>
    <d v="2026-01-25T00:00:00"/>
    <s v="05-05-2024"/>
    <d v="1899-12-30T00:00:00"/>
    <x v="8"/>
    <s v="Kolkata"/>
    <x v="8"/>
    <n v="58"/>
    <n v="2.8"/>
    <s v="56mins"/>
    <n v="333"/>
    <n v="100"/>
    <x v="3"/>
    <x v="1"/>
    <n v="1"/>
    <s v="Rapido"/>
    <n v="22"/>
  </r>
  <r>
    <s v="ZOM-10190"/>
    <d v="2026-05-21T00:00:00"/>
    <s v="06-02-2024"/>
    <d v="1899-12-30T00:00:00"/>
    <x v="14"/>
    <s v="Ahmedabad"/>
    <x v="10"/>
    <n v="48"/>
    <n v="2"/>
    <s v="59mins"/>
    <n v="2125"/>
    <n v="75"/>
    <x v="0"/>
    <x v="1"/>
    <n v="9"/>
    <s v="Dunzo"/>
    <n v="87"/>
  </r>
  <r>
    <s v="ZOM-10191"/>
    <d v="2026-03-02T00:00:00"/>
    <s v="11-06-2024"/>
    <d v="1899-12-30T00:00:00"/>
    <x v="2"/>
    <s v="Ahmedabad"/>
    <x v="19"/>
    <n v="18"/>
    <n v="2.5"/>
    <s v="50 mins"/>
    <n v="2251"/>
    <n v="120"/>
    <x v="0"/>
    <x v="1"/>
    <n v="2"/>
    <s v="Dunzo"/>
    <n v="118"/>
  </r>
  <r>
    <s v="ZOM-10192"/>
    <d v="2026-01-14T00:00:00"/>
    <s v="03-01-2024"/>
    <d v="1899-12-30T00:00:00"/>
    <x v="6"/>
    <s v="Kolkata"/>
    <x v="10"/>
    <n v="41"/>
    <n v="2.5"/>
    <s v="41mins"/>
    <n v="137"/>
    <n v="0"/>
    <x v="5"/>
    <x v="1"/>
    <n v="10"/>
    <s v="Shadowfax"/>
    <n v="228"/>
  </r>
  <r>
    <s v="ZOM-10193"/>
    <d v="2026-06-12T00:00:00"/>
    <s v="11-03-2024"/>
    <d v="1899-12-30T00:00:00"/>
    <x v="3"/>
    <s v="Jaipur"/>
    <x v="4"/>
    <n v="45"/>
    <n v="2.6"/>
    <s v="48 mins"/>
    <n v="1230"/>
    <n v="150"/>
    <x v="4"/>
    <x v="5"/>
    <n v="2"/>
    <s v="Rapido"/>
    <n v="6"/>
  </r>
  <r>
    <s v="ZOM-10194"/>
    <d v="2026-05-12T00:00:00"/>
    <s v="20-02-2024"/>
    <d v="1899-12-30T00:00:00"/>
    <x v="0"/>
    <s v="Delhi"/>
    <x v="12"/>
    <n v="39"/>
    <n v="1.9"/>
    <s v="53 mins"/>
    <n v="1595"/>
    <n v="120"/>
    <x v="0"/>
    <x v="2"/>
    <n v="1"/>
    <s v="Grab"/>
    <n v="63"/>
  </r>
  <r>
    <s v="ZOM-10195"/>
    <d v="2026-04-27T00:00:00"/>
    <s v="07-04-2024"/>
    <d v="1899-12-30T00:00:00"/>
    <x v="19"/>
    <s v="Pune"/>
    <x v="11"/>
    <n v="39"/>
    <n v="1.4"/>
    <s v="15 mins"/>
    <n v="1818"/>
    <n v="120"/>
    <x v="4"/>
    <x v="1"/>
    <n v="1"/>
    <s v="Shadowfax"/>
    <n v="237"/>
  </r>
  <r>
    <s v="ZOM-10196"/>
    <d v="2026-12-02T00:00:00"/>
    <s v="17-07-2024"/>
    <d v="1899-12-30T00:00:00"/>
    <x v="1"/>
    <s v="Bangalore"/>
    <x v="5"/>
    <n v="22"/>
    <n v="3.7"/>
    <s v="74mins"/>
    <n v="1547"/>
    <n v="75"/>
    <x v="7"/>
    <x v="1"/>
    <n v="4"/>
    <s v="Grab"/>
    <n v="162"/>
  </r>
  <r>
    <s v="ZOM-10197"/>
    <d v="2026-01-26T00:00:00"/>
    <s v="22-02-2024"/>
    <d v="1899-12-30T00:00:00"/>
    <x v="3"/>
    <s v="Mumbai"/>
    <x v="20"/>
    <n v="32"/>
    <n v="3.9"/>
    <s v="46mins"/>
    <n v="500"/>
    <n v="0"/>
    <x v="0"/>
    <x v="1"/>
    <n v="6"/>
    <s v="Dunzo"/>
    <n v="242"/>
  </r>
  <r>
    <s v="ZOM-10198"/>
    <d v="2026-04-07T00:00:00"/>
    <s v="17-01-2024"/>
    <d v="1899-12-30T00:00:00"/>
    <x v="14"/>
    <s v="Lucknow"/>
    <x v="10"/>
    <n v="33"/>
    <n v="2.5"/>
    <s v="31mins"/>
    <n v="2147"/>
    <n v="50"/>
    <x v="1"/>
    <x v="1"/>
    <n v="9"/>
    <s v="Dunzo"/>
    <n v="26"/>
  </r>
  <r>
    <s v="ZOM-10200"/>
    <d v="2026-10-20T00:00:00"/>
    <s v="11-03-2024"/>
    <d v="1899-12-30T00:00:00"/>
    <x v="0"/>
    <s v="Kolkata"/>
    <x v="12"/>
    <n v="63"/>
    <n v="4.5999999999999996"/>
    <s v="15 mins"/>
    <n v="833"/>
    <n v="100"/>
    <x v="8"/>
    <x v="1"/>
    <n v="4"/>
    <s v="Shadowfax"/>
    <n v="3"/>
  </r>
  <r>
    <s v="ZOM-10201"/>
    <d v="2026-01-06T00:00:00"/>
    <s v="04-28-2024"/>
    <d v="1899-12-30T11:37:00"/>
    <x v="8"/>
    <s v="Ahmedabad"/>
    <x v="10"/>
    <n v="60"/>
    <n v="2.4"/>
    <s v="66mins"/>
    <n v="1936"/>
    <n v="0.6"/>
    <x v="0"/>
    <x v="3"/>
    <n v="10"/>
    <s v="Rapido"/>
    <n v="46"/>
  </r>
  <r>
    <s v="ZOM-10202"/>
    <d v="2026-10-09T00:00:00"/>
    <s v="01-05-2024"/>
    <d v="1899-12-30T00:00:00"/>
    <x v="9"/>
    <s v="Unknown"/>
    <x v="10"/>
    <n v="36"/>
    <n v="2.2000000000000002"/>
    <s v="73mins"/>
    <n v="257"/>
    <n v="0.5"/>
    <x v="2"/>
    <x v="1"/>
    <n v="4"/>
    <s v="Shadowfax"/>
    <n v="190"/>
  </r>
  <r>
    <s v="ZOM-10203"/>
    <d v="2026-08-26T00:00:00"/>
    <s v="20-03-2024"/>
    <d v="1899-12-30T00:00:00"/>
    <x v="2"/>
    <s v="Bangalore"/>
    <x v="1"/>
    <n v="54"/>
    <n v="2.5"/>
    <s v="56 mins"/>
    <n v="2217"/>
    <n v="150"/>
    <x v="5"/>
    <x v="1"/>
    <n v="8"/>
    <s v="Grab"/>
    <n v="108"/>
  </r>
  <r>
    <s v="ZOM-10206"/>
    <d v="2026-02-01T00:00:00"/>
    <s v="03-27-2024"/>
    <d v="1899-12-30T06:33:00"/>
    <x v="0"/>
    <s v="Bangalore"/>
    <x v="0"/>
    <n v="31"/>
    <n v="2.6"/>
    <s v="44mins"/>
    <n v="629"/>
    <n v="0.5"/>
    <x v="1"/>
    <x v="1"/>
    <n v="1"/>
    <s v="Zomato Valet"/>
    <n v="173"/>
  </r>
  <r>
    <s v="ZOM-10207"/>
    <d v="2026-05-22T00:00:00"/>
    <s v="25-05-2024"/>
    <d v="1899-12-30T00:00:00"/>
    <x v="0"/>
    <s v="Bangalore"/>
    <x v="7"/>
    <n v="18"/>
    <n v="2.8"/>
    <s v="44mins"/>
    <n v="1318"/>
    <n v="0"/>
    <x v="0"/>
    <x v="1"/>
    <n v="6"/>
    <s v="Grab"/>
    <m/>
  </r>
  <r>
    <s v="ZOM-10208"/>
    <d v="2026-02-11T00:00:00"/>
    <s v="23-04-2024"/>
    <d v="1899-12-30T00:00:00"/>
    <x v="8"/>
    <s v="Kolkata"/>
    <x v="7"/>
    <n v="33"/>
    <n v="3.8"/>
    <s v="70 mins"/>
    <n v="1028"/>
    <n v="0"/>
    <x v="0"/>
    <x v="3"/>
    <n v="9"/>
    <s v="Shadowfax"/>
    <n v="159"/>
  </r>
  <r>
    <s v="ZOM-10209"/>
    <d v="2026-11-22T00:00:00"/>
    <s v="15-02-2024"/>
    <d v="1899-12-30T00:00:00"/>
    <x v="1"/>
    <s v="Ahmedabad"/>
    <x v="2"/>
    <n v="27"/>
    <n v="4.2"/>
    <s v="15 mins"/>
    <n v="1028"/>
    <n v="75"/>
    <x v="7"/>
    <x v="1"/>
    <n v="10"/>
    <s v="Grab"/>
    <n v="75"/>
  </r>
  <r>
    <s v="ORD_132"/>
    <d v="2026-12-01T00:00:00"/>
    <s v="05-07-2024"/>
    <d v="1899-12-30T00:00:00"/>
    <x v="7"/>
    <s v="Lucknow"/>
    <x v="11"/>
    <n v="34"/>
    <n v="4"/>
    <s v="77mins"/>
    <n v="1631"/>
    <n v="0"/>
    <x v="2"/>
    <x v="1"/>
    <n v="1"/>
    <s v="In-House"/>
    <n v="120"/>
  </r>
  <r>
    <s v="ZOM-10212"/>
    <d v="2026-03-15T00:00:00"/>
    <s v="06-16-2024"/>
    <d v="1899-12-30T09:50:00"/>
    <x v="14"/>
    <s v="Jaipur"/>
    <x v="2"/>
    <n v="44"/>
    <n v="4.7"/>
    <s v="55 mins"/>
    <n v="515"/>
    <n v="0.2"/>
    <x v="0"/>
    <x v="5"/>
    <n v="1"/>
    <s v="In-House"/>
    <n v="48"/>
  </r>
  <r>
    <s v="ZOM-10000"/>
    <d v="2026-01-29T00:00:00"/>
    <s v="03-06-2024"/>
    <d v="1899-12-30T00:00:00"/>
    <x v="1"/>
    <s v="Chennai"/>
    <x v="1"/>
    <n v="40"/>
    <n v="4.2"/>
    <s v="15 mins"/>
    <n v="2192"/>
    <n v="50"/>
    <x v="0"/>
    <x v="3"/>
    <n v="8"/>
    <s v="Rapido"/>
    <n v="245"/>
  </r>
  <r>
    <s v="ORD_123"/>
    <d v="2026-08-23T00:00:00"/>
    <s v="01-12-2024"/>
    <d v="1899-12-30T11:06:00"/>
    <x v="6"/>
    <s v="Pune"/>
    <x v="11"/>
    <n v="51"/>
    <n v="4.0999999999999996"/>
    <s v="19mins"/>
    <n v="424"/>
    <n v="0.6"/>
    <x v="2"/>
    <x v="1"/>
    <n v="2"/>
    <s v="Zomato Valet"/>
    <n v="27"/>
  </r>
  <r>
    <s v="ZOM-10215"/>
    <d v="2026-10-28T00:00:00"/>
    <s v="02-26-2024"/>
    <d v="1899-12-30T08:47:00"/>
    <x v="12"/>
    <s v="Mumbai"/>
    <x v="10"/>
    <n v="63"/>
    <n v="3.9"/>
    <s v="70mins"/>
    <n v="2044"/>
    <n v="0.1"/>
    <x v="0"/>
    <x v="1"/>
    <n v="7"/>
    <s v="Rapido"/>
    <n v="115"/>
  </r>
  <r>
    <s v="ZOM-10216"/>
    <d v="2026-11-22T00:00:00"/>
    <s v="07-16-2024"/>
    <d v="1899-12-30T12:27:00"/>
    <x v="14"/>
    <s v="Jaipur"/>
    <x v="12"/>
    <n v="27"/>
    <n v="4.4000000000000004"/>
    <s v="19mins"/>
    <n v="1545"/>
    <n v="0"/>
    <x v="5"/>
    <x v="3"/>
    <n v="6"/>
    <s v="Shadowfax"/>
    <n v="162"/>
  </r>
  <r>
    <s v="ZOM-10217"/>
    <d v="2026-03-03T00:00:00"/>
    <s v="17-07-2024"/>
    <d v="1899-12-30T00:00:00"/>
    <x v="2"/>
    <s v="Delhi"/>
    <x v="7"/>
    <n v="62"/>
    <n v="3.8"/>
    <s v="27mins"/>
    <n v="432"/>
    <n v="0"/>
    <x v="1"/>
    <x v="1"/>
    <n v="4"/>
    <s v="In-House"/>
    <n v="40"/>
  </r>
  <r>
    <s v="ZOM-10218"/>
    <d v="2026-10-16T00:00:00"/>
    <s v="07-02-2024"/>
    <d v="1899-12-30T00:00:00"/>
    <x v="7"/>
    <s v="Ahmedabad"/>
    <x v="0"/>
    <n v="43"/>
    <n v="1.5"/>
    <s v="53mins"/>
    <n v="1757"/>
    <n v="100"/>
    <x v="1"/>
    <x v="1"/>
    <n v="8"/>
    <s v="Unknown"/>
    <n v="42"/>
  </r>
  <r>
    <s v="ZOM-10219"/>
    <d v="2026-04-05T00:00:00"/>
    <s v="27-02-2024"/>
    <d v="1899-12-30T00:00:00"/>
    <x v="10"/>
    <s v="Pune"/>
    <x v="10"/>
    <n v="52"/>
    <n v="4.3"/>
    <s v="15 mins"/>
    <n v="1443"/>
    <n v="100"/>
    <x v="0"/>
    <x v="1"/>
    <n v="2"/>
    <s v="Shadowfax"/>
    <n v="78"/>
  </r>
  <r>
    <s v="ORD_136"/>
    <d v="2026-05-14T00:00:00"/>
    <s v="22-02-2024"/>
    <d v="1899-12-30T00:00:00"/>
    <x v="4"/>
    <s v="Kolkata"/>
    <x v="15"/>
    <n v="36"/>
    <n v="2.8"/>
    <s v="55mins"/>
    <n v="1364"/>
    <n v="0.6"/>
    <x v="7"/>
    <x v="3"/>
    <n v="4"/>
    <s v="Shadowfax"/>
    <n v="38"/>
  </r>
  <r>
    <s v="ZOM-10223"/>
    <d v="2026-01-22T00:00:00"/>
    <s v="29-04-2024"/>
    <d v="1899-12-30T00:00:00"/>
    <x v="7"/>
    <s v="Mumbai"/>
    <x v="21"/>
    <n v="28"/>
    <n v="1.3"/>
    <s v="78mins"/>
    <n v="500"/>
    <n v="150"/>
    <x v="7"/>
    <x v="1"/>
    <n v="1"/>
    <s v="In-House"/>
    <n v="34"/>
  </r>
  <r>
    <s v="ZOM-10224"/>
    <d v="2026-04-28T00:00:00"/>
    <s v="05-15-2024"/>
    <d v="1899-12-30T23:20:00"/>
    <x v="10"/>
    <s v="Hyderabad"/>
    <x v="7"/>
    <n v="25"/>
    <n v="3.7"/>
    <s v="30mins"/>
    <n v="810"/>
    <n v="0.1"/>
    <x v="1"/>
    <x v="0"/>
    <n v="8"/>
    <s v="Zomato Valet"/>
    <n v="28"/>
  </r>
  <r>
    <s v="ZOM-10000"/>
    <d v="2026-12-07T00:00:00"/>
    <s v="03-07-2024"/>
    <d v="1899-12-30T00:00:00"/>
    <x v="3"/>
    <s v="Bangalore"/>
    <x v="12"/>
    <n v="29"/>
    <n v="2.1"/>
    <s v="71mins"/>
    <n v="505"/>
    <n v="75"/>
    <x v="1"/>
    <x v="1"/>
    <n v="0"/>
    <s v="In-House"/>
    <n v="140"/>
  </r>
  <r>
    <s v="ZOM-10226"/>
    <d v="2026-12-20T00:00:00"/>
    <s v="23-06-2024"/>
    <d v="1899-12-30T00:00:00"/>
    <x v="7"/>
    <s v="Mumbai"/>
    <x v="7"/>
    <n v="39"/>
    <n v="3.4"/>
    <s v="15 mins"/>
    <n v="1263"/>
    <n v="0"/>
    <x v="2"/>
    <x v="3"/>
    <n v="4"/>
    <s v="In-House"/>
    <n v="153"/>
  </r>
  <r>
    <s v="ZOM-10227"/>
    <d v="2026-01-16T00:00:00"/>
    <s v="16-02-2024"/>
    <d v="1899-12-30T00:00:00"/>
    <x v="10"/>
    <s v="Kolkata"/>
    <x v="10"/>
    <n v="62"/>
    <n v="1.9"/>
    <s v="76mins"/>
    <n v="266"/>
    <n v="0"/>
    <x v="0"/>
    <x v="1"/>
    <n v="1"/>
    <s v="Zomato Valet"/>
    <n v="14"/>
  </r>
  <r>
    <s v="ZOM-10228"/>
    <d v="2026-11-14T00:00:00"/>
    <s v="05-03-2024"/>
    <d v="1899-12-30T00:00:00"/>
    <x v="1"/>
    <s v="Bangalore"/>
    <x v="10"/>
    <n v="42"/>
    <n v="1.4"/>
    <s v="30mins"/>
    <n v="218"/>
    <n v="50"/>
    <x v="4"/>
    <x v="1"/>
    <n v="4"/>
    <s v="Rapido"/>
    <n v="17"/>
  </r>
  <r>
    <s v="ZOM-10229"/>
    <d v="2026-05-15T00:00:00"/>
    <s v="23-05-2024"/>
    <d v="1899-12-30T00:00:00"/>
    <x v="9"/>
    <s v="Jaipur"/>
    <x v="10"/>
    <n v="21"/>
    <n v="3.8"/>
    <s v="65mins"/>
    <n v="1298"/>
    <n v="0"/>
    <x v="4"/>
    <x v="1"/>
    <n v="3"/>
    <s v="Rapido"/>
    <n v="210"/>
  </r>
  <r>
    <s v="ZOM-10230"/>
    <d v="2026-10-17T00:00:00"/>
    <s v="14-05-2024"/>
    <d v="1899-12-30T00:00:00"/>
    <x v="6"/>
    <s v="Jaipur"/>
    <x v="2"/>
    <n v="21"/>
    <n v="2"/>
    <s v="29mins"/>
    <n v="123"/>
    <n v="75"/>
    <x v="5"/>
    <x v="3"/>
    <n v="1"/>
    <s v="In-House"/>
    <n v="8"/>
  </r>
  <r>
    <s v="ZOM-10231"/>
    <d v="2026-10-31T00:00:00"/>
    <s v="17-05-2024"/>
    <d v="1899-12-30T00:00:00"/>
    <x v="10"/>
    <s v="Lucknow"/>
    <x v="12"/>
    <n v="46"/>
    <n v="3.9"/>
    <s v="76mins"/>
    <n v="343"/>
    <n v="0.15"/>
    <x v="4"/>
    <x v="5"/>
    <n v="3"/>
    <s v="Grab"/>
    <n v="33"/>
  </r>
  <r>
    <s v="ZOM-10232"/>
    <d v="2026-10-28T00:00:00"/>
    <s v="04-13-2024"/>
    <d v="1899-12-30T03:25:00"/>
    <x v="14"/>
    <s v="Delhi"/>
    <x v="5"/>
    <n v="56"/>
    <n v="2.5"/>
    <s v="28mins"/>
    <n v="1411"/>
    <n v="0"/>
    <x v="4"/>
    <x v="3"/>
    <n v="9"/>
    <s v="In-House"/>
    <m/>
  </r>
  <r>
    <s v="ZOM-10234"/>
    <d v="2026-10-07T00:00:00"/>
    <s v="07-01-2024"/>
    <d v="1899-12-30T02:36:00"/>
    <x v="14"/>
    <s v="Ahmedabad"/>
    <x v="12"/>
    <n v="40"/>
    <n v="2.7"/>
    <s v="67mins"/>
    <n v="1552"/>
    <n v="0.15"/>
    <x v="2"/>
    <x v="1"/>
    <n v="7"/>
    <s v="Rapido"/>
    <n v="167"/>
  </r>
  <r>
    <s v="ORD_101"/>
    <d v="2026-11-14T00:00:00"/>
    <s v="02-04-2024"/>
    <d v="1899-12-30T00:00:00"/>
    <x v="14"/>
    <s v="Bangalore"/>
    <x v="4"/>
    <n v="62"/>
    <n v="2.5"/>
    <s v="15 mins"/>
    <n v="2416"/>
    <n v="150"/>
    <x v="7"/>
    <x v="1"/>
    <n v="1"/>
    <s v="Rapido"/>
    <n v="173"/>
  </r>
  <r>
    <s v="ZOM-10236"/>
    <d v="2026-01-13T00:00:00"/>
    <s v="17-03-2024"/>
    <d v="1899-12-30T00:00:00"/>
    <x v="8"/>
    <s v="Bombay"/>
    <x v="22"/>
    <n v="47"/>
    <n v="4.3"/>
    <s v="79mins"/>
    <n v="848"/>
    <n v="75"/>
    <x v="0"/>
    <x v="3"/>
    <n v="9"/>
    <s v="Rapido"/>
    <n v="75"/>
  </r>
  <r>
    <s v="ZOM-10237"/>
    <d v="2026-12-07T00:00:00"/>
    <s v="12-02-2024"/>
    <d v="1899-12-30T00:00:00"/>
    <x v="12"/>
    <s v="Unknown"/>
    <x v="12"/>
    <n v="18"/>
    <n v="1.8"/>
    <s v="74 mins"/>
    <n v="197"/>
    <n v="120"/>
    <x v="0"/>
    <x v="2"/>
    <n v="5"/>
    <s v="Grab"/>
    <n v="49"/>
  </r>
  <r>
    <s v="ZOM-10238"/>
    <d v="2026-05-07T00:00:00"/>
    <s v="25-03-2024"/>
    <d v="1899-12-30T00:00:00"/>
    <x v="4"/>
    <s v="Pune"/>
    <x v="2"/>
    <n v="63"/>
    <n v="1.9"/>
    <s v="33mins"/>
    <n v="1950"/>
    <n v="120"/>
    <x v="1"/>
    <x v="1"/>
    <n v="7"/>
    <s v="Zomato Valet"/>
    <n v="48"/>
  </r>
  <r>
    <s v="ZOM-10239"/>
    <d v="2026-03-28T00:00:00"/>
    <s v="02-09-2024"/>
    <d v="1899-12-30T19:21:00"/>
    <x v="9"/>
    <s v="Kolkata"/>
    <x v="11"/>
    <n v="22"/>
    <n v="2.5"/>
    <s v="26 mins"/>
    <n v="1811"/>
    <n v="75"/>
    <x v="2"/>
    <x v="1"/>
    <n v="7"/>
    <s v="Rapido"/>
    <n v="41"/>
  </r>
  <r>
    <s v="ZOM-10240"/>
    <d v="2026-06-01T00:00:00"/>
    <s v="23-06-2024"/>
    <d v="1899-12-30T00:00:00"/>
    <x v="1"/>
    <s v="Delhi"/>
    <x v="5"/>
    <n v="22"/>
    <n v="4.5"/>
    <s v="59mins"/>
    <n v="1229"/>
    <n v="100"/>
    <x v="0"/>
    <x v="1"/>
    <n v="6"/>
    <s v="Dunzo"/>
    <n v="152"/>
  </r>
  <r>
    <s v="ORD_109"/>
    <d v="2026-08-10T00:00:00"/>
    <s v="04-30-2024"/>
    <d v="1899-12-30T04:58:00"/>
    <x v="8"/>
    <s v="Chennai"/>
    <x v="1"/>
    <n v="58"/>
    <n v="1.6"/>
    <s v="25mins"/>
    <n v="830"/>
    <n v="120"/>
    <x v="4"/>
    <x v="1"/>
    <n v="5"/>
    <s v="Shadowfax"/>
    <n v="79"/>
  </r>
  <r>
    <s v="ZOM-10242"/>
    <d v="2026-09-29T00:00:00"/>
    <s v="21-04-2024"/>
    <d v="1899-12-30T00:00:00"/>
    <x v="10"/>
    <s v="Lucknow"/>
    <x v="2"/>
    <n v="65"/>
    <n v="1.1000000000000001"/>
    <s v="33mins"/>
    <n v="1309"/>
    <n v="150"/>
    <x v="2"/>
    <x v="3"/>
    <n v="1"/>
    <s v="Shadowfax"/>
    <n v="150"/>
  </r>
  <r>
    <s v="ZOM-10243"/>
    <d v="2026-08-15T00:00:00"/>
    <s v="23-02-2024"/>
    <d v="1899-12-30T00:00:00"/>
    <x v="10"/>
    <s v="Kolkata"/>
    <x v="8"/>
    <n v="39"/>
    <n v="1.7"/>
    <s v="37mins"/>
    <n v="1436"/>
    <n v="75"/>
    <x v="1"/>
    <x v="1"/>
    <n v="2"/>
    <s v="Zomato Valet"/>
    <n v="228"/>
  </r>
  <r>
    <s v="ZOM-10244"/>
    <d v="2026-04-26T00:00:00"/>
    <s v="05-19-2024"/>
    <d v="1899-12-30T03:24:00"/>
    <x v="4"/>
    <s v="Pune"/>
    <x v="11"/>
    <n v="47"/>
    <n v="4.3"/>
    <s v="65mins"/>
    <n v="138"/>
    <n v="0.2"/>
    <x v="5"/>
    <x v="0"/>
    <n v="0"/>
    <s v="Zomato Valet"/>
    <n v="190"/>
  </r>
  <r>
    <s v="ZOM-10245"/>
    <d v="2026-09-26T00:00:00"/>
    <s v="26-05-2024"/>
    <d v="1899-12-30T00:00:00"/>
    <x v="7"/>
    <s v="Lucknow"/>
    <x v="2"/>
    <n v="63"/>
    <n v="3"/>
    <s v="65mins"/>
    <n v="2126"/>
    <n v="0.6"/>
    <x v="4"/>
    <x v="5"/>
    <n v="3"/>
    <s v="Zomato Valet"/>
    <n v="241"/>
  </r>
  <r>
    <s v="ZOM-10000"/>
    <d v="2026-02-24T00:00:00"/>
    <s v="06-07-2024"/>
    <d v="1899-12-30T00:00:00"/>
    <x v="12"/>
    <s v="Kolkata"/>
    <x v="4"/>
    <n v="58"/>
    <n v="2.5"/>
    <s v="28mins"/>
    <n v="384"/>
    <n v="0.15"/>
    <x v="5"/>
    <x v="2"/>
    <n v="1"/>
    <s v="Grab"/>
    <n v="55"/>
  </r>
  <r>
    <s v="ZOM-10247"/>
    <d v="2026-02-12T00:00:00"/>
    <s v="25-04-2024"/>
    <d v="1899-12-30T00:00:00"/>
    <x v="3"/>
    <s v="Mumbai"/>
    <x v="23"/>
    <n v="25"/>
    <n v="1.1000000000000001"/>
    <s v="15 mins"/>
    <n v="1338"/>
    <n v="0"/>
    <x v="6"/>
    <x v="3"/>
    <n v="5"/>
    <s v="Dunzo"/>
    <n v="35"/>
  </r>
  <r>
    <s v="ZOM-10248"/>
    <d v="2026-05-23T00:00:00"/>
    <s v="06-05-2024"/>
    <d v="1899-12-30T00:00:00"/>
    <x v="7"/>
    <s v="Kolkata"/>
    <x v="10"/>
    <n v="46"/>
    <n v="4"/>
    <s v="28mins"/>
    <n v="1565"/>
    <n v="75"/>
    <x v="1"/>
    <x v="1"/>
    <n v="9"/>
    <s v="Dunzo"/>
    <n v="187"/>
  </r>
  <r>
    <s v="ZOM-10249"/>
    <d v="2026-11-13T00:00:00"/>
    <s v="25-02-2024"/>
    <d v="1899-12-30T00:00:00"/>
    <x v="5"/>
    <s v="Chennai"/>
    <x v="1"/>
    <n v="24"/>
    <n v="3.9"/>
    <s v="24mins"/>
    <n v="1486"/>
    <n v="100"/>
    <x v="5"/>
    <x v="1"/>
    <n v="2"/>
    <s v="Grab"/>
    <n v="46"/>
  </r>
  <r>
    <s v="ZOM-10250"/>
    <d v="2026-12-10T00:00:00"/>
    <s v="27-05-2024"/>
    <d v="1899-12-30T00:00:00"/>
    <x v="1"/>
    <s v="Jaipur"/>
    <x v="3"/>
    <n v="35"/>
    <n v="2.4"/>
    <s v="64 mins"/>
    <n v="865"/>
    <n v="0.5"/>
    <x v="2"/>
    <x v="2"/>
    <n v="1"/>
    <s v="Shadowfax"/>
    <n v="147"/>
  </r>
  <r>
    <s v="ZOM-10251"/>
    <d v="2026-12-08T00:00:00"/>
    <s v="04-04-2024"/>
    <d v="1899-12-30T00:00:00"/>
    <x v="2"/>
    <s v="Kolkata"/>
    <x v="4"/>
    <n v="26"/>
    <n v="1.6"/>
    <s v="67mins"/>
    <n v="1636"/>
    <n v="50"/>
    <x v="7"/>
    <x v="1"/>
    <n v="2"/>
    <s v="Dunzo"/>
    <n v="138"/>
  </r>
  <r>
    <s v="ZOM-10252"/>
    <d v="2026-09-09T00:00:00"/>
    <s v="06-05-2024"/>
    <d v="1899-12-30T00:00:00"/>
    <x v="12"/>
    <s v="Hyderabad"/>
    <x v="7"/>
    <n v="50"/>
    <n v="1.5"/>
    <s v="64mins"/>
    <n v="2441"/>
    <n v="100"/>
    <x v="4"/>
    <x v="1"/>
    <n v="2"/>
    <s v="Unknown"/>
    <n v="72"/>
  </r>
  <r>
    <s v="ZOM-10254"/>
    <d v="2026-08-24T00:00:00"/>
    <s v="02-22-2024"/>
    <d v="1899-12-30T05:50:00"/>
    <x v="8"/>
    <s v="Bangalore"/>
    <x v="12"/>
    <n v="28"/>
    <n v="4.5999999999999996"/>
    <s v="15 mins"/>
    <n v="1705"/>
    <n v="0"/>
    <x v="5"/>
    <x v="1"/>
    <n v="8"/>
    <s v="Shadowfax"/>
    <n v="74"/>
  </r>
  <r>
    <s v="ZOM-10255"/>
    <d v="2026-05-30T00:00:00"/>
    <s v="05-08-2024"/>
    <d v="1899-12-30T05:42:00"/>
    <x v="0"/>
    <s v="Chennai"/>
    <x v="7"/>
    <n v="51"/>
    <n v="4.4000000000000004"/>
    <s v="76mins"/>
    <n v="388"/>
    <n v="0"/>
    <x v="4"/>
    <x v="0"/>
    <n v="2"/>
    <s v="Shadowfax"/>
    <n v="44"/>
  </r>
  <r>
    <s v="ZOM-10256"/>
    <d v="2026-07-13T00:00:00"/>
    <s v="25-04-2024"/>
    <d v="1899-12-30T00:00:00"/>
    <x v="12"/>
    <s v="Kolkata"/>
    <x v="0"/>
    <n v="54"/>
    <n v="4.2"/>
    <s v="16mins"/>
    <n v="1307"/>
    <n v="50"/>
    <x v="7"/>
    <x v="2"/>
    <n v="8"/>
    <s v="Zomato Valet"/>
    <n v="39"/>
  </r>
  <r>
    <s v="ZOM-10258"/>
    <d v="2026-03-15T00:00:00"/>
    <s v="19-05-2024"/>
    <d v="1899-12-30T00:00:00"/>
    <x v="7"/>
    <s v="Chennai"/>
    <x v="4"/>
    <n v="23"/>
    <n v="3.5"/>
    <s v="46mins"/>
    <n v="1501"/>
    <n v="120"/>
    <x v="5"/>
    <x v="1"/>
    <n v="1"/>
    <s v="Zomato Valet"/>
    <n v="134"/>
  </r>
  <r>
    <s v="ZOM-10259"/>
    <d v="2026-06-25T00:00:00"/>
    <s v="03-05-2024"/>
    <d v="1899-12-30T00:00:00"/>
    <x v="0"/>
    <s v="Hyderabad"/>
    <x v="2"/>
    <n v="37"/>
    <n v="4.7"/>
    <s v="40mins"/>
    <n v="500"/>
    <n v="0"/>
    <x v="7"/>
    <x v="1"/>
    <n v="7"/>
    <s v="Grab"/>
    <n v="198"/>
  </r>
  <r>
    <s v="ZOM-10260"/>
    <d v="2026-05-13T00:00:00"/>
    <s v="17-06-2024"/>
    <d v="1899-12-30T00:00:00"/>
    <x v="14"/>
    <s v="Bangalore"/>
    <x v="8"/>
    <n v="60"/>
    <n v="2.5"/>
    <s v="74mins"/>
    <n v="1112"/>
    <n v="0"/>
    <x v="2"/>
    <x v="1"/>
    <n v="1"/>
    <s v="Dunzo"/>
    <n v="159"/>
  </r>
  <r>
    <s v="ZOM-10261"/>
    <d v="2026-05-20T00:00:00"/>
    <s v="08-05-2024"/>
    <d v="1899-12-30T00:00:00"/>
    <x v="2"/>
    <s v="Lucknow"/>
    <x v="12"/>
    <n v="59"/>
    <n v="4.9000000000000004"/>
    <s v="38mins"/>
    <n v="1491"/>
    <n v="120"/>
    <x v="5"/>
    <x v="2"/>
    <n v="1"/>
    <s v="In-House"/>
    <n v="45"/>
  </r>
  <r>
    <s v="ZOM-10263"/>
    <d v="2026-10-28T00:00:00"/>
    <s v="01-02-2024"/>
    <d v="1899-12-30T12:16:00"/>
    <x v="10"/>
    <s v="Jaipur"/>
    <x v="8"/>
    <n v="22"/>
    <n v="3.5"/>
    <s v="25mins"/>
    <n v="423"/>
    <n v="0.5"/>
    <x v="3"/>
    <x v="2"/>
    <n v="2"/>
    <s v="Shadowfax"/>
    <n v="110"/>
  </r>
  <r>
    <s v="ZOM-10265"/>
    <d v="2026-01-28T00:00:00"/>
    <s v="30-03-2024"/>
    <d v="1899-12-30T00:00:00"/>
    <x v="13"/>
    <s v="Unknown"/>
    <x v="1"/>
    <n v="53"/>
    <n v="2.5"/>
    <s v="31mins"/>
    <n v="1143"/>
    <n v="0.5"/>
    <x v="0"/>
    <x v="3"/>
    <n v="2"/>
    <s v="Unknown"/>
    <n v="56"/>
  </r>
  <r>
    <s v="ZOM-10266"/>
    <d v="2026-01-29T00:00:00"/>
    <s v="12-01-2024"/>
    <d v="1899-12-30T00:00:00"/>
    <x v="6"/>
    <s v="Bangalore"/>
    <x v="1"/>
    <n v="60"/>
    <n v="2"/>
    <s v="78mins"/>
    <n v="1799"/>
    <n v="50"/>
    <x v="2"/>
    <x v="2"/>
    <n v="6"/>
    <s v="In-House"/>
    <n v="34"/>
  </r>
  <r>
    <s v="ZOM-10268"/>
    <d v="2026-11-16T00:00:00"/>
    <s v="27-03-2024"/>
    <d v="1899-12-30T00:00:00"/>
    <x v="10"/>
    <s v="Lucknow"/>
    <x v="5"/>
    <n v="36"/>
    <n v="4.8"/>
    <s v="48mins"/>
    <n v="507"/>
    <n v="50"/>
    <x v="4"/>
    <x v="2"/>
    <n v="6"/>
    <s v="Rapido"/>
    <n v="39"/>
  </r>
  <r>
    <s v="ZOM-10269"/>
    <d v="2026-01-01T00:00:00"/>
    <s v="04-06-2024"/>
    <d v="1899-12-30T00:00:00"/>
    <x v="10"/>
    <s v="Delhi"/>
    <x v="8"/>
    <n v="23"/>
    <n v="3.4"/>
    <s v="23mins"/>
    <n v="1168"/>
    <n v="75"/>
    <x v="2"/>
    <x v="1"/>
    <n v="3"/>
    <s v="In-House"/>
    <n v="25"/>
  </r>
  <r>
    <s v="ZOM-10270"/>
    <d v="2026-02-26T00:00:00"/>
    <m/>
    <d v="1899-12-30T00:00:00"/>
    <x v="8"/>
    <s v="Mumbai"/>
    <x v="1"/>
    <n v="22"/>
    <n v="4.5"/>
    <s v="35 mins"/>
    <n v="1565"/>
    <n v="150"/>
    <x v="5"/>
    <x v="3"/>
    <n v="10"/>
    <s v="Zomato Valet"/>
    <n v="23"/>
  </r>
  <r>
    <s v="ZOM-10271"/>
    <d v="2026-08-25T00:00:00"/>
    <s v="01-07-2024"/>
    <d v="1899-12-30T00:00:00"/>
    <x v="7"/>
    <s v="Pune"/>
    <x v="1"/>
    <n v="52"/>
    <n v="4.4000000000000004"/>
    <s v="21mins"/>
    <n v="1565"/>
    <n v="75"/>
    <x v="5"/>
    <x v="2"/>
    <n v="8"/>
    <s v="Dunzo"/>
    <n v="0"/>
  </r>
  <r>
    <s v="ZOM-10272"/>
    <d v="2026-11-06T00:00:00"/>
    <s v="31-03-2024"/>
    <d v="1899-12-30T00:00:00"/>
    <x v="8"/>
    <s v="Lucknow"/>
    <x v="1"/>
    <n v="34"/>
    <n v="2.4"/>
    <s v="41 mins"/>
    <n v="1122"/>
    <n v="150"/>
    <x v="3"/>
    <x v="1"/>
    <n v="8"/>
    <s v="In-House"/>
    <m/>
  </r>
  <r>
    <s v="ZOM-10273"/>
    <d v="2026-08-12T00:00:00"/>
    <s v="11-05-2024"/>
    <d v="1899-12-30T00:00:00"/>
    <x v="7"/>
    <s v="Mumbai"/>
    <x v="10"/>
    <n v="40"/>
    <n v="4.5999999999999996"/>
    <s v="70mins"/>
    <n v="809"/>
    <n v="0.15"/>
    <x v="1"/>
    <x v="4"/>
    <n v="8"/>
    <s v="Grab"/>
    <n v="158"/>
  </r>
  <r>
    <s v="ZOM-10275"/>
    <d v="2026-01-26T00:00:00"/>
    <s v="05-18-2024"/>
    <d v="1899-12-30T18:21:00"/>
    <x v="3"/>
    <s v="Lucknow"/>
    <x v="8"/>
    <n v="46"/>
    <n v="3"/>
    <s v="23 mins"/>
    <n v="2484"/>
    <n v="0.2"/>
    <x v="0"/>
    <x v="3"/>
    <n v="9"/>
    <s v="In-House"/>
    <n v="24"/>
  </r>
  <r>
    <s v="ZOM-10276"/>
    <d v="2026-12-13T00:00:00"/>
    <s v="13-05-2024"/>
    <d v="1899-12-30T00:00:00"/>
    <x v="4"/>
    <s v="Delhi"/>
    <x v="1"/>
    <n v="64"/>
    <n v="1.5"/>
    <s v="26mins"/>
    <n v="2383"/>
    <n v="0"/>
    <x v="2"/>
    <x v="3"/>
    <n v="10"/>
    <s v="Shadowfax"/>
    <n v="137"/>
  </r>
  <r>
    <s v="ZOM-10277"/>
    <d v="2026-03-05T00:00:00"/>
    <s v="15-03-2024"/>
    <d v="1899-12-30T00:00:00"/>
    <x v="12"/>
    <s v="Mumbai"/>
    <x v="4"/>
    <n v="47"/>
    <n v="3.6"/>
    <s v="65mins"/>
    <n v="1797"/>
    <n v="100"/>
    <x v="7"/>
    <x v="1"/>
    <n v="9"/>
    <s v="Dunzo"/>
    <n v="49"/>
  </r>
  <r>
    <s v="ZOM-10278"/>
    <d v="2026-01-02T00:00:00"/>
    <s v="03-09-2024"/>
    <d v="1899-12-30T16:34:00"/>
    <x v="8"/>
    <s v="Hyderabad"/>
    <x v="11"/>
    <n v="19"/>
    <n v="1.1000000000000001"/>
    <s v="57mins"/>
    <n v="2291"/>
    <n v="150"/>
    <x v="0"/>
    <x v="3"/>
    <n v="5"/>
    <s v="Shadowfax"/>
    <n v="9"/>
  </r>
  <r>
    <s v="ORD_101"/>
    <d v="2026-08-21T00:00:00"/>
    <s v="12-07-2024"/>
    <d v="1899-12-30T00:00:00"/>
    <x v="7"/>
    <s v="Delhi"/>
    <x v="12"/>
    <n v="65"/>
    <n v="4.4000000000000004"/>
    <s v="47 mins"/>
    <n v="1839"/>
    <n v="0"/>
    <x v="1"/>
    <x v="1"/>
    <n v="5"/>
    <s v="Dunzo"/>
    <n v="20"/>
  </r>
  <r>
    <s v="ZOM-10282"/>
    <d v="2026-07-11T00:00:00"/>
    <s v="03-07-2024"/>
    <d v="1899-12-30T00:00:00"/>
    <x v="8"/>
    <s v="Jaipur"/>
    <x v="7"/>
    <n v="65"/>
    <n v="4.4000000000000004"/>
    <s v="48 mins"/>
    <n v="1822"/>
    <n v="0.15"/>
    <x v="3"/>
    <x v="3"/>
    <n v="2"/>
    <s v="Zomato Valet"/>
    <n v="58"/>
  </r>
  <r>
    <s v="ZOM-10283"/>
    <d v="2026-06-11T00:00:00"/>
    <s v="04-01-2024"/>
    <d v="1899-12-30T00:00:00"/>
    <x v="7"/>
    <s v="Kolkata"/>
    <x v="10"/>
    <n v="24"/>
    <n v="3.1"/>
    <s v="64mins"/>
    <n v="906"/>
    <n v="75"/>
    <x v="1"/>
    <x v="5"/>
    <n v="4"/>
    <s v="Zomato Valet"/>
    <n v="33"/>
  </r>
  <r>
    <s v="ZOM-10000"/>
    <d v="2026-07-21T00:00:00"/>
    <s v="20-01-2024"/>
    <d v="1899-12-30T00:00:00"/>
    <x v="9"/>
    <s v="Hyderabad"/>
    <x v="8"/>
    <n v="56"/>
    <n v="4.8"/>
    <s v="50mins"/>
    <n v="1813"/>
    <n v="100"/>
    <x v="1"/>
    <x v="1"/>
    <n v="8"/>
    <s v="In-House"/>
    <n v="124"/>
  </r>
  <r>
    <s v="ZOM-10286"/>
    <d v="2026-05-18T00:00:00"/>
    <s v="03-02-2024"/>
    <d v="1899-12-30T00:00:00"/>
    <x v="0"/>
    <s v="Jaipur"/>
    <x v="5"/>
    <n v="28"/>
    <n v="3.3"/>
    <s v="16mins"/>
    <n v="2358"/>
    <n v="150"/>
    <x v="0"/>
    <x v="2"/>
    <n v="4"/>
    <s v="In-House"/>
    <n v="166"/>
  </r>
  <r>
    <s v="ZOM-10000"/>
    <d v="2026-04-09T00:00:00"/>
    <s v="11-03-2024"/>
    <d v="1899-12-30T00:00:00"/>
    <x v="8"/>
    <s v="Mumbai"/>
    <x v="2"/>
    <n v="18"/>
    <n v="2.5"/>
    <s v="61 mins"/>
    <n v="2365"/>
    <n v="50"/>
    <x v="1"/>
    <x v="2"/>
    <n v="4"/>
    <s v="Shadowfax"/>
    <n v="243"/>
  </r>
  <r>
    <s v="ZOM-10288"/>
    <d v="2026-03-15T00:00:00"/>
    <s v="31-03-2024"/>
    <d v="1899-12-30T00:00:00"/>
    <x v="12"/>
    <s v="Lucknow"/>
    <x v="4"/>
    <n v="62"/>
    <n v="3.2"/>
    <s v="49mins"/>
    <n v="336"/>
    <n v="0.5"/>
    <x v="6"/>
    <x v="1"/>
    <n v="8"/>
    <s v="Rapido"/>
    <n v="137"/>
  </r>
  <r>
    <s v="ZOM-10289"/>
    <d v="2026-07-06T00:00:00"/>
    <s v="01-04-2024"/>
    <d v="1899-12-30T00:00:00"/>
    <x v="9"/>
    <s v="Kolkata"/>
    <x v="8"/>
    <n v="43"/>
    <n v="2"/>
    <s v="58mins"/>
    <n v="1268"/>
    <n v="0"/>
    <x v="4"/>
    <x v="1"/>
    <n v="10"/>
    <s v="Zomato Valet"/>
    <n v="19"/>
  </r>
  <r>
    <s v="ZOM-10290"/>
    <d v="2026-04-19T00:00:00"/>
    <s v="25-05-2024"/>
    <d v="1899-12-30T00:00:00"/>
    <x v="8"/>
    <s v="Bangalore"/>
    <x v="5"/>
    <n v="29"/>
    <n v="1.8"/>
    <s v="30 mins"/>
    <n v="487"/>
    <n v="0"/>
    <x v="2"/>
    <x v="1"/>
    <n v="8"/>
    <s v="In-House"/>
    <n v="48"/>
  </r>
  <r>
    <s v="ZOM-10291"/>
    <d v="2026-11-03T00:00:00"/>
    <s v="24-03-2024"/>
    <d v="1899-12-30T00:00:00"/>
    <x v="2"/>
    <s v="Unknown"/>
    <x v="10"/>
    <n v="18"/>
    <n v="4"/>
    <s v="44mins"/>
    <n v="449"/>
    <n v="0.5"/>
    <x v="0"/>
    <x v="2"/>
    <n v="5"/>
    <s v="Grab"/>
    <n v="91"/>
  </r>
  <r>
    <s v="ZOM-10292"/>
    <d v="2026-03-07T00:00:00"/>
    <s v="07-06-2024"/>
    <d v="1899-12-30T03:27:00"/>
    <x v="7"/>
    <s v="Lucknow"/>
    <x v="24"/>
    <n v="58"/>
    <n v="4.2"/>
    <s v="79mins"/>
    <n v="1007"/>
    <n v="0.6"/>
    <x v="5"/>
    <x v="1"/>
    <n v="0"/>
    <s v="In-House"/>
    <n v="188"/>
  </r>
  <r>
    <s v="ZOM-10293"/>
    <d v="2026-02-11T00:00:00"/>
    <s v="13-03-2024"/>
    <d v="1899-12-30T00:00:00"/>
    <x v="9"/>
    <s v="Chennai"/>
    <x v="5"/>
    <n v="18"/>
    <n v="3.5"/>
    <s v="60mins"/>
    <n v="1862"/>
    <n v="0.15"/>
    <x v="0"/>
    <x v="1"/>
    <n v="10"/>
    <s v="Shadowfax"/>
    <n v="228"/>
  </r>
  <r>
    <s v="ZOM-10295"/>
    <d v="2026-08-06T00:00:00"/>
    <s v="22-06-2024"/>
    <d v="1899-12-30T00:00:00"/>
    <x v="7"/>
    <s v="Ahmedabad"/>
    <x v="1"/>
    <n v="64"/>
    <n v="4.3"/>
    <s v="57mins"/>
    <n v="1409"/>
    <n v="75"/>
    <x v="5"/>
    <x v="1"/>
    <n v="5"/>
    <s v="Unknown"/>
    <n v="201"/>
  </r>
  <r>
    <s v="ZOM-10296"/>
    <d v="2026-06-29T00:00:00"/>
    <s v="29-03-2024"/>
    <d v="1899-12-30T00:00:00"/>
    <x v="4"/>
    <s v="Delhi"/>
    <x v="10"/>
    <n v="53"/>
    <n v="5"/>
    <s v="31mins"/>
    <n v="1021"/>
    <n v="0.5"/>
    <x v="4"/>
    <x v="3"/>
    <n v="9"/>
    <s v="Grab"/>
    <n v="217"/>
  </r>
  <r>
    <s v="ZOM-10298"/>
    <d v="2026-11-06T00:00:00"/>
    <s v="16-06-2024"/>
    <d v="1899-12-30T00:00:00"/>
    <x v="6"/>
    <s v="Bangalore"/>
    <x v="2"/>
    <n v="33"/>
    <n v="2.8"/>
    <s v="26 mins"/>
    <n v="2435"/>
    <n v="0.6"/>
    <x v="5"/>
    <x v="5"/>
    <n v="0"/>
    <s v="In-House"/>
    <n v="75"/>
  </r>
  <r>
    <s v="ZOM-10299"/>
    <d v="2026-10-24T00:00:00"/>
    <s v="02-07-2024"/>
    <d v="1899-12-30T00:00:00"/>
    <x v="10"/>
    <s v="Ahmedabad"/>
    <x v="4"/>
    <n v="50"/>
    <n v="2.8"/>
    <s v="28mins"/>
    <n v="467"/>
    <n v="0"/>
    <x v="1"/>
    <x v="3"/>
    <n v="2"/>
    <s v="Grab"/>
    <n v="1"/>
  </r>
  <r>
    <s v="ZOM-10300"/>
    <d v="2026-06-07T00:00:00"/>
    <s v="25-04-2024"/>
    <d v="1899-12-30T00:00:00"/>
    <x v="13"/>
    <s v="Bangalore"/>
    <x v="7"/>
    <n v="54"/>
    <n v="2.9"/>
    <s v="52mins"/>
    <n v="488"/>
    <n v="0.6"/>
    <x v="5"/>
    <x v="3"/>
    <n v="0"/>
    <s v="Dunzo"/>
    <n v="249"/>
  </r>
  <r>
    <s v="ZOM-10301"/>
    <d v="2026-06-15T00:00:00"/>
    <s v="29-03-2024"/>
    <d v="1899-12-30T00:00:00"/>
    <x v="4"/>
    <s v="Bangalore"/>
    <x v="6"/>
    <n v="39"/>
    <n v="1.8"/>
    <s v="53 mins"/>
    <n v="1972"/>
    <n v="75"/>
    <x v="2"/>
    <x v="1"/>
    <n v="1"/>
    <s v="Grab"/>
    <n v="87"/>
  </r>
  <r>
    <s v="ZOM-10302"/>
    <d v="2026-02-19T00:00:00"/>
    <s v="17-05-2024"/>
    <d v="1899-12-30T00:00:00"/>
    <x v="3"/>
    <s v="Bangalore"/>
    <x v="8"/>
    <n v="65"/>
    <n v="4.3"/>
    <s v="72 mins"/>
    <n v="435"/>
    <n v="0.15"/>
    <x v="7"/>
    <x v="1"/>
    <n v="2"/>
    <s v="Grab"/>
    <n v="99"/>
  </r>
  <r>
    <s v="ZOM-10303"/>
    <d v="2026-02-12T00:00:00"/>
    <s v="28-05-2024"/>
    <d v="1899-12-30T00:00:00"/>
    <x v="0"/>
    <s v="Lucknow"/>
    <x v="4"/>
    <n v="50"/>
    <n v="3.6"/>
    <s v="46mins"/>
    <n v="932"/>
    <n v="150"/>
    <x v="2"/>
    <x v="1"/>
    <n v="3"/>
    <s v="Shadowfax"/>
    <n v="21"/>
  </r>
  <r>
    <s v="ZOM-10304"/>
    <d v="2026-10-24T00:00:00"/>
    <s v="17-05-2024"/>
    <d v="1899-12-30T00:00:00"/>
    <x v="0"/>
    <s v="Jaipur"/>
    <x v="1"/>
    <n v="28"/>
    <n v="3.4"/>
    <s v="48 mins"/>
    <n v="2455"/>
    <n v="150"/>
    <x v="5"/>
    <x v="2"/>
    <n v="6"/>
    <s v="Grab"/>
    <m/>
  </r>
  <r>
    <s v="ZOM-10305"/>
    <d v="2026-12-01T00:00:00"/>
    <s v="04-14-2024"/>
    <d v="1899-12-30T12:04:00"/>
    <x v="14"/>
    <s v="Hyderabad"/>
    <x v="6"/>
    <n v="42"/>
    <n v="3.2"/>
    <s v="28 mins"/>
    <n v="1590"/>
    <n v="0.1"/>
    <x v="4"/>
    <x v="1"/>
    <n v="7"/>
    <s v="In-House"/>
    <n v="2"/>
  </r>
  <r>
    <s v="ZOM-10306"/>
    <d v="2026-05-30T00:00:00"/>
    <s v="15-01-2024"/>
    <d v="1899-12-30T00:00:00"/>
    <x v="4"/>
    <s v="Mumbai"/>
    <x v="2"/>
    <n v="46"/>
    <n v="3.3"/>
    <s v="48mins"/>
    <n v="1445"/>
    <n v="50"/>
    <x v="0"/>
    <x v="2"/>
    <n v="3"/>
    <s v="Dunzo"/>
    <n v="30"/>
  </r>
  <r>
    <s v="ZOM-10307"/>
    <d v="2026-10-19T00:00:00"/>
    <s v="10-07-2024"/>
    <d v="1899-12-30T00:00:00"/>
    <x v="12"/>
    <s v="Jaipur"/>
    <x v="23"/>
    <n v="38"/>
    <n v="3"/>
    <s v="23mins"/>
    <n v="1868"/>
    <n v="0"/>
    <x v="7"/>
    <x v="1"/>
    <n v="2"/>
    <s v="In-House"/>
    <n v="69"/>
  </r>
  <r>
    <s v="ZOM-10308"/>
    <d v="2026-04-15T00:00:00"/>
    <s v="01-19-2024"/>
    <d v="1899-12-30T06:12:00"/>
    <x v="8"/>
    <s v="Delhi"/>
    <x v="6"/>
    <n v="45"/>
    <n v="4.4000000000000004"/>
    <s v="56mins"/>
    <n v="1387"/>
    <n v="0.6"/>
    <x v="5"/>
    <x v="3"/>
    <n v="1"/>
    <s v="Rapido"/>
    <n v="177"/>
  </r>
  <r>
    <s v="ZOM-10309"/>
    <d v="2026-09-12T00:00:00"/>
    <s v="03-21-2024"/>
    <d v="1899-12-30T07:51:00"/>
    <x v="6"/>
    <s v="Hyderabad"/>
    <x v="8"/>
    <n v="65"/>
    <n v="1.2"/>
    <s v="40mins"/>
    <n v="609"/>
    <n v="0"/>
    <x v="4"/>
    <x v="3"/>
    <n v="10"/>
    <s v="Dunzo"/>
    <n v="17"/>
  </r>
  <r>
    <s v="ZOM-10310"/>
    <d v="2026-02-04T00:00:00"/>
    <s v="06-03-2024"/>
    <d v="1899-12-30T00:00:00"/>
    <x v="13"/>
    <s v="Pune"/>
    <x v="7"/>
    <n v="59"/>
    <n v="5"/>
    <s v="56 mins"/>
    <n v="2048"/>
    <n v="0"/>
    <x v="5"/>
    <x v="3"/>
    <n v="8"/>
    <s v="Zomato Valet"/>
    <n v="206"/>
  </r>
  <r>
    <s v="ZOM-10311"/>
    <d v="2026-02-23T00:00:00"/>
    <s v="10-02-2024"/>
    <d v="1899-12-30T00:00:00"/>
    <x v="4"/>
    <s v="Mumbai"/>
    <x v="1"/>
    <n v="38"/>
    <n v="2.5"/>
    <s v="15 mins"/>
    <n v="188"/>
    <n v="50"/>
    <x v="2"/>
    <x v="1"/>
    <n v="4"/>
    <s v="Zomato Valet"/>
    <n v="240"/>
  </r>
  <r>
    <s v="ZOM-10312"/>
    <d v="2026-12-31T00:00:00"/>
    <s v="22-04-2024"/>
    <d v="1899-12-30T00:00:00"/>
    <x v="13"/>
    <s v="Ahmedabad"/>
    <x v="0"/>
    <n v="65"/>
    <n v="3.3"/>
    <s v="47 mins"/>
    <n v="429"/>
    <n v="0.1"/>
    <x v="1"/>
    <x v="1"/>
    <n v="5"/>
    <s v="Dunzo"/>
    <n v="115"/>
  </r>
  <r>
    <s v="ZOM-10313"/>
    <d v="2026-01-08T00:00:00"/>
    <s v="03-02-2024"/>
    <d v="1899-12-30T00:00:00"/>
    <x v="12"/>
    <s v="Pune"/>
    <x v="25"/>
    <n v="38"/>
    <n v="2.5"/>
    <s v="59mins"/>
    <n v="567"/>
    <n v="100"/>
    <x v="2"/>
    <x v="1"/>
    <n v="6"/>
    <s v="Dunzo"/>
    <n v="33"/>
  </r>
  <r>
    <s v="ZOM-10314"/>
    <d v="2026-02-25T00:00:00"/>
    <s v="25-01-2024"/>
    <d v="1899-12-30T00:00:00"/>
    <x v="20"/>
    <s v="Jaipur"/>
    <x v="11"/>
    <n v="46"/>
    <n v="4.9000000000000004"/>
    <s v="70 mins"/>
    <n v="2433"/>
    <n v="120"/>
    <x v="4"/>
    <x v="3"/>
    <n v="3"/>
    <s v="Rapido"/>
    <n v="184"/>
  </r>
  <r>
    <s v="ZOM-10315"/>
    <d v="2026-08-23T00:00:00"/>
    <s v="15-05-2024"/>
    <d v="1899-12-30T00:00:00"/>
    <x v="0"/>
    <s v="Bangalore"/>
    <x v="1"/>
    <n v="51"/>
    <n v="4.5999999999999996"/>
    <s v="32mins"/>
    <n v="1837"/>
    <n v="0"/>
    <x v="1"/>
    <x v="1"/>
    <n v="3"/>
    <s v="Shadowfax"/>
    <n v="241"/>
  </r>
  <r>
    <s v="ZOM-10316"/>
    <d v="2026-02-01T00:00:00"/>
    <s v="10-02-2024"/>
    <d v="1899-12-30T00:00:00"/>
    <x v="10"/>
    <s v="Kolkata"/>
    <x v="10"/>
    <n v="38"/>
    <n v="2.5"/>
    <s v="34 mins"/>
    <n v="1368"/>
    <n v="50"/>
    <x v="1"/>
    <x v="1"/>
    <n v="6"/>
    <s v="Dunzo"/>
    <n v="197"/>
  </r>
  <r>
    <s v="ZOM-10317"/>
    <d v="2026-12-15T00:00:00"/>
    <s v="02-13-2024"/>
    <d v="1899-12-30T16:37:00"/>
    <x v="6"/>
    <s v="Lucknow"/>
    <x v="8"/>
    <n v="35"/>
    <n v="3.9"/>
    <s v="80mins"/>
    <n v="903"/>
    <n v="0.2"/>
    <x v="6"/>
    <x v="1"/>
    <n v="5"/>
    <s v="Zomato Valet"/>
    <n v="81"/>
  </r>
  <r>
    <s v="ZOM-10318"/>
    <d v="2026-10-22T00:00:00"/>
    <s v="19-06-2024"/>
    <d v="1899-12-30T00:00:00"/>
    <x v="0"/>
    <s v="Mumbai"/>
    <x v="10"/>
    <n v="46"/>
    <n v="3.3"/>
    <s v="66mins"/>
    <n v="2055"/>
    <n v="150"/>
    <x v="0"/>
    <x v="2"/>
    <n v="8"/>
    <s v="Dunzo"/>
    <n v="36"/>
  </r>
  <r>
    <s v="ZOM-10319"/>
    <d v="2026-05-14T00:00:00"/>
    <s v="03-24-2024"/>
    <d v="1899-12-30T15:38:00"/>
    <x v="12"/>
    <s v="Jaipur"/>
    <x v="2"/>
    <n v="65"/>
    <n v="4.9000000000000004"/>
    <s v="54mins"/>
    <n v="361"/>
    <n v="75"/>
    <x v="7"/>
    <x v="2"/>
    <n v="8"/>
    <s v="Dunzo"/>
    <n v="27"/>
  </r>
  <r>
    <s v="ZOM-10320"/>
    <d v="2026-09-11T00:00:00"/>
    <s v="28-06-2024"/>
    <d v="1899-12-30T00:00:00"/>
    <x v="4"/>
    <s v="Mumbai"/>
    <x v="12"/>
    <n v="42"/>
    <n v="4.8"/>
    <s v="52mins"/>
    <n v="1580"/>
    <n v="0.15"/>
    <x v="2"/>
    <x v="5"/>
    <n v="4"/>
    <s v="Shadowfax"/>
    <n v="188"/>
  </r>
  <r>
    <s v="ZOM-10321"/>
    <d v="2026-07-18T00:00:00"/>
    <s v="05-06-2024"/>
    <d v="1899-12-30T00:00:00"/>
    <x v="7"/>
    <s v="Jaipur"/>
    <x v="4"/>
    <n v="34"/>
    <n v="2.5"/>
    <s v="45mins"/>
    <n v="882"/>
    <n v="50"/>
    <x v="5"/>
    <x v="1"/>
    <n v="9"/>
    <s v="In-House"/>
    <n v="186"/>
  </r>
  <r>
    <s v="ZOM-10322"/>
    <d v="2026-05-15T00:00:00"/>
    <s v="14-06-2024"/>
    <d v="1899-12-30T00:00:00"/>
    <x v="6"/>
    <s v="Ahmedabad"/>
    <x v="6"/>
    <n v="59"/>
    <n v="2.5"/>
    <s v="33mins"/>
    <n v="272"/>
    <n v="75"/>
    <x v="7"/>
    <x v="1"/>
    <n v="7"/>
    <s v="Shadowfax"/>
    <n v="150"/>
  </r>
  <r>
    <s v="ZOM-10323"/>
    <d v="2026-04-19T00:00:00"/>
    <s v="10-05-2024"/>
    <d v="1899-12-30T00:00:00"/>
    <x v="4"/>
    <s v="Delhi"/>
    <x v="11"/>
    <n v="33"/>
    <n v="4.0999999999999996"/>
    <s v="38mins"/>
    <n v="190"/>
    <n v="75"/>
    <x v="0"/>
    <x v="1"/>
    <n v="6"/>
    <s v="Shadowfax"/>
    <n v="153"/>
  </r>
  <r>
    <s v="ZOM-10324"/>
    <d v="2026-05-05T00:00:00"/>
    <s v="12-04-2024"/>
    <d v="1899-12-30T00:00:00"/>
    <x v="12"/>
    <s v="Delhi"/>
    <x v="0"/>
    <n v="51"/>
    <n v="2.5"/>
    <s v="54mins"/>
    <n v="186"/>
    <n v="0"/>
    <x v="4"/>
    <x v="3"/>
    <n v="3"/>
    <s v="Rapido"/>
    <n v="65"/>
  </r>
  <r>
    <s v="ZOM-10325"/>
    <d v="2026-08-22T00:00:00"/>
    <s v="04-23-2024"/>
    <d v="1899-12-30T01:02:00"/>
    <x v="4"/>
    <s v="Kolkata"/>
    <x v="2"/>
    <n v="39"/>
    <n v="4.7"/>
    <s v="64mins"/>
    <n v="1986"/>
    <n v="0"/>
    <x v="5"/>
    <x v="1"/>
    <n v="8"/>
    <s v="In-House"/>
    <n v="47"/>
  </r>
  <r>
    <s v="ZOM-10326"/>
    <d v="2026-11-26T00:00:00"/>
    <s v="14-05-2024"/>
    <d v="1899-12-30T00:00:00"/>
    <x v="4"/>
    <s v="Bangalore"/>
    <x v="4"/>
    <n v="38"/>
    <n v="3.4"/>
    <s v="51mins"/>
    <n v="1955"/>
    <n v="0"/>
    <x v="4"/>
    <x v="1"/>
    <n v="9"/>
    <s v="Unknown"/>
    <n v="20"/>
  </r>
  <r>
    <s v="ZOM-10327"/>
    <d v="2026-07-08T00:00:00"/>
    <s v="06-24-2024"/>
    <d v="1899-12-30T14:48:00"/>
    <x v="4"/>
    <s v="Hyderabad"/>
    <x v="7"/>
    <n v="18"/>
    <n v="2.5"/>
    <s v="29mins"/>
    <n v="500"/>
    <n v="0.2"/>
    <x v="4"/>
    <x v="1"/>
    <n v="5"/>
    <s v="Grab"/>
    <n v="218"/>
  </r>
  <r>
    <s v="ZOM-10328"/>
    <d v="2026-06-17T00:00:00"/>
    <s v="03-10-2024"/>
    <d v="1899-12-30T13:58:00"/>
    <x v="7"/>
    <s v="Ahmedabad"/>
    <x v="4"/>
    <n v="22"/>
    <n v="1.5"/>
    <s v="77mins"/>
    <n v="278"/>
    <n v="0.2"/>
    <x v="1"/>
    <x v="2"/>
    <n v="2"/>
    <s v="Grab"/>
    <n v="234"/>
  </r>
  <r>
    <s v="ZOM-10329"/>
    <d v="2026-05-14T00:00:00"/>
    <s v="10-01-2024"/>
    <d v="1899-12-30T00:00:00"/>
    <x v="0"/>
    <s v="Mumbai"/>
    <x v="2"/>
    <n v="30"/>
    <n v="3.9"/>
    <s v="15 mins"/>
    <n v="154"/>
    <n v="75"/>
    <x v="4"/>
    <x v="1"/>
    <n v="4"/>
    <s v="Shadowfax"/>
    <m/>
  </r>
  <r>
    <s v="ZOM-10331"/>
    <d v="2026-05-28T00:00:00"/>
    <s v="26-04-2024"/>
    <d v="1899-12-30T00:00:00"/>
    <x v="14"/>
    <s v="Bangalore"/>
    <x v="26"/>
    <n v="47"/>
    <n v="4.5"/>
    <s v="66mins"/>
    <n v="418"/>
    <n v="0.5"/>
    <x v="2"/>
    <x v="1"/>
    <n v="3"/>
    <s v="In-House"/>
    <n v="155"/>
  </r>
  <r>
    <s v="ZOM-10332"/>
    <d v="2026-06-23T00:00:00"/>
    <s v="19-07-2024"/>
    <d v="1899-12-30T00:00:00"/>
    <x v="9"/>
    <s v="Hyderabad"/>
    <x v="8"/>
    <n v="21"/>
    <n v="2.4"/>
    <s v="64mins"/>
    <n v="2350"/>
    <n v="0"/>
    <x v="1"/>
    <x v="1"/>
    <n v="4"/>
    <s v="Shadowfax"/>
    <n v="206"/>
  </r>
  <r>
    <s v="ZOM-10333"/>
    <d v="2026-02-09T00:00:00"/>
    <s v="14-07-2024"/>
    <d v="1899-12-30T00:00:00"/>
    <x v="12"/>
    <s v="Delhi"/>
    <x v="11"/>
    <n v="31"/>
    <n v="1.3"/>
    <s v="55mins"/>
    <n v="1509"/>
    <n v="150"/>
    <x v="4"/>
    <x v="3"/>
    <n v="7"/>
    <s v="Shadowfax"/>
    <n v="151"/>
  </r>
  <r>
    <s v="ZOM-10335"/>
    <d v="2026-04-27T00:00:00"/>
    <s v="05-03-2024"/>
    <d v="1899-12-30T00:00:00"/>
    <x v="4"/>
    <s v="Bangalore"/>
    <x v="8"/>
    <n v="60"/>
    <n v="1.3"/>
    <s v="31mins"/>
    <n v="2195"/>
    <n v="0"/>
    <x v="6"/>
    <x v="1"/>
    <n v="5"/>
    <s v="In-House"/>
    <n v="89"/>
  </r>
  <r>
    <s v="ZOM-10336"/>
    <d v="2026-02-07T00:00:00"/>
    <s v="02-03-2024"/>
    <d v="1899-12-30T11:49:00"/>
    <x v="4"/>
    <s v="Mumbai"/>
    <x v="6"/>
    <n v="24"/>
    <n v="1.7"/>
    <s v="51 mins"/>
    <n v="2027"/>
    <n v="0"/>
    <x v="6"/>
    <x v="2"/>
    <n v="8"/>
    <s v="In-House"/>
    <n v="45"/>
  </r>
  <r>
    <s v="ZOM-10337"/>
    <d v="2026-06-20T00:00:00"/>
    <s v="09-07-2024"/>
    <d v="1899-12-30T00:00:00"/>
    <x v="2"/>
    <s v="Hyderabad"/>
    <x v="0"/>
    <n v="63"/>
    <n v="2.2000000000000002"/>
    <s v="22mins"/>
    <n v="1173"/>
    <n v="0"/>
    <x v="4"/>
    <x v="3"/>
    <n v="3"/>
    <s v="Dunzo"/>
    <n v="50"/>
  </r>
  <r>
    <s v="ZOM-10338"/>
    <d v="2026-04-05T00:00:00"/>
    <s v="12-06-2024"/>
    <d v="1899-12-30T00:00:00"/>
    <x v="1"/>
    <s v="Kolkata"/>
    <x v="8"/>
    <n v="23"/>
    <n v="4.5999999999999996"/>
    <s v="26mins"/>
    <n v="878"/>
    <n v="150"/>
    <x v="1"/>
    <x v="2"/>
    <n v="8"/>
    <s v="Dunzo"/>
    <n v="250"/>
  </r>
  <r>
    <s v="ZOM-10339"/>
    <d v="2026-05-11T00:00:00"/>
    <s v="31-03-2024"/>
    <d v="1899-12-30T00:00:00"/>
    <x v="9"/>
    <s v="Ahmedabad"/>
    <x v="4"/>
    <n v="58"/>
    <n v="2.5"/>
    <s v="37mins"/>
    <n v="479"/>
    <n v="0.1"/>
    <x v="2"/>
    <x v="1"/>
    <n v="9"/>
    <s v="Dunzo"/>
    <n v="159"/>
  </r>
  <r>
    <s v="ZOM-10340"/>
    <d v="2026-09-07T00:00:00"/>
    <s v="19-06-2024"/>
    <d v="1899-12-30T00:00:00"/>
    <x v="0"/>
    <s v="Hyderabad"/>
    <x v="6"/>
    <n v="28"/>
    <n v="2.2000000000000002"/>
    <s v="30mins"/>
    <n v="1546"/>
    <n v="0.2"/>
    <x v="1"/>
    <x v="5"/>
    <n v="4"/>
    <s v="Shadowfax"/>
    <n v="220"/>
  </r>
  <r>
    <s v="ZOM-10341"/>
    <d v="2026-11-11T00:00:00"/>
    <s v="01-05-2024"/>
    <d v="1899-12-30T00:00:00"/>
    <x v="10"/>
    <s v="Lucknow"/>
    <x v="1"/>
    <n v="38"/>
    <n v="1.4"/>
    <s v="56mins"/>
    <n v="314"/>
    <n v="150"/>
    <x v="5"/>
    <x v="2"/>
    <n v="8"/>
    <s v="Shadowfax"/>
    <n v="38"/>
  </r>
  <r>
    <s v="ZOM-10342"/>
    <d v="2026-12-07T00:00:00"/>
    <s v="22-03-2024"/>
    <d v="1899-12-30T00:00:00"/>
    <x v="10"/>
    <s v="Lucknow"/>
    <x v="1"/>
    <n v="62"/>
    <n v="1"/>
    <s v="33mins"/>
    <n v="500"/>
    <n v="100"/>
    <x v="0"/>
    <x v="1"/>
    <n v="6"/>
    <s v="Zomato Valet"/>
    <n v="15"/>
  </r>
  <r>
    <s v="ZOM-10344"/>
    <d v="2026-04-29T00:00:00"/>
    <s v="06-13-2024"/>
    <d v="1899-12-30T13:30:00"/>
    <x v="4"/>
    <s v="Kolkata"/>
    <x v="6"/>
    <n v="62"/>
    <n v="1.2"/>
    <s v="29 mins"/>
    <n v="2381"/>
    <n v="0.2"/>
    <x v="5"/>
    <x v="1"/>
    <n v="7"/>
    <s v="Rapido"/>
    <n v="68"/>
  </r>
  <r>
    <s v="ZOM-10345"/>
    <d v="2026-11-04T00:00:00"/>
    <s v="21-01-2024"/>
    <d v="1899-12-30T00:00:00"/>
    <x v="4"/>
    <s v="Lucknow"/>
    <x v="2"/>
    <n v="34"/>
    <n v="3.6"/>
    <s v="72mins"/>
    <n v="1556"/>
    <n v="100"/>
    <x v="4"/>
    <x v="1"/>
    <n v="10"/>
    <s v="In-House"/>
    <n v="142"/>
  </r>
  <r>
    <s v="ZOM-10347"/>
    <d v="2026-10-27T00:00:00"/>
    <s v="18-04-2024"/>
    <d v="1899-12-30T00:00:00"/>
    <x v="7"/>
    <s v="Mumbai"/>
    <x v="1"/>
    <n v="48"/>
    <n v="1.5"/>
    <s v="73mins"/>
    <n v="2190"/>
    <n v="75"/>
    <x v="0"/>
    <x v="3"/>
    <n v="1"/>
    <s v="Grab"/>
    <m/>
  </r>
  <r>
    <s v="ZOM-10349"/>
    <d v="2026-04-06T00:00:00"/>
    <s v="06-05-2024"/>
    <d v="1899-12-30T00:00:00"/>
    <x v="8"/>
    <s v="Bangalore"/>
    <x v="0"/>
    <n v="58"/>
    <n v="2.4"/>
    <s v="35mins"/>
    <n v="2146"/>
    <n v="50"/>
    <x v="1"/>
    <x v="1"/>
    <n v="5"/>
    <s v="Rapido"/>
    <n v="5"/>
  </r>
  <r>
    <s v="ZOM-10350"/>
    <d v="2026-04-25T00:00:00"/>
    <s v="06-07-2024"/>
    <d v="1899-12-30T00:00:00"/>
    <x v="7"/>
    <s v="Pune"/>
    <x v="8"/>
    <n v="50"/>
    <n v="3"/>
    <s v="54mins"/>
    <n v="696"/>
    <n v="120"/>
    <x v="1"/>
    <x v="1"/>
    <n v="2"/>
    <s v="Zomato Valet"/>
    <n v="59"/>
  </r>
  <r>
    <s v="ZOM-10351"/>
    <d v="2026-02-01T00:00:00"/>
    <s v="17-03-2024"/>
    <d v="1899-12-30T00:00:00"/>
    <x v="6"/>
    <s v="Lucknow"/>
    <x v="7"/>
    <n v="52"/>
    <n v="2.7"/>
    <s v="59mins"/>
    <n v="2379"/>
    <n v="100"/>
    <x v="0"/>
    <x v="2"/>
    <n v="2"/>
    <s v="Grab"/>
    <n v="119"/>
  </r>
  <r>
    <s v="ZOM-10352"/>
    <d v="2026-01-26T00:00:00"/>
    <s v="29-06-2024"/>
    <d v="1899-12-30T00:00:00"/>
    <x v="7"/>
    <s v="Delhi"/>
    <x v="8"/>
    <n v="64"/>
    <n v="2.5"/>
    <s v="77mins"/>
    <n v="534"/>
    <n v="0"/>
    <x v="5"/>
    <x v="1"/>
    <n v="0"/>
    <s v="In-House"/>
    <m/>
  </r>
  <r>
    <s v="ZOM-10354"/>
    <d v="2026-03-15T00:00:00"/>
    <s v="24-04-2024"/>
    <d v="1899-12-30T00:00:00"/>
    <x v="8"/>
    <s v="Lucknow"/>
    <x v="2"/>
    <n v="50"/>
    <n v="1.5"/>
    <s v="16mins"/>
    <n v="842"/>
    <n v="0.15"/>
    <x v="2"/>
    <x v="1"/>
    <n v="9"/>
    <s v="Zomato Valet"/>
    <n v="88"/>
  </r>
  <r>
    <s v="ZOM-10355"/>
    <d v="2026-05-28T00:00:00"/>
    <s v="19-01-2024"/>
    <d v="1899-12-30T00:00:00"/>
    <x v="12"/>
    <s v="Calcutta"/>
    <x v="27"/>
    <n v="56"/>
    <n v="1.9"/>
    <s v="76mins"/>
    <n v="1583"/>
    <n v="150"/>
    <x v="1"/>
    <x v="6"/>
    <n v="3"/>
    <s v="Unknown"/>
    <n v="12"/>
  </r>
  <r>
    <s v="ZOM-10356"/>
    <d v="2026-07-01T00:00:00"/>
    <s v="28-03-2024"/>
    <d v="1899-12-30T00:00:00"/>
    <x v="10"/>
    <s v="Pune"/>
    <x v="0"/>
    <n v="48"/>
    <n v="3.8"/>
    <s v="23mins"/>
    <n v="719"/>
    <n v="0.2"/>
    <x v="7"/>
    <x v="3"/>
    <n v="6"/>
    <s v="Rapido"/>
    <n v="117"/>
  </r>
  <r>
    <s v="ZOM-10357"/>
    <d v="2026-03-29T00:00:00"/>
    <s v="05-02-2024"/>
    <d v="1899-12-30T00:00:00"/>
    <x v="12"/>
    <s v="Lucknow"/>
    <x v="12"/>
    <n v="29"/>
    <n v="4.2"/>
    <s v="65mins"/>
    <n v="1273"/>
    <n v="120"/>
    <x v="5"/>
    <x v="1"/>
    <n v="0"/>
    <s v="Shadowfax"/>
    <n v="83"/>
  </r>
  <r>
    <s v="ZOM-10358"/>
    <d v="2026-09-01T00:00:00"/>
    <s v="10-05-2024"/>
    <d v="1899-12-30T00:00:00"/>
    <x v="1"/>
    <s v="Ahmedabad"/>
    <x v="11"/>
    <n v="35"/>
    <n v="3.1"/>
    <s v="21 mins"/>
    <n v="2323"/>
    <n v="0.6"/>
    <x v="6"/>
    <x v="2"/>
    <n v="4"/>
    <s v="Shadowfax"/>
    <n v="168"/>
  </r>
  <r>
    <s v="ZOM-10359"/>
    <d v="2026-11-02T00:00:00"/>
    <s v="06-01-2024"/>
    <d v="1899-12-30T00:00:00"/>
    <x v="6"/>
    <s v="Delhi"/>
    <x v="12"/>
    <n v="33"/>
    <n v="1.7"/>
    <s v="29 mins"/>
    <n v="500"/>
    <n v="100"/>
    <x v="7"/>
    <x v="3"/>
    <n v="8"/>
    <s v="Shadowfax"/>
    <n v="123"/>
  </r>
  <r>
    <s v="ZOM-10360"/>
    <d v="2026-05-25T00:00:00"/>
    <s v="21-06-2024"/>
    <d v="1899-12-30T00:00:00"/>
    <x v="4"/>
    <s v="Pune"/>
    <x v="11"/>
    <n v="31"/>
    <n v="2.4"/>
    <s v="52mins"/>
    <n v="2258"/>
    <n v="0"/>
    <x v="1"/>
    <x v="4"/>
    <n v="1"/>
    <s v="Grab"/>
    <n v="60"/>
  </r>
  <r>
    <s v="ZOM-10361"/>
    <d v="2026-10-14T00:00:00"/>
    <s v="07-03-2024"/>
    <d v="1899-12-30T00:00:00"/>
    <x v="6"/>
    <s v="Delhi"/>
    <x v="11"/>
    <n v="34"/>
    <n v="4.7"/>
    <s v="52mins"/>
    <n v="457"/>
    <n v="50"/>
    <x v="4"/>
    <x v="1"/>
    <n v="3"/>
    <s v="Dunzo"/>
    <n v="215"/>
  </r>
  <r>
    <s v="ZOM-10000"/>
    <d v="2026-03-27T00:00:00"/>
    <s v="04-27-2024"/>
    <d v="1899-12-30T18:03:00"/>
    <x v="12"/>
    <s v="Ahmedabad"/>
    <x v="10"/>
    <n v="44"/>
    <n v="4.4000000000000004"/>
    <s v="17 mins"/>
    <n v="612"/>
    <n v="0.2"/>
    <x v="0"/>
    <x v="5"/>
    <n v="1"/>
    <s v="Shadowfax"/>
    <n v="31"/>
  </r>
  <r>
    <s v="ZOM-10364"/>
    <d v="2026-05-01T00:00:00"/>
    <s v="15-06-2024"/>
    <d v="1899-12-30T00:00:00"/>
    <x v="13"/>
    <s v="Hyderabad"/>
    <x v="8"/>
    <n v="33"/>
    <n v="4.5999999999999996"/>
    <s v="52mins"/>
    <n v="1010"/>
    <n v="150"/>
    <x v="2"/>
    <x v="1"/>
    <n v="8"/>
    <s v="Zomato Valet"/>
    <n v="224"/>
  </r>
  <r>
    <s v="ZOM-10365"/>
    <d v="2026-09-03T00:00:00"/>
    <s v="01-07-2024"/>
    <d v="1899-12-30T00:00:00"/>
    <x v="3"/>
    <s v="Chennai"/>
    <x v="12"/>
    <n v="49"/>
    <n v="3.1"/>
    <s v="79mins"/>
    <n v="280"/>
    <n v="100"/>
    <x v="5"/>
    <x v="2"/>
    <n v="10"/>
    <s v="Grab"/>
    <m/>
  </r>
  <r>
    <s v="ZOM-10366"/>
    <d v="2026-06-16T00:00:00"/>
    <s v="02-19-2024"/>
    <d v="1899-12-30T14:15:00"/>
    <x v="14"/>
    <s v="Mumbai"/>
    <x v="8"/>
    <n v="61"/>
    <n v="1.3"/>
    <s v="58mins"/>
    <n v="1588"/>
    <n v="75"/>
    <x v="7"/>
    <x v="2"/>
    <n v="10"/>
    <s v="Rapido"/>
    <n v="177"/>
  </r>
  <r>
    <s v="ZOM-10367"/>
    <d v="2026-01-20T00:00:00"/>
    <s v="10-03-2024"/>
    <d v="1899-12-30T00:00:00"/>
    <x v="1"/>
    <s v="Kolkata"/>
    <x v="0"/>
    <n v="27"/>
    <n v="3.8"/>
    <s v="67mins"/>
    <n v="1887"/>
    <n v="0.1"/>
    <x v="4"/>
    <x v="1"/>
    <n v="7"/>
    <s v="Grab"/>
    <n v="70"/>
  </r>
  <r>
    <s v="ZOM-10368"/>
    <d v="2026-09-08T00:00:00"/>
    <s v="05-05-2024"/>
    <d v="1899-12-30T00:00:00"/>
    <x v="7"/>
    <s v="Chennai"/>
    <x v="28"/>
    <n v="45"/>
    <n v="1.4"/>
    <s v="34mins"/>
    <n v="500"/>
    <n v="0.15"/>
    <x v="5"/>
    <x v="2"/>
    <n v="5"/>
    <s v="Dunzo"/>
    <m/>
  </r>
  <r>
    <s v="ZOM-10000"/>
    <d v="2026-09-23T00:00:00"/>
    <s v="19-02-2024"/>
    <d v="1899-12-30T00:00:00"/>
    <x v="9"/>
    <s v="Lucknow"/>
    <x v="10"/>
    <n v="49"/>
    <n v="3.8"/>
    <s v="15 mins"/>
    <n v="2148"/>
    <n v="100"/>
    <x v="5"/>
    <x v="1"/>
    <n v="5"/>
    <s v="In-House"/>
    <n v="31"/>
  </r>
  <r>
    <s v="ZOM-10370"/>
    <d v="2026-08-03T00:00:00"/>
    <s v="31-01-2024"/>
    <d v="1899-12-30T00:00:00"/>
    <x v="9"/>
    <s v="Chennai"/>
    <x v="11"/>
    <n v="37"/>
    <n v="1.8"/>
    <s v="19mins"/>
    <n v="987"/>
    <n v="0.1"/>
    <x v="0"/>
    <x v="1"/>
    <n v="6"/>
    <s v="Grab"/>
    <n v="239"/>
  </r>
  <r>
    <s v="ZOM-10372"/>
    <d v="2026-01-30T00:00:00"/>
    <s v="31-05-2024"/>
    <d v="1899-12-30T00:00:00"/>
    <x v="13"/>
    <s v="Unknown"/>
    <x v="10"/>
    <n v="47"/>
    <n v="3.4"/>
    <s v="35 mins"/>
    <n v="2107"/>
    <n v="0.1"/>
    <x v="4"/>
    <x v="0"/>
    <n v="1"/>
    <s v="Unknown"/>
    <n v="55"/>
  </r>
  <r>
    <s v="ZOM-10374"/>
    <d v="2026-12-30T00:00:00"/>
    <s v="12-06-2024"/>
    <d v="1899-12-30T00:00:00"/>
    <x v="14"/>
    <s v="Hyderabad"/>
    <x v="12"/>
    <n v="52"/>
    <n v="1.5"/>
    <s v="50mins"/>
    <n v="1989"/>
    <n v="0"/>
    <x v="4"/>
    <x v="1"/>
    <n v="2"/>
    <s v="Zomato Valet"/>
    <n v="92"/>
  </r>
  <r>
    <s v="ZOM-10376"/>
    <d v="2026-02-03T00:00:00"/>
    <s v="05-21-2024"/>
    <d v="1899-12-30T18:49:00"/>
    <x v="8"/>
    <s v="Hyderabad"/>
    <x v="11"/>
    <n v="34"/>
    <n v="5"/>
    <s v="67mins"/>
    <n v="2456"/>
    <n v="0.5"/>
    <x v="5"/>
    <x v="2"/>
    <n v="9"/>
    <s v="Rapido"/>
    <n v="43"/>
  </r>
  <r>
    <s v="ZOM-10377"/>
    <d v="2026-09-15T00:00:00"/>
    <s v="01-02-2024"/>
    <d v="1899-12-30T00:00:00"/>
    <x v="10"/>
    <s v="Jaipur"/>
    <x v="0"/>
    <n v="60"/>
    <n v="4.5999999999999996"/>
    <s v="20mins"/>
    <n v="862"/>
    <n v="0"/>
    <x v="5"/>
    <x v="5"/>
    <n v="1"/>
    <s v="Grab"/>
    <n v="45"/>
  </r>
  <r>
    <s v="ZOM-10378"/>
    <d v="2026-05-08T00:00:00"/>
    <s v="04-03-2024"/>
    <d v="1899-12-30T00:00:00"/>
    <x v="14"/>
    <s v="Delhi"/>
    <x v="0"/>
    <n v="54"/>
    <n v="4.0999999999999996"/>
    <s v="50 mins"/>
    <n v="686"/>
    <n v="100"/>
    <x v="4"/>
    <x v="1"/>
    <n v="10"/>
    <s v="Zomato Valet"/>
    <m/>
  </r>
  <r>
    <s v="ZOM-10379"/>
    <d v="2026-01-02T00:00:00"/>
    <s v="07-10-2024"/>
    <d v="1899-12-30T08:38:00"/>
    <x v="10"/>
    <s v="Bangalore"/>
    <x v="5"/>
    <n v="25"/>
    <n v="3.6"/>
    <s v="16mins"/>
    <n v="1104"/>
    <n v="50"/>
    <x v="1"/>
    <x v="1"/>
    <n v="4"/>
    <s v="In-House"/>
    <n v="18"/>
  </r>
  <r>
    <s v="ZOM-10380"/>
    <d v="2026-11-11T00:00:00"/>
    <s v="05-05-2024"/>
    <d v="1899-12-30T00:00:00"/>
    <x v="13"/>
    <s v="Ahmedabad"/>
    <x v="8"/>
    <n v="36"/>
    <n v="2.7"/>
    <s v="15 mins"/>
    <n v="1990"/>
    <n v="75"/>
    <x v="5"/>
    <x v="2"/>
    <n v="8"/>
    <s v="Shadowfax"/>
    <n v="178"/>
  </r>
  <r>
    <s v="ZOM-10381"/>
    <d v="2026-06-08T00:00:00"/>
    <s v="05-21-2024"/>
    <d v="1899-12-30T17:23:00"/>
    <x v="14"/>
    <s v="Kolkata"/>
    <x v="6"/>
    <n v="24"/>
    <n v="2.1"/>
    <s v="38mins"/>
    <n v="1614"/>
    <n v="0"/>
    <x v="0"/>
    <x v="1"/>
    <n v="5"/>
    <s v="In-House"/>
    <n v="186"/>
  </r>
  <r>
    <s v="ZOM-10382"/>
    <d v="2026-03-28T00:00:00"/>
    <s v="03-06-2024"/>
    <d v="1899-12-30T00:00:00"/>
    <x v="0"/>
    <s v="Chennai"/>
    <x v="8"/>
    <n v="54"/>
    <n v="1.9"/>
    <s v="41mins"/>
    <n v="1232"/>
    <n v="0"/>
    <x v="1"/>
    <x v="3"/>
    <n v="5"/>
    <s v="Zomato Valet"/>
    <n v="247"/>
  </r>
  <r>
    <s v="ZOM-10383"/>
    <d v="2026-11-10T00:00:00"/>
    <s v="24-01-2024"/>
    <d v="1899-12-30T00:00:00"/>
    <x v="10"/>
    <s v="Hyderabad"/>
    <x v="5"/>
    <n v="39"/>
    <n v="3"/>
    <s v="51 mins"/>
    <n v="781"/>
    <n v="0.2"/>
    <x v="2"/>
    <x v="5"/>
    <n v="3"/>
    <s v="Shadowfax"/>
    <n v="21"/>
  </r>
  <r>
    <s v="ZOM-10384"/>
    <d v="2026-09-18T00:00:00"/>
    <s v="16-01-2024"/>
    <d v="1899-12-30T00:00:00"/>
    <x v="10"/>
    <s v="Kolkata"/>
    <x v="29"/>
    <n v="18"/>
    <n v="4.4000000000000004"/>
    <s v="25mins"/>
    <n v="1939"/>
    <n v="0.1"/>
    <x v="2"/>
    <x v="1"/>
    <n v="10"/>
    <s v="Rapido"/>
    <n v="28"/>
  </r>
  <r>
    <s v="ZOM-10385"/>
    <d v="2026-04-22T00:00:00"/>
    <s v="24-04-2024"/>
    <d v="1899-12-30T00:00:00"/>
    <x v="9"/>
    <s v="Delhi"/>
    <x v="8"/>
    <n v="21"/>
    <n v="3.8"/>
    <s v="29mins"/>
    <n v="1453"/>
    <n v="150"/>
    <x v="1"/>
    <x v="3"/>
    <n v="10"/>
    <s v="Rapido"/>
    <n v="102"/>
  </r>
  <r>
    <s v="ZOM-10386"/>
    <d v="2026-03-25T00:00:00"/>
    <s v="26-03-2024"/>
    <d v="1899-12-30T00:00:00"/>
    <x v="13"/>
    <s v="Ahmedabad"/>
    <x v="30"/>
    <n v="22"/>
    <n v="3.5"/>
    <s v="63 mins"/>
    <n v="886"/>
    <n v="0.2"/>
    <x v="6"/>
    <x v="1"/>
    <n v="1"/>
    <s v="Zomato Valet"/>
    <n v="187"/>
  </r>
  <r>
    <s v="ORD_116"/>
    <d v="2026-01-31T00:00:00"/>
    <s v="03-03-2024"/>
    <d v="1899-12-30T00:00:00"/>
    <x v="8"/>
    <s v="Pune"/>
    <x v="12"/>
    <n v="18"/>
    <n v="1.7"/>
    <s v="20mins"/>
    <n v="500"/>
    <n v="100"/>
    <x v="4"/>
    <x v="1"/>
    <n v="0"/>
    <s v="Rapido"/>
    <n v="203"/>
  </r>
  <r>
    <s v="ZOM-10389"/>
    <d v="2026-06-07T00:00:00"/>
    <s v="13-01-2024"/>
    <d v="1899-12-30T00:00:00"/>
    <x v="1"/>
    <s v="Delhi"/>
    <x v="2"/>
    <n v="30"/>
    <n v="4.0999999999999996"/>
    <s v="23mins"/>
    <n v="1071"/>
    <n v="50"/>
    <x v="1"/>
    <x v="1"/>
    <n v="7"/>
    <s v="Dunzo"/>
    <n v="59"/>
  </r>
  <r>
    <s v="ZOM-10390"/>
    <d v="2026-04-04T00:00:00"/>
    <s v="15-05-2024"/>
    <d v="1899-12-30T00:00:00"/>
    <x v="1"/>
    <s v="Pune"/>
    <x v="7"/>
    <n v="29"/>
    <n v="1.9"/>
    <s v="58mins"/>
    <n v="1413"/>
    <n v="0.1"/>
    <x v="1"/>
    <x v="2"/>
    <n v="9"/>
    <s v="Rapido"/>
    <n v="5"/>
  </r>
  <r>
    <s v="ZOM-10391"/>
    <d v="2026-08-24T00:00:00"/>
    <s v="12-05-2024"/>
    <d v="1899-12-30T00:00:00"/>
    <x v="1"/>
    <s v="Delhi"/>
    <x v="5"/>
    <n v="40"/>
    <n v="3.1"/>
    <s v="30mins"/>
    <n v="1059"/>
    <n v="0.1"/>
    <x v="0"/>
    <x v="1"/>
    <n v="10"/>
    <s v="Zomato Valet"/>
    <n v="8"/>
  </r>
  <r>
    <s v="ZOM-10392"/>
    <d v="2026-07-25T00:00:00"/>
    <s v="04-14-2024"/>
    <d v="1899-12-30T01:11:00"/>
    <x v="0"/>
    <s v="Chennai"/>
    <x v="4"/>
    <n v="18"/>
    <n v="1.8"/>
    <s v="15 mins"/>
    <n v="2049"/>
    <n v="0.5"/>
    <x v="0"/>
    <x v="1"/>
    <n v="8"/>
    <s v="Dunzo"/>
    <n v="117"/>
  </r>
  <r>
    <s v="ZOM-10393"/>
    <d v="2026-04-23T00:00:00"/>
    <s v="07-06-2024"/>
    <d v="1899-12-30T00:00:00"/>
    <x v="8"/>
    <s v="Lucknow"/>
    <x v="10"/>
    <n v="48"/>
    <n v="1.1000000000000001"/>
    <s v="41 mins"/>
    <n v="583"/>
    <n v="0.15"/>
    <x v="7"/>
    <x v="2"/>
    <n v="1"/>
    <s v="In-House"/>
    <n v="37"/>
  </r>
  <r>
    <s v="ZOM-10394"/>
    <d v="2026-08-07T00:00:00"/>
    <m/>
    <d v="1899-12-30T00:00:00"/>
    <x v="8"/>
    <s v="Delhi"/>
    <x v="31"/>
    <n v="21"/>
    <n v="1.8"/>
    <s v="26mins"/>
    <n v="2067"/>
    <n v="0.5"/>
    <x v="0"/>
    <x v="3"/>
    <n v="1"/>
    <s v="Grab"/>
    <n v="109"/>
  </r>
  <r>
    <s v="ZOM-10395"/>
    <d v="2026-04-23T00:00:00"/>
    <s v="23-05-2024"/>
    <d v="1899-12-30T00:00:00"/>
    <x v="10"/>
    <s v="Delhi"/>
    <x v="0"/>
    <n v="60"/>
    <n v="3.9"/>
    <s v="67mins"/>
    <n v="230"/>
    <n v="0.1"/>
    <x v="0"/>
    <x v="4"/>
    <n v="10"/>
    <s v="In-House"/>
    <n v="109"/>
  </r>
  <r>
    <s v="ZOM-10396"/>
    <d v="2026-10-08T00:00:00"/>
    <s v="06-03-2024"/>
    <d v="1899-12-30T00:00:00"/>
    <x v="7"/>
    <s v="Lucknow"/>
    <x v="12"/>
    <n v="61"/>
    <n v="4.9000000000000004"/>
    <s v="52mins"/>
    <n v="466"/>
    <n v="150"/>
    <x v="7"/>
    <x v="1"/>
    <n v="4"/>
    <s v="Shadowfax"/>
    <n v="197"/>
  </r>
  <r>
    <s v="ZOM-10397"/>
    <d v="2026-03-16T00:00:00"/>
    <s v="17-07-2024"/>
    <d v="1899-12-30T00:00:00"/>
    <x v="4"/>
    <s v="Delhi"/>
    <x v="11"/>
    <n v="29"/>
    <n v="2.2000000000000002"/>
    <s v="44mins"/>
    <n v="1358"/>
    <n v="120"/>
    <x v="5"/>
    <x v="1"/>
    <n v="1"/>
    <s v="Dunzo"/>
    <n v="41"/>
  </r>
  <r>
    <s v="ZOM-10398"/>
    <d v="2026-04-08T00:00:00"/>
    <s v="28-03-2024"/>
    <d v="1899-12-30T00:00:00"/>
    <x v="14"/>
    <s v="Kolkata"/>
    <x v="20"/>
    <n v="18"/>
    <n v="2.7"/>
    <s v="33mins"/>
    <n v="1944"/>
    <n v="0.2"/>
    <x v="0"/>
    <x v="1"/>
    <n v="9"/>
    <s v="Dunzo"/>
    <n v="70"/>
  </r>
  <r>
    <s v="ZOM-10400"/>
    <d v="2026-11-16T00:00:00"/>
    <s v="10-03-2024"/>
    <d v="1899-12-30T00:00:00"/>
    <x v="9"/>
    <s v="Ahmedabad"/>
    <x v="4"/>
    <n v="23"/>
    <n v="3"/>
    <s v="75mins"/>
    <n v="2316"/>
    <n v="120"/>
    <x v="1"/>
    <x v="1"/>
    <n v="2"/>
    <s v="Shadowfax"/>
    <n v="51"/>
  </r>
  <r>
    <s v="ZOM-10401"/>
    <d v="2026-09-17T00:00:00"/>
    <s v="13-02-2024"/>
    <d v="1899-12-30T00:00:00"/>
    <x v="19"/>
    <s v="Bangalore"/>
    <x v="6"/>
    <n v="45"/>
    <n v="3.1"/>
    <s v="31mins"/>
    <n v="1233"/>
    <n v="100"/>
    <x v="0"/>
    <x v="1"/>
    <n v="3"/>
    <s v="Rapido"/>
    <n v="51"/>
  </r>
  <r>
    <s v="ZOM-10402"/>
    <d v="2026-02-18T00:00:00"/>
    <s v="11-03-2024"/>
    <d v="1899-12-30T00:00:00"/>
    <x v="6"/>
    <s v="Jaipur"/>
    <x v="8"/>
    <n v="18"/>
    <n v="1.4"/>
    <s v="38mins"/>
    <n v="364"/>
    <n v="100"/>
    <x v="4"/>
    <x v="1"/>
    <n v="4"/>
    <s v="Rapido"/>
    <n v="90"/>
  </r>
  <r>
    <s v="ZOM-10403"/>
    <d v="2026-11-06T00:00:00"/>
    <s v="27-03-2024"/>
    <d v="1899-12-30T00:00:00"/>
    <x v="9"/>
    <s v="Lucknow"/>
    <x v="11"/>
    <n v="33"/>
    <n v="3.1"/>
    <s v="16mins"/>
    <n v="500"/>
    <n v="0"/>
    <x v="1"/>
    <x v="2"/>
    <n v="6"/>
    <s v="Zomato Valet"/>
    <n v="68"/>
  </r>
  <r>
    <s v="ZOM-10404"/>
    <d v="2026-05-07T00:00:00"/>
    <s v="06-07-2024"/>
    <d v="1899-12-30T00:00:00"/>
    <x v="14"/>
    <s v="Ahmedabad"/>
    <x v="0"/>
    <n v="36"/>
    <n v="4.5"/>
    <s v="31mins"/>
    <n v="500"/>
    <n v="0.1"/>
    <x v="7"/>
    <x v="1"/>
    <n v="9"/>
    <s v="Dunzo"/>
    <n v="120"/>
  </r>
  <r>
    <s v="ZOM-10405"/>
    <d v="2026-11-11T00:00:00"/>
    <s v="17-01-2024"/>
    <d v="1899-12-30T00:00:00"/>
    <x v="8"/>
    <s v="Delhi"/>
    <x v="2"/>
    <n v="52"/>
    <n v="3.6"/>
    <s v="15 mins"/>
    <n v="1585"/>
    <n v="120"/>
    <x v="0"/>
    <x v="1"/>
    <n v="10"/>
    <s v="Rapido"/>
    <n v="157"/>
  </r>
  <r>
    <s v="ZOM-10406"/>
    <d v="2026-03-24T00:00:00"/>
    <s v="27-05-2024"/>
    <d v="1899-12-30T00:00:00"/>
    <x v="13"/>
    <s v="Jaipur"/>
    <x v="2"/>
    <n v="19"/>
    <n v="4.5"/>
    <s v="64mins"/>
    <n v="1027"/>
    <n v="120"/>
    <x v="6"/>
    <x v="1"/>
    <n v="6"/>
    <s v="Dunzo"/>
    <n v="93"/>
  </r>
  <r>
    <s v="ZOM-10407"/>
    <d v="2026-08-25T00:00:00"/>
    <s v="05-06-2024"/>
    <d v="1899-12-30T00:00:00"/>
    <x v="6"/>
    <s v="Kolkata"/>
    <x v="1"/>
    <n v="43"/>
    <n v="1.3"/>
    <s v="56mins"/>
    <n v="564"/>
    <n v="100"/>
    <x v="4"/>
    <x v="1"/>
    <n v="4"/>
    <s v="Dunzo"/>
    <n v="42"/>
  </r>
  <r>
    <s v="ZOM-10409"/>
    <d v="2026-08-01T00:00:00"/>
    <s v="25-02-2024"/>
    <d v="1899-12-30T00:00:00"/>
    <x v="6"/>
    <s v="Hyderabad"/>
    <x v="5"/>
    <n v="59"/>
    <n v="2.1"/>
    <s v="26mins"/>
    <n v="204"/>
    <n v="120"/>
    <x v="7"/>
    <x v="1"/>
    <n v="8"/>
    <s v="Zomato Valet"/>
    <n v="199"/>
  </r>
  <r>
    <s v="ZOM-10410"/>
    <d v="2026-06-15T00:00:00"/>
    <s v="11-02-2024"/>
    <d v="1899-12-30T00:00:00"/>
    <x v="4"/>
    <s v="Chennai"/>
    <x v="8"/>
    <n v="63"/>
    <n v="2.2999999999999998"/>
    <s v="50mins"/>
    <n v="1408"/>
    <n v="75"/>
    <x v="5"/>
    <x v="1"/>
    <n v="2"/>
    <s v="In-House"/>
    <n v="35"/>
  </r>
  <r>
    <s v="ZOM-10411"/>
    <d v="2026-06-24T00:00:00"/>
    <s v="03-19-2024"/>
    <d v="1899-12-30T12:42:00"/>
    <x v="10"/>
    <s v="Mumbai"/>
    <x v="5"/>
    <n v="45"/>
    <n v="1.7"/>
    <s v="34 mins"/>
    <n v="797"/>
    <n v="100"/>
    <x v="7"/>
    <x v="3"/>
    <n v="5"/>
    <s v="In-House"/>
    <n v="37"/>
  </r>
  <r>
    <s v="ZOM-10412"/>
    <d v="2026-03-02T00:00:00"/>
    <s v="04-04-2024"/>
    <d v="1899-12-30T00:00:00"/>
    <x v="0"/>
    <s v="Mumbai"/>
    <x v="1"/>
    <n v="57"/>
    <n v="2.5"/>
    <s v="15 mins"/>
    <n v="334"/>
    <n v="0.15"/>
    <x v="3"/>
    <x v="3"/>
    <n v="8"/>
    <s v="Shadowfax"/>
    <n v="78"/>
  </r>
  <r>
    <s v="ZOM-10413"/>
    <d v="2026-04-19T00:00:00"/>
    <s v="09-06-2024"/>
    <d v="1899-12-30T00:00:00"/>
    <x v="7"/>
    <s v="Bangalore"/>
    <x v="8"/>
    <n v="21"/>
    <n v="1.7"/>
    <s v="30mins"/>
    <n v="1656"/>
    <n v="50"/>
    <x v="4"/>
    <x v="1"/>
    <n v="1"/>
    <s v="Dunzo"/>
    <n v="235"/>
  </r>
  <r>
    <s v="ZOM-10414"/>
    <d v="2026-11-15T00:00:00"/>
    <s v="02-13-2024"/>
    <d v="1899-12-30T03:26:00"/>
    <x v="8"/>
    <s v="Jaipur"/>
    <x v="7"/>
    <n v="31"/>
    <n v="4.8"/>
    <s v="30mins"/>
    <n v="1284"/>
    <n v="100"/>
    <x v="4"/>
    <x v="1"/>
    <n v="8"/>
    <s v="Rapido"/>
    <n v="215"/>
  </r>
  <r>
    <s v="ZOM-10415"/>
    <d v="2026-04-23T00:00:00"/>
    <s v="01-01-2024"/>
    <d v="1899-12-30T00:00:00"/>
    <x v="9"/>
    <s v="Lucknow"/>
    <x v="11"/>
    <n v="53"/>
    <n v="3.1"/>
    <s v="16 mins"/>
    <n v="2053"/>
    <n v="0"/>
    <x v="5"/>
    <x v="6"/>
    <n v="9"/>
    <s v="Grab"/>
    <n v="212"/>
  </r>
  <r>
    <s v="ZOM-10000"/>
    <d v="2026-03-23T00:00:00"/>
    <s v="18-03-2024"/>
    <d v="1899-12-30T00:00:00"/>
    <x v="12"/>
    <s v="Delhi"/>
    <x v="10"/>
    <n v="58"/>
    <n v="1.6"/>
    <s v="22 mins"/>
    <n v="2183"/>
    <n v="100"/>
    <x v="2"/>
    <x v="1"/>
    <n v="3"/>
    <s v="Zomato Valet"/>
    <n v="67"/>
  </r>
  <r>
    <s v="ZOM-10418"/>
    <d v="2026-06-08T00:00:00"/>
    <s v="13-07-2024"/>
    <d v="1899-12-30T00:00:00"/>
    <x v="6"/>
    <s v="Hyderabad"/>
    <x v="2"/>
    <n v="24"/>
    <n v="4.0999999999999996"/>
    <s v="20 mins"/>
    <n v="797"/>
    <n v="150"/>
    <x v="7"/>
    <x v="2"/>
    <n v="3"/>
    <s v="Zomato Valet"/>
    <n v="151"/>
  </r>
  <r>
    <s v="ZOM-10419"/>
    <d v="2026-04-21T00:00:00"/>
    <m/>
    <d v="1899-12-30T00:00:00"/>
    <x v="6"/>
    <s v="Lucknow"/>
    <x v="11"/>
    <n v="40"/>
    <n v="3.2"/>
    <s v="31mins"/>
    <n v="500"/>
    <n v="150"/>
    <x v="6"/>
    <x v="1"/>
    <n v="3"/>
    <s v="Grab"/>
    <n v="60"/>
  </r>
  <r>
    <s v="ZOM-10421"/>
    <d v="2026-11-15T00:00:00"/>
    <s v="04-03-2024"/>
    <d v="1899-12-30T00:00:00"/>
    <x v="15"/>
    <s v="Delhi"/>
    <x v="0"/>
    <n v="44"/>
    <n v="1.4"/>
    <s v="26mins"/>
    <n v="1284"/>
    <n v="0"/>
    <x v="0"/>
    <x v="1"/>
    <n v="2"/>
    <s v="Dunzo"/>
    <m/>
  </r>
  <r>
    <s v="ZOM-10422"/>
    <d v="2026-06-14T00:00:00"/>
    <s v="28-04-2024"/>
    <d v="1899-12-30T00:00:00"/>
    <x v="3"/>
    <s v="Ahmedabad"/>
    <x v="6"/>
    <n v="29"/>
    <n v="4.4000000000000004"/>
    <s v="72mins"/>
    <n v="1134"/>
    <n v="0.1"/>
    <x v="4"/>
    <x v="3"/>
    <n v="10"/>
    <s v="Grab"/>
    <n v="230"/>
  </r>
  <r>
    <s v="ZOM-10423"/>
    <d v="2026-06-01T00:00:00"/>
    <s v="21-04-2024"/>
    <d v="1899-12-30T00:00:00"/>
    <x v="10"/>
    <s v="Unknown"/>
    <x v="12"/>
    <n v="55"/>
    <n v="2.5"/>
    <s v="22 mins"/>
    <n v="240"/>
    <n v="0"/>
    <x v="6"/>
    <x v="2"/>
    <n v="2"/>
    <s v="In-House"/>
    <n v="153"/>
  </r>
  <r>
    <s v="ZOM-10424"/>
    <d v="2026-10-09T00:00:00"/>
    <s v="19-06-2024"/>
    <d v="1899-12-30T00:00:00"/>
    <x v="13"/>
    <s v="Lucknow"/>
    <x v="10"/>
    <n v="43"/>
    <n v="3.1"/>
    <s v="43mins"/>
    <n v="1662"/>
    <n v="150"/>
    <x v="0"/>
    <x v="2"/>
    <n v="3"/>
    <s v="Shadowfax"/>
    <n v="80"/>
  </r>
  <r>
    <s v="ZOM-10425"/>
    <d v="2026-03-04T00:00:00"/>
    <s v="14-07-2024"/>
    <d v="1899-12-30T00:00:00"/>
    <x v="6"/>
    <s v="Lucknow"/>
    <x v="5"/>
    <n v="60"/>
    <n v="1.9"/>
    <s v="44 mins"/>
    <n v="2071"/>
    <n v="0.1"/>
    <x v="2"/>
    <x v="1"/>
    <n v="9"/>
    <s v="Zomato Valet"/>
    <n v="168"/>
  </r>
  <r>
    <s v="ZOM-10428"/>
    <d v="2026-10-23T00:00:00"/>
    <s v="22-05-2024"/>
    <d v="1899-12-30T00:00:00"/>
    <x v="7"/>
    <s v="Pune"/>
    <x v="4"/>
    <n v="33"/>
    <n v="4.7"/>
    <s v="49mins"/>
    <n v="1198"/>
    <n v="0"/>
    <x v="0"/>
    <x v="3"/>
    <n v="7"/>
    <s v="Dunzo"/>
    <n v="86"/>
  </r>
  <r>
    <s v="ZOM-10429"/>
    <d v="2026-06-18T00:00:00"/>
    <s v="16-05-2024"/>
    <d v="1899-12-30T00:00:00"/>
    <x v="4"/>
    <s v="Kolkata"/>
    <x v="0"/>
    <n v="22"/>
    <n v="1.3"/>
    <s v="29mins"/>
    <n v="1516"/>
    <n v="75"/>
    <x v="1"/>
    <x v="3"/>
    <n v="7"/>
    <s v="Zomato Valet"/>
    <n v="66"/>
  </r>
  <r>
    <s v="ZOM-10431"/>
    <d v="2026-01-31T00:00:00"/>
    <s v="08-06-2024"/>
    <d v="1899-12-30T00:00:00"/>
    <x v="12"/>
    <s v="Lucknow"/>
    <x v="4"/>
    <n v="54"/>
    <n v="4.5999999999999996"/>
    <s v="36 mins"/>
    <n v="1520"/>
    <n v="0"/>
    <x v="0"/>
    <x v="3"/>
    <n v="6"/>
    <s v="Shadowfax"/>
    <n v="149"/>
  </r>
  <r>
    <s v="ZOM-10432"/>
    <d v="2026-01-19T00:00:00"/>
    <s v="23-06-2024"/>
    <d v="1899-12-30T00:00:00"/>
    <x v="10"/>
    <s v="Chennai"/>
    <x v="11"/>
    <n v="49"/>
    <n v="2.5"/>
    <s v="15 mins"/>
    <n v="1681"/>
    <n v="75"/>
    <x v="7"/>
    <x v="1"/>
    <n v="9"/>
    <s v="Rapido"/>
    <n v="64"/>
  </r>
  <r>
    <s v="ORD_150"/>
    <d v="2026-11-11T00:00:00"/>
    <s v="20-03-2024"/>
    <d v="1899-12-30T00:00:00"/>
    <x v="8"/>
    <s v="Ahmedabad"/>
    <x v="1"/>
    <n v="33"/>
    <n v="2.5"/>
    <s v="63mins"/>
    <n v="1984"/>
    <n v="0.5"/>
    <x v="5"/>
    <x v="2"/>
    <n v="1"/>
    <s v="In-House"/>
    <n v="202"/>
  </r>
  <r>
    <s v="ZOM-10434"/>
    <d v="2026-03-18T00:00:00"/>
    <s v="14-07-2024"/>
    <d v="1899-12-30T00:00:00"/>
    <x v="9"/>
    <s v="Lucknow"/>
    <x v="11"/>
    <n v="50"/>
    <n v="2"/>
    <s v="64mins"/>
    <n v="500"/>
    <n v="120"/>
    <x v="0"/>
    <x v="1"/>
    <n v="2"/>
    <s v="Shadowfax"/>
    <n v="38"/>
  </r>
  <r>
    <s v="ZOM-10435"/>
    <d v="2026-08-13T00:00:00"/>
    <s v="10-03-2024"/>
    <d v="1899-12-30T00:00:00"/>
    <x v="2"/>
    <s v="Mumbai"/>
    <x v="1"/>
    <n v="32"/>
    <n v="3.8"/>
    <s v="21mins"/>
    <n v="1218"/>
    <n v="50"/>
    <x v="5"/>
    <x v="3"/>
    <n v="9"/>
    <s v="Dunzo"/>
    <n v="168"/>
  </r>
  <r>
    <s v="ZOM-10436"/>
    <d v="2026-03-29T00:00:00"/>
    <s v="19-04-2024"/>
    <d v="1899-12-30T00:00:00"/>
    <x v="8"/>
    <s v="Mumbai"/>
    <x v="8"/>
    <n v="49"/>
    <n v="3.5"/>
    <s v="25mins"/>
    <n v="1193"/>
    <n v="0.15"/>
    <x v="4"/>
    <x v="0"/>
    <n v="2"/>
    <s v="Grab"/>
    <n v="99"/>
  </r>
  <r>
    <s v="ZOM-10437"/>
    <d v="2026-11-08T00:00:00"/>
    <s v="04-03-2024"/>
    <d v="1899-12-30T00:00:00"/>
    <x v="2"/>
    <s v="Hyderabad"/>
    <x v="12"/>
    <n v="18"/>
    <n v="2.5"/>
    <s v="28mins"/>
    <n v="1345"/>
    <n v="0.5"/>
    <x v="7"/>
    <x v="2"/>
    <n v="6"/>
    <s v="Dunzo"/>
    <n v="95"/>
  </r>
  <r>
    <s v="ZOM-10438"/>
    <d v="2026-02-02T00:00:00"/>
    <s v="05-01-2024"/>
    <d v="1899-12-30T20:34:00"/>
    <x v="9"/>
    <s v="Chennai"/>
    <x v="8"/>
    <n v="42"/>
    <n v="3.3"/>
    <s v="80mins"/>
    <n v="1968"/>
    <n v="120"/>
    <x v="0"/>
    <x v="3"/>
    <n v="3"/>
    <s v="Dunzo"/>
    <n v="50"/>
  </r>
  <r>
    <s v="ZOM-10439"/>
    <d v="2026-08-07T00:00:00"/>
    <s v="07-04-2024"/>
    <d v="1899-12-30T00:00:00"/>
    <x v="14"/>
    <s v="Bangalore"/>
    <x v="2"/>
    <n v="43"/>
    <n v="1.6"/>
    <s v="41mins"/>
    <n v="2460"/>
    <n v="0"/>
    <x v="1"/>
    <x v="1"/>
    <n v="3"/>
    <s v="Unknown"/>
    <n v="148"/>
  </r>
  <r>
    <s v="ORD_148"/>
    <d v="2026-06-06T00:00:00"/>
    <m/>
    <d v="1899-12-30T00:00:00"/>
    <x v="1"/>
    <s v="Bombay"/>
    <x v="4"/>
    <n v="18"/>
    <n v="2.6"/>
    <s v="26mins"/>
    <n v="1807"/>
    <n v="50"/>
    <x v="6"/>
    <x v="1"/>
    <n v="10"/>
    <s v="Dunzo"/>
    <m/>
  </r>
  <r>
    <s v="ZOM-10443"/>
    <d v="2026-12-02T00:00:00"/>
    <s v="26-04-2024"/>
    <d v="1899-12-30T00:00:00"/>
    <x v="4"/>
    <s v="Mumbai"/>
    <x v="10"/>
    <n v="39"/>
    <n v="4.9000000000000004"/>
    <s v="46 mins"/>
    <n v="1207"/>
    <n v="50"/>
    <x v="2"/>
    <x v="1"/>
    <n v="3"/>
    <s v="Dunzo"/>
    <n v="53"/>
  </r>
  <r>
    <s v="ZOM-10446"/>
    <d v="2026-06-20T00:00:00"/>
    <s v="22-04-2024"/>
    <d v="1899-12-30T00:00:00"/>
    <x v="14"/>
    <s v="Pune"/>
    <x v="8"/>
    <n v="50"/>
    <n v="2.2000000000000002"/>
    <s v="52mins"/>
    <n v="660"/>
    <n v="120"/>
    <x v="2"/>
    <x v="1"/>
    <n v="8"/>
    <s v="Zomato Valet"/>
    <n v="237"/>
  </r>
  <r>
    <s v="ZOM-10447"/>
    <d v="2026-02-01T00:00:00"/>
    <s v="01-05-2024"/>
    <d v="1899-12-30T00:00:00"/>
    <x v="4"/>
    <s v="Kolkata"/>
    <x v="10"/>
    <n v="31"/>
    <n v="4.0999999999999996"/>
    <s v="71mins"/>
    <n v="729"/>
    <n v="75"/>
    <x v="4"/>
    <x v="1"/>
    <n v="10"/>
    <s v="Rapido"/>
    <n v="3"/>
  </r>
  <r>
    <s v="ZOM-10448"/>
    <d v="2026-05-13T00:00:00"/>
    <s v="18-03-2024"/>
    <d v="1899-12-30T00:00:00"/>
    <x v="6"/>
    <s v="Calcutta"/>
    <x v="7"/>
    <n v="43"/>
    <n v="3.5"/>
    <s v="61mins"/>
    <n v="2407"/>
    <n v="150"/>
    <x v="0"/>
    <x v="2"/>
    <n v="1"/>
    <s v="In-House"/>
    <n v="3"/>
  </r>
  <r>
    <s v="ZOM-10449"/>
    <d v="2026-07-28T00:00:00"/>
    <s v="09-05-2024"/>
    <d v="1899-12-30T00:00:00"/>
    <x v="13"/>
    <s v="Chennai"/>
    <x v="4"/>
    <n v="18"/>
    <n v="2.5"/>
    <s v="67 mins"/>
    <n v="2309"/>
    <n v="150"/>
    <x v="4"/>
    <x v="3"/>
    <n v="10"/>
    <s v="Dunzo"/>
    <n v="28"/>
  </r>
  <r>
    <s v="ZOM-10450"/>
    <d v="2026-07-01T00:00:00"/>
    <s v="21-01-2024"/>
    <d v="1899-12-30T00:00:00"/>
    <x v="6"/>
    <s v="Lucknow"/>
    <x v="32"/>
    <n v="46"/>
    <n v="4.4000000000000004"/>
    <s v="21mins"/>
    <n v="2335"/>
    <n v="75"/>
    <x v="6"/>
    <x v="3"/>
    <n v="7"/>
    <s v="Dunzo"/>
    <n v="240"/>
  </r>
  <r>
    <s v="ZOM-10000"/>
    <d v="2026-11-14T00:00:00"/>
    <s v="25-06-2024"/>
    <d v="1899-12-30T00:00:00"/>
    <x v="1"/>
    <s v="Jaipur"/>
    <x v="11"/>
    <n v="59"/>
    <n v="3.5"/>
    <s v="60mins"/>
    <n v="944"/>
    <n v="150"/>
    <x v="7"/>
    <x v="1"/>
    <n v="10"/>
    <s v="Unknown"/>
    <n v="74"/>
  </r>
  <r>
    <s v="ZOM-10452"/>
    <d v="2026-07-20T00:00:00"/>
    <s v="20-05-2024"/>
    <d v="1899-12-30T00:00:00"/>
    <x v="7"/>
    <s v="Hyderabad"/>
    <x v="2"/>
    <n v="36"/>
    <n v="3.8"/>
    <s v="43mins"/>
    <n v="169"/>
    <n v="50"/>
    <x v="5"/>
    <x v="1"/>
    <n v="5"/>
    <s v="Shadowfax"/>
    <n v="45"/>
  </r>
  <r>
    <s v="ZOM-10453"/>
    <d v="2026-12-10T00:00:00"/>
    <s v="17-02-2024"/>
    <d v="1899-12-30T00:00:00"/>
    <x v="2"/>
    <s v="Bombay"/>
    <x v="5"/>
    <n v="18"/>
    <n v="3.5"/>
    <s v="67mins"/>
    <n v="1335"/>
    <n v="0.1"/>
    <x v="0"/>
    <x v="1"/>
    <n v="8"/>
    <s v="Dunzo"/>
    <n v="104"/>
  </r>
  <r>
    <s v="ZOM-10454"/>
    <d v="2026-10-20T00:00:00"/>
    <s v="17-02-2024"/>
    <d v="1899-12-30T00:00:00"/>
    <x v="2"/>
    <s v="Hyderabad"/>
    <x v="5"/>
    <n v="22"/>
    <n v="4.9000000000000004"/>
    <s v="31mins"/>
    <n v="123"/>
    <n v="0"/>
    <x v="5"/>
    <x v="1"/>
    <n v="2"/>
    <s v="In-House"/>
    <n v="24"/>
  </r>
  <r>
    <s v="ZOM-10455"/>
    <d v="2026-03-12T00:00:00"/>
    <s v="13-05-2024"/>
    <d v="1899-12-30T00:00:00"/>
    <x v="13"/>
    <s v="Chennai"/>
    <x v="0"/>
    <n v="64"/>
    <n v="2.2999999999999998"/>
    <s v="75mins"/>
    <n v="519"/>
    <n v="0.6"/>
    <x v="0"/>
    <x v="3"/>
    <n v="4"/>
    <s v="Zomato Valet"/>
    <n v="231"/>
  </r>
  <r>
    <s v="ZOM-10456"/>
    <d v="2026-05-28T00:00:00"/>
    <s v="10-05-2024"/>
    <d v="1899-12-30T00:00:00"/>
    <x v="1"/>
    <s v="Ahmedabad"/>
    <x v="0"/>
    <n v="32"/>
    <n v="4.8"/>
    <s v="20 mins"/>
    <n v="780"/>
    <n v="0.15"/>
    <x v="1"/>
    <x v="1"/>
    <n v="10"/>
    <s v="Rapido"/>
    <n v="142"/>
  </r>
  <r>
    <s v="ZOM-10457"/>
    <d v="2026-12-15T00:00:00"/>
    <s v="11-06-2024"/>
    <d v="1899-12-30T00:00:00"/>
    <x v="1"/>
    <s v="Ahmedabad"/>
    <x v="11"/>
    <n v="26"/>
    <n v="2.7"/>
    <s v="67mins"/>
    <n v="723"/>
    <n v="0"/>
    <x v="5"/>
    <x v="1"/>
    <n v="2"/>
    <s v="Rapido"/>
    <m/>
  </r>
  <r>
    <s v="ZOM-10458"/>
    <d v="2026-02-22T00:00:00"/>
    <s v="16-04-2024"/>
    <d v="1899-12-30T00:00:00"/>
    <x v="12"/>
    <s v="Lucknow"/>
    <x v="0"/>
    <n v="65"/>
    <n v="2.1"/>
    <s v="65mins"/>
    <n v="506"/>
    <n v="50"/>
    <x v="0"/>
    <x v="1"/>
    <n v="7"/>
    <s v="Grab"/>
    <n v="214"/>
  </r>
  <r>
    <s v="ZOM-10459"/>
    <d v="2026-09-13T00:00:00"/>
    <s v="22-01-2024"/>
    <d v="1899-12-30T00:00:00"/>
    <x v="7"/>
    <s v="Kolkata"/>
    <x v="4"/>
    <n v="63"/>
    <n v="2.7"/>
    <s v="15 mins"/>
    <n v="1660"/>
    <n v="50"/>
    <x v="4"/>
    <x v="1"/>
    <n v="7"/>
    <s v="In-House"/>
    <n v="33"/>
  </r>
  <r>
    <s v="ZOM-10460"/>
    <d v="2026-05-05T00:00:00"/>
    <s v="02-08-2024"/>
    <d v="1899-12-30T03:27:00"/>
    <x v="4"/>
    <s v="Lucknow"/>
    <x v="4"/>
    <n v="23"/>
    <n v="3.3"/>
    <s v="43mins"/>
    <n v="598"/>
    <n v="0.15"/>
    <x v="1"/>
    <x v="3"/>
    <n v="4"/>
    <s v="Shadowfax"/>
    <m/>
  </r>
  <r>
    <s v="ZOM-10461"/>
    <d v="2026-01-23T00:00:00"/>
    <s v="29-06-2024"/>
    <d v="1899-12-30T00:00:00"/>
    <x v="4"/>
    <s v="Kolkata"/>
    <x v="10"/>
    <n v="63"/>
    <n v="4.2"/>
    <s v="57mins"/>
    <n v="2374"/>
    <n v="0.2"/>
    <x v="7"/>
    <x v="1"/>
    <n v="7"/>
    <s v="Shadowfax"/>
    <n v="22"/>
  </r>
  <r>
    <s v="ZOM-10000"/>
    <d v="2026-07-29T00:00:00"/>
    <s v="27-06-2024"/>
    <d v="1899-12-30T00:00:00"/>
    <x v="10"/>
    <s v="Pune"/>
    <x v="10"/>
    <n v="33"/>
    <n v="2.5"/>
    <s v="50mins"/>
    <n v="445"/>
    <n v="0"/>
    <x v="5"/>
    <x v="1"/>
    <n v="10"/>
    <s v="Shadowfax"/>
    <n v="231"/>
  </r>
  <r>
    <s v="ZOM-10463"/>
    <d v="2026-09-17T00:00:00"/>
    <s v="03-20-2024"/>
    <d v="1899-12-30T07:17:00"/>
    <x v="3"/>
    <s v="Bombay"/>
    <x v="0"/>
    <n v="40"/>
    <n v="1.6"/>
    <s v="38 mins"/>
    <n v="1857"/>
    <n v="120"/>
    <x v="5"/>
    <x v="2"/>
    <n v="9"/>
    <s v="Grab"/>
    <n v="135"/>
  </r>
  <r>
    <s v="ZOM-10464"/>
    <d v="2026-01-07T00:00:00"/>
    <s v="13-06-2024"/>
    <d v="1899-12-30T00:00:00"/>
    <x v="13"/>
    <s v="Jaipur"/>
    <x v="2"/>
    <n v="43"/>
    <n v="2.6"/>
    <s v="15 mins"/>
    <n v="385"/>
    <n v="0"/>
    <x v="1"/>
    <x v="1"/>
    <n v="9"/>
    <s v="In-House"/>
    <n v="224"/>
  </r>
  <r>
    <s v="ZOM-10465"/>
    <d v="2026-12-12T00:00:00"/>
    <s v="17-01-2024"/>
    <d v="1899-12-30T00:00:00"/>
    <x v="21"/>
    <s v="Kolkata"/>
    <x v="1"/>
    <n v="28"/>
    <n v="1.8"/>
    <s v="54 mins"/>
    <n v="943"/>
    <n v="100"/>
    <x v="4"/>
    <x v="3"/>
    <n v="4"/>
    <s v="Dunzo"/>
    <n v="123"/>
  </r>
  <r>
    <s v="ZOM-10466"/>
    <d v="2026-02-08T00:00:00"/>
    <s v="01-03-2024"/>
    <d v="1899-12-30T00:00:00"/>
    <x v="12"/>
    <s v="Jaipur"/>
    <x v="8"/>
    <n v="40"/>
    <n v="1.9"/>
    <s v="79mins"/>
    <n v="500"/>
    <n v="0.1"/>
    <x v="7"/>
    <x v="3"/>
    <n v="9"/>
    <s v="Shadowfax"/>
    <m/>
  </r>
  <r>
    <s v="ZOM-10467"/>
    <d v="2026-01-16T00:00:00"/>
    <s v="31-03-2024"/>
    <d v="1899-12-30T00:00:00"/>
    <x v="4"/>
    <s v="Bangalore"/>
    <x v="4"/>
    <n v="43"/>
    <n v="2.2999999999999998"/>
    <s v="31mins"/>
    <n v="465"/>
    <n v="150"/>
    <x v="4"/>
    <x v="1"/>
    <n v="3"/>
    <s v="Dunzo"/>
    <n v="164"/>
  </r>
  <r>
    <s v="ZOM-10468"/>
    <d v="2026-06-09T00:00:00"/>
    <s v="10-06-2024"/>
    <d v="1899-12-30T00:00:00"/>
    <x v="8"/>
    <s v="Chennai"/>
    <x v="1"/>
    <n v="33"/>
    <n v="3.6"/>
    <s v="49mins"/>
    <n v="1064"/>
    <n v="0.15"/>
    <x v="0"/>
    <x v="2"/>
    <n v="1"/>
    <s v="In-House"/>
    <n v="22"/>
  </r>
  <r>
    <s v="ZOM-10469"/>
    <d v="2026-03-11T00:00:00"/>
    <s v="12-04-2024"/>
    <d v="1899-12-30T00:00:00"/>
    <x v="2"/>
    <s v="Ahmedabad"/>
    <x v="2"/>
    <n v="64"/>
    <n v="1.3"/>
    <s v="58mins"/>
    <n v="905"/>
    <n v="150"/>
    <x v="0"/>
    <x v="1"/>
    <n v="3"/>
    <s v="Zomato Valet"/>
    <n v="35"/>
  </r>
  <r>
    <s v="ZOM-10470"/>
    <d v="2026-07-04T00:00:00"/>
    <s v="01-04-2024"/>
    <d v="1899-12-30T02:25:00"/>
    <x v="12"/>
    <s v="Mumbai"/>
    <x v="4"/>
    <n v="47"/>
    <n v="3.3"/>
    <s v="42mins"/>
    <n v="297"/>
    <n v="50"/>
    <x v="0"/>
    <x v="1"/>
    <n v="0"/>
    <s v="Dunzo"/>
    <n v="96"/>
  </r>
  <r>
    <s v="ZOM-10471"/>
    <d v="2026-08-21T00:00:00"/>
    <s v="12-06-2024"/>
    <d v="1899-12-30T00:00:00"/>
    <x v="12"/>
    <s v="Lucknow"/>
    <x v="6"/>
    <n v="64"/>
    <n v="3.5"/>
    <s v="22 mins"/>
    <n v="464"/>
    <n v="75"/>
    <x v="0"/>
    <x v="2"/>
    <n v="8"/>
    <s v="Zomato Valet"/>
    <n v="59"/>
  </r>
  <r>
    <s v="ZOM-10472"/>
    <d v="2026-06-24T00:00:00"/>
    <s v="19-06-2024"/>
    <d v="1899-12-30T00:00:00"/>
    <x v="1"/>
    <s v="Mumbai"/>
    <x v="33"/>
    <n v="18"/>
    <n v="2.4"/>
    <s v="75mins"/>
    <n v="594"/>
    <n v="0.2"/>
    <x v="7"/>
    <x v="1"/>
    <n v="3"/>
    <s v="Rapido"/>
    <n v="12"/>
  </r>
  <r>
    <s v="ZOM-10473"/>
    <d v="2026-10-06T00:00:00"/>
    <s v="15-02-2024"/>
    <d v="1899-12-30T00:00:00"/>
    <x v="14"/>
    <s v="Hyderabad"/>
    <x v="0"/>
    <n v="43"/>
    <n v="2.1"/>
    <s v="46mins"/>
    <n v="831"/>
    <n v="0.2"/>
    <x v="1"/>
    <x v="2"/>
    <n v="10"/>
    <s v="Shadowfax"/>
    <n v="153"/>
  </r>
  <r>
    <s v="ZOM-10474"/>
    <d v="2026-04-16T00:00:00"/>
    <s v="27-02-2024"/>
    <d v="1899-12-30T00:00:00"/>
    <x v="7"/>
    <s v="Jaipur"/>
    <x v="0"/>
    <n v="54"/>
    <n v="3.1"/>
    <s v="49mins"/>
    <n v="357"/>
    <n v="120"/>
    <x v="2"/>
    <x v="1"/>
    <n v="9"/>
    <s v="Dunzo"/>
    <n v="179"/>
  </r>
  <r>
    <s v="ZOM-10475"/>
    <d v="2026-08-16T00:00:00"/>
    <m/>
    <d v="1899-12-30T00:00:00"/>
    <x v="13"/>
    <s v="Kolkata"/>
    <x v="11"/>
    <n v="27"/>
    <n v="4.5"/>
    <s v="64 mins"/>
    <n v="393"/>
    <n v="100"/>
    <x v="5"/>
    <x v="1"/>
    <n v="1"/>
    <s v="Rapido"/>
    <n v="54"/>
  </r>
  <r>
    <s v="ZOM-10476"/>
    <d v="2026-09-17T00:00:00"/>
    <s v="29-06-2024"/>
    <d v="1899-12-30T00:00:00"/>
    <x v="6"/>
    <s v="Hyderabad"/>
    <x v="1"/>
    <n v="60"/>
    <n v="1.1000000000000001"/>
    <s v="34 mins"/>
    <n v="1209"/>
    <n v="150"/>
    <x v="6"/>
    <x v="3"/>
    <n v="7"/>
    <s v="Rapido"/>
    <n v="181"/>
  </r>
  <r>
    <s v="ZOM-10477"/>
    <d v="2026-01-14T00:00:00"/>
    <s v="06-02-2024"/>
    <d v="1899-12-30T00:00:00"/>
    <x v="7"/>
    <s v="Mumbai"/>
    <x v="12"/>
    <n v="38"/>
    <n v="2.5"/>
    <s v="65 mins"/>
    <n v="2003"/>
    <n v="0"/>
    <x v="4"/>
    <x v="1"/>
    <n v="3"/>
    <s v="Shadowfax"/>
    <n v="29"/>
  </r>
  <r>
    <s v="ZOM-10000"/>
    <d v="2026-11-13T00:00:00"/>
    <s v="05-01-2024"/>
    <d v="1899-12-30T00:00:00"/>
    <x v="10"/>
    <s v="Hyderabad"/>
    <x v="11"/>
    <n v="18"/>
    <n v="2.7"/>
    <s v="59mins"/>
    <n v="1907"/>
    <n v="0"/>
    <x v="4"/>
    <x v="3"/>
    <n v="5"/>
    <s v="Grab"/>
    <n v="9"/>
  </r>
  <r>
    <s v="ZOM-10479"/>
    <d v="2026-08-06T00:00:00"/>
    <s v="18-05-2024"/>
    <d v="1899-12-30T00:00:00"/>
    <x v="16"/>
    <s v="Ahmedabad"/>
    <x v="2"/>
    <n v="64"/>
    <n v="4.3"/>
    <s v="74mins"/>
    <n v="1857"/>
    <n v="100"/>
    <x v="1"/>
    <x v="1"/>
    <n v="3"/>
    <s v="Dunzo"/>
    <n v="99"/>
  </r>
  <r>
    <s v="ZOM-10480"/>
    <d v="2026-07-11T00:00:00"/>
    <s v="06-22-2024"/>
    <d v="1899-12-30T16:00:00"/>
    <x v="8"/>
    <s v="Delhi"/>
    <x v="4"/>
    <n v="64"/>
    <n v="4.8"/>
    <s v="39mins"/>
    <n v="1194"/>
    <n v="0"/>
    <x v="4"/>
    <x v="1"/>
    <n v="6"/>
    <s v="In-House"/>
    <m/>
  </r>
  <r>
    <s v="ZOM-10481"/>
    <d v="2026-11-06T00:00:00"/>
    <s v="19-01-2024"/>
    <d v="1899-12-30T00:00:00"/>
    <x v="9"/>
    <s v="Hyderabad"/>
    <x v="10"/>
    <n v="25"/>
    <n v="1.7"/>
    <s v="46 mins"/>
    <n v="2370"/>
    <n v="0.6"/>
    <x v="2"/>
    <x v="2"/>
    <n v="6"/>
    <s v="In-House"/>
    <n v="133"/>
  </r>
  <r>
    <s v="ZOM-10482"/>
    <d v="2026-04-17T00:00:00"/>
    <s v="07-07-2024"/>
    <d v="1899-12-30T00:03:00"/>
    <x v="6"/>
    <s v="Delhi"/>
    <x v="10"/>
    <n v="18"/>
    <n v="4.4000000000000004"/>
    <s v="63mins"/>
    <n v="1943"/>
    <n v="0"/>
    <x v="5"/>
    <x v="1"/>
    <n v="4"/>
    <s v="Shadowfax"/>
    <n v="24"/>
  </r>
  <r>
    <s v="ZOM-10484"/>
    <d v="2026-11-10T00:00:00"/>
    <s v="01-07-2024"/>
    <d v="1899-12-30T22:03:00"/>
    <x v="8"/>
    <s v="Delhi"/>
    <x v="1"/>
    <n v="27"/>
    <n v="4.3"/>
    <s v="62mins"/>
    <n v="1903"/>
    <n v="0"/>
    <x v="1"/>
    <x v="1"/>
    <n v="1"/>
    <s v="Zomato Valet"/>
    <n v="28"/>
  </r>
  <r>
    <s v="ZOM-10487"/>
    <d v="2026-02-06T00:00:00"/>
    <s v="15-02-2024"/>
    <d v="1899-12-30T00:00:00"/>
    <x v="4"/>
    <s v="Chennai"/>
    <x v="10"/>
    <n v="46"/>
    <n v="3.8"/>
    <s v="44 mins"/>
    <n v="1920"/>
    <n v="50"/>
    <x v="7"/>
    <x v="1"/>
    <n v="4"/>
    <s v="Shadowfax"/>
    <n v="166"/>
  </r>
  <r>
    <s v="ZOM-10488"/>
    <d v="2026-02-27T00:00:00"/>
    <s v="18-05-2024"/>
    <d v="1899-12-30T00:00:00"/>
    <x v="9"/>
    <s v="Delhi"/>
    <x v="2"/>
    <n v="52"/>
    <n v="3.9"/>
    <s v="72 mins"/>
    <n v="565"/>
    <n v="0"/>
    <x v="7"/>
    <x v="1"/>
    <n v="2"/>
    <s v="Unknown"/>
    <n v="169"/>
  </r>
  <r>
    <s v="ZOM-10489"/>
    <d v="2026-09-01T00:00:00"/>
    <s v="11-06-2024"/>
    <d v="1899-12-30T00:00:00"/>
    <x v="12"/>
    <s v="Lucknow"/>
    <x v="0"/>
    <n v="52"/>
    <n v="3.2"/>
    <s v="78mins"/>
    <n v="544"/>
    <n v="150"/>
    <x v="4"/>
    <x v="1"/>
    <n v="6"/>
    <s v="Rapido"/>
    <n v="68"/>
  </r>
  <r>
    <s v="ZOM-10490"/>
    <d v="2026-08-21T00:00:00"/>
    <s v="11-02-2024"/>
    <d v="1899-12-30T00:00:00"/>
    <x v="10"/>
    <s v="Kolkata"/>
    <x v="8"/>
    <n v="55"/>
    <n v="2.2000000000000002"/>
    <s v="65mins"/>
    <n v="1273"/>
    <n v="120"/>
    <x v="2"/>
    <x v="2"/>
    <n v="5"/>
    <s v="Zomato Valet"/>
    <n v="121"/>
  </r>
  <r>
    <s v="ZOM-10491"/>
    <d v="2026-08-01T00:00:00"/>
    <s v="03-03-2024"/>
    <d v="1899-12-30T00:00:00"/>
    <x v="4"/>
    <s v="Jaipur"/>
    <x v="6"/>
    <n v="18"/>
    <n v="1.7"/>
    <s v="65mins"/>
    <n v="2204"/>
    <n v="0.1"/>
    <x v="3"/>
    <x v="1"/>
    <n v="9"/>
    <s v="Shadowfax"/>
    <n v="38"/>
  </r>
  <r>
    <s v="ZOM-10492"/>
    <d v="2026-01-21T00:00:00"/>
    <s v="18-05-2024"/>
    <d v="1899-12-30T00:00:00"/>
    <x v="12"/>
    <s v="Jaipur"/>
    <x v="11"/>
    <n v="18"/>
    <n v="2.8"/>
    <s v="16mins"/>
    <n v="232"/>
    <n v="150"/>
    <x v="2"/>
    <x v="1"/>
    <n v="6"/>
    <s v="Grab"/>
    <n v="173"/>
  </r>
  <r>
    <s v="ZOM-10493"/>
    <d v="2026-01-01T00:00:00"/>
    <s v="16-03-2024"/>
    <d v="1899-12-30T00:00:00"/>
    <x v="11"/>
    <s v="Mumbai"/>
    <x v="6"/>
    <n v="31"/>
    <n v="4.5999999999999996"/>
    <s v="29 mins"/>
    <n v="766"/>
    <n v="75"/>
    <x v="4"/>
    <x v="2"/>
    <n v="7"/>
    <s v="Dunzo"/>
    <n v="45"/>
  </r>
  <r>
    <s v="ZOM-10494"/>
    <d v="2026-02-16T00:00:00"/>
    <s v="29-03-2024"/>
    <d v="1899-12-30T00:00:00"/>
    <x v="9"/>
    <s v="Bangalore"/>
    <x v="1"/>
    <n v="19"/>
    <n v="2.2000000000000002"/>
    <s v="53mins"/>
    <n v="1408"/>
    <n v="0.6"/>
    <x v="4"/>
    <x v="3"/>
    <n v="2"/>
    <s v="Shadowfax"/>
    <n v="8"/>
  </r>
  <r>
    <s v="ZOM-10495"/>
    <d v="2026-08-27T00:00:00"/>
    <s v="01-15-2024"/>
    <d v="1899-12-30T00:06:00"/>
    <x v="7"/>
    <s v="Ahmedabad"/>
    <x v="8"/>
    <n v="64"/>
    <n v="2.4"/>
    <s v="56mins"/>
    <n v="1439"/>
    <n v="75"/>
    <x v="4"/>
    <x v="2"/>
    <n v="8"/>
    <s v="Dunzo"/>
    <n v="62"/>
  </r>
  <r>
    <s v="ZOM-10496"/>
    <d v="2026-05-21T00:00:00"/>
    <s v="02-04-2024"/>
    <d v="1899-12-30T00:00:00"/>
    <x v="1"/>
    <s v="Hyderabad"/>
    <x v="0"/>
    <n v="47"/>
    <n v="3.3"/>
    <s v="73mins"/>
    <n v="595"/>
    <n v="50"/>
    <x v="0"/>
    <x v="3"/>
    <n v="2"/>
    <s v="In-House"/>
    <n v="92"/>
  </r>
  <r>
    <s v="ZOM-10497"/>
    <d v="2026-05-14T00:00:00"/>
    <s v="11-05-2024"/>
    <d v="1899-12-30T00:00:00"/>
    <x v="14"/>
    <s v="Jaipur"/>
    <x v="0"/>
    <n v="46"/>
    <n v="2.6"/>
    <s v="42mins"/>
    <n v="2325"/>
    <n v="120"/>
    <x v="0"/>
    <x v="1"/>
    <n v="7"/>
    <s v="Grab"/>
    <n v="165"/>
  </r>
  <r>
    <s v="ZOM-10498"/>
    <d v="2026-12-15T00:00:00"/>
    <s v="17-01-2024"/>
    <d v="1899-12-30T00:00:00"/>
    <x v="7"/>
    <s v="Pune"/>
    <x v="10"/>
    <n v="52"/>
    <n v="2.4"/>
    <s v="16 mins"/>
    <n v="1384"/>
    <n v="150"/>
    <x v="5"/>
    <x v="1"/>
    <n v="5"/>
    <s v="Grab"/>
    <n v="176"/>
  </r>
  <r>
    <s v="ZOM-10499"/>
    <d v="2026-11-05T00:00:00"/>
    <s v="06-20-2024"/>
    <d v="1899-12-30T20:59:00"/>
    <x v="10"/>
    <s v="Ahmedabad"/>
    <x v="0"/>
    <n v="29"/>
    <n v="2.8"/>
    <s v="24mins"/>
    <n v="2072"/>
    <n v="150"/>
    <x v="7"/>
    <x v="1"/>
    <n v="5"/>
    <s v="Dunzo"/>
    <n v="1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s v="ORD_117"/>
    <d v="2026-12-28T00:00:00"/>
    <s v="03-03-2024"/>
    <d v="1899-12-30T00:00:00"/>
    <s v="Haldiram'S"/>
    <x v="0"/>
    <s v="Street Food"/>
    <n v="55"/>
    <n v="4.5"/>
    <s v="35mins"/>
    <n v="1782"/>
    <n v="0.2"/>
    <s v="Upi"/>
    <x v="0"/>
    <n v="7"/>
    <s v="Zomato Valet"/>
    <n v="124"/>
  </r>
  <r>
    <s v="ZOM-10002"/>
    <d v="2026-02-16T00:00:00"/>
    <s v="12-01-2024"/>
    <d v="1899-12-30T00:00:00"/>
    <s v="Burger King"/>
    <x v="1"/>
    <s v="Chinese"/>
    <n v="58"/>
    <n v="3.9"/>
    <s v="39 mins"/>
    <n v="762"/>
    <n v="50"/>
    <s v="Wallet"/>
    <x v="1"/>
    <n v="10"/>
    <s v="In-House"/>
    <n v="51"/>
  </r>
  <r>
    <s v="ZOM-10003"/>
    <d v="2026-10-21T00:00:00"/>
    <s v="04-03-2024"/>
    <d v="1899-12-30T00:00:00"/>
    <s v="Behrouz Biryani"/>
    <x v="2"/>
    <s v="Fast Food"/>
    <n v="42"/>
    <n v="2.9"/>
    <s v="16mins"/>
    <n v="1739"/>
    <n v="75"/>
    <s v="Wallet"/>
    <x v="1"/>
    <n v="9"/>
    <s v="Shadowfax"/>
    <n v="126"/>
  </r>
  <r>
    <s v="ZOM-10000"/>
    <d v="2026-05-30T00:00:00"/>
    <s v="21-05-2024"/>
    <d v="1899-12-30T00:00:00"/>
    <s v="Bikanervala"/>
    <x v="3"/>
    <s v="Chinese"/>
    <n v="33"/>
    <n v="4.2"/>
    <s v="21 mins"/>
    <n v="1688"/>
    <n v="150"/>
    <s v="Upi"/>
    <x v="1"/>
    <n v="4"/>
    <s v="Shadowfax"/>
    <n v="19"/>
  </r>
  <r>
    <s v="ZOM-10006"/>
    <d v="2026-04-01T00:00:00"/>
    <s v="20-05-2024"/>
    <d v="1899-12-30T00:00:00"/>
    <s v="Wow! Momo"/>
    <x v="4"/>
    <s v="North Indian, Italian"/>
    <n v="47"/>
    <n v="3.8"/>
    <s v="77mins"/>
    <n v="488"/>
    <n v="120"/>
    <s v="Wallet"/>
    <x v="1"/>
    <n v="1"/>
    <s v="Rapido"/>
    <n v="116"/>
  </r>
  <r>
    <s v="ZOM-10007"/>
    <d v="2026-07-12T00:00:00"/>
    <s v="25-05-2024"/>
    <d v="1899-12-30T00:00:00"/>
    <s v="Bikanervala"/>
    <x v="5"/>
    <s v="Italian"/>
    <n v="22"/>
    <n v="2.5"/>
    <s v="27mins"/>
    <n v="294"/>
    <n v="0.2"/>
    <s v="Upi"/>
    <x v="1"/>
    <n v="9"/>
    <s v="Zomato Valet"/>
    <n v="227"/>
  </r>
  <r>
    <s v="ZOM-10008"/>
    <d v="2026-05-21T00:00:00"/>
    <s v="28-01-2024"/>
    <d v="1899-12-30T00:00:00"/>
    <s v="Burger King"/>
    <x v="5"/>
    <s v="North Indian"/>
    <n v="18"/>
    <n v="3.5"/>
    <s v="71mins"/>
    <n v="1433"/>
    <n v="0"/>
    <s v="Upi"/>
    <x v="1"/>
    <n v="3"/>
    <s v="Zomato Valet"/>
    <n v="183"/>
  </r>
  <r>
    <s v="ZOM-10009"/>
    <d v="2026-05-27T00:00:00"/>
    <s v="04-03-2024"/>
    <d v="1899-12-30T00:00:00"/>
    <s v="Wow! Momo"/>
    <x v="6"/>
    <s v="Unknown"/>
    <n v="39"/>
    <n v="2.6"/>
    <s v="46mins"/>
    <n v="755"/>
    <n v="0.1"/>
    <s v="Cash On Delivery"/>
    <x v="2"/>
    <n v="4"/>
    <s v="Grab"/>
    <n v="239"/>
  </r>
  <r>
    <s v="ZOM-10010"/>
    <d v="2026-07-08T00:00:00"/>
    <s v="17-05-2024"/>
    <d v="1899-12-30T00:00:00"/>
    <s v="Haldiram'S"/>
    <x v="0"/>
    <s v="Desserts"/>
    <n v="30"/>
    <n v="3.8"/>
    <s v="15 mins"/>
    <n v="2323"/>
    <n v="150"/>
    <s v="Wallet"/>
    <x v="1"/>
    <n v="5"/>
    <s v="Rapido"/>
    <n v="53"/>
  </r>
  <r>
    <s v="ZOM-10011"/>
    <d v="2026-04-13T00:00:00"/>
    <s v="04-07-2024"/>
    <d v="1899-12-30T23:07:00"/>
    <s v="B@Rbeque N@Ti0N"/>
    <x v="5"/>
    <s v="Desserts"/>
    <n v="65"/>
    <n v="1.3"/>
    <s v="57mins"/>
    <n v="342"/>
    <n v="0.2"/>
    <s v="Cash Card"/>
    <x v="1"/>
    <n v="10"/>
    <s v="Shadowfax"/>
    <n v="52"/>
  </r>
  <r>
    <s v="ZOM-10012"/>
    <d v="2026-06-22T00:00:00"/>
    <s v="07-16-2024"/>
    <d v="1899-12-30T03:38:00"/>
    <s v="Dominos Pizza"/>
    <x v="6"/>
    <s v="Mughlai"/>
    <n v="46"/>
    <n v="3.9"/>
    <s v="72mins"/>
    <n v="2255"/>
    <n v="75"/>
    <s v="Credit Card"/>
    <x v="1"/>
    <n v="5"/>
    <s v="Shadowfax"/>
    <n v="98"/>
  </r>
  <r>
    <s v="ZOM-10013"/>
    <d v="2026-01-09T00:00:00"/>
    <s v="29-06-2024"/>
    <d v="1899-12-30T00:00:00"/>
    <s v="Subway"/>
    <x v="7"/>
    <s v="Bakery, Desserts"/>
    <n v="42"/>
    <n v="4.8"/>
    <s v="43mins"/>
    <n v="1282"/>
    <n v="100"/>
    <s v="Debit Card"/>
    <x v="1"/>
    <n v="7"/>
    <s v="Rapido"/>
    <n v="132"/>
  </r>
  <r>
    <s v="ZOM-10014"/>
    <d v="2026-06-23T00:00:00"/>
    <s v="07-04-2024"/>
    <d v="1899-12-30T00:00:00"/>
    <s v="Kfc"/>
    <x v="7"/>
    <s v="Street Food"/>
    <n v="59"/>
    <n v="2.5"/>
    <s v="15 mins"/>
    <n v="709"/>
    <n v="50"/>
    <s v="Credit Card"/>
    <x v="1"/>
    <n v="10"/>
    <s v="In-House"/>
    <n v="26"/>
  </r>
  <r>
    <s v="ZOM-10015"/>
    <d v="2026-02-25T00:00:00"/>
    <s v="27-05-2024"/>
    <d v="1899-12-30T00:00:00"/>
    <s v="Subway"/>
    <x v="6"/>
    <s v="Bakery"/>
    <n v="18"/>
    <n v="3.6"/>
    <s v="56 mins"/>
    <n v="932"/>
    <n v="0"/>
    <s v="Cash On Delivery"/>
    <x v="3"/>
    <n v="5"/>
    <s v="Rapido"/>
    <n v="80"/>
  </r>
  <r>
    <s v="ZOM-10016"/>
    <d v="2026-07-04T00:00:00"/>
    <s v="03-03-2024"/>
    <d v="1899-12-30T00:00:00"/>
    <s v="Paradise Biryani"/>
    <x v="0"/>
    <s v="Desserts"/>
    <n v="35"/>
    <n v="3.1"/>
    <s v="30 mins"/>
    <n v="1834"/>
    <n v="150"/>
    <s v="Cash On Delivery"/>
    <x v="1"/>
    <n v="10"/>
    <s v="Dunzo"/>
    <n v="60"/>
  </r>
  <r>
    <s v="ZOM-10018"/>
    <d v="2026-10-11T00:00:00"/>
    <s v="24-06-2024"/>
    <d v="1899-12-30T00:00:00"/>
    <s v="Chai Point"/>
    <x v="8"/>
    <s v="Chinese"/>
    <n v="55"/>
    <n v="2.2000000000000002"/>
    <s v="27mins"/>
    <n v="2375"/>
    <n v="0.1"/>
    <s v="Credit Card"/>
    <x v="1"/>
    <n v="4"/>
    <s v="Dunzo"/>
    <n v="70"/>
  </r>
  <r>
    <s v="ZOM-10019"/>
    <d v="2026-10-25T00:00:00"/>
    <s v="06-09-2024"/>
    <d v="1899-12-30T20:07:00"/>
    <s v="Dominos Pizza"/>
    <x v="4"/>
    <s v="Bakery"/>
    <n v="43"/>
    <n v="3"/>
    <s v="25mins"/>
    <n v="1543"/>
    <n v="120"/>
    <s v="Unknown"/>
    <x v="3"/>
    <n v="1"/>
    <s v="In-House"/>
    <n v="172"/>
  </r>
  <r>
    <s v="ZOM-10020"/>
    <d v="2026-06-09T00:00:00"/>
    <s v="12-03-2024"/>
    <d v="1899-12-30T00:00:00"/>
    <s v="Subway"/>
    <x v="3"/>
    <s v="Italian"/>
    <n v="53"/>
    <n v="2.5"/>
    <s v="31 mins"/>
    <n v="889"/>
    <n v="120"/>
    <s v="Upi"/>
    <x v="3"/>
    <n v="8"/>
    <s v="Zomato Valet"/>
    <n v="226"/>
  </r>
  <r>
    <s v="ZOM-10021"/>
    <d v="2026-10-03T00:00:00"/>
    <s v="06-10-2024"/>
    <d v="1899-12-30T20:46:00"/>
    <s v="Behrouz Biryani"/>
    <x v="9"/>
    <s v="Mughlai"/>
    <n v="48"/>
    <n v="2"/>
    <s v="64mins"/>
    <n v="574"/>
    <n v="50"/>
    <s v="Upi"/>
    <x v="4"/>
    <n v="10"/>
    <s v="In-House"/>
    <n v="98"/>
  </r>
  <r>
    <s v="ZOM-10022"/>
    <d v="2026-02-07T00:00:00"/>
    <s v="26-04-2024"/>
    <d v="1899-12-30T00:00:00"/>
    <s v="Behrouz Biryani"/>
    <x v="3"/>
    <s v="Italian"/>
    <n v="20"/>
    <n v="4.9000000000000004"/>
    <s v="27mins"/>
    <n v="2201"/>
    <n v="100"/>
    <s v="Upi"/>
    <x v="3"/>
    <n v="10"/>
    <s v="In-House"/>
    <n v="28"/>
  </r>
  <r>
    <s v="ZOM-10023"/>
    <d v="2026-03-23T00:00:00"/>
    <s v="09-06-2024"/>
    <d v="1899-12-30T00:00:00"/>
    <s v="Bikanervala"/>
    <x v="6"/>
    <s v="South Indian"/>
    <n v="18"/>
    <n v="2.2000000000000002"/>
    <s v="33mins"/>
    <n v="701"/>
    <n v="50"/>
    <s v="Credit Card"/>
    <x v="3"/>
    <n v="5"/>
    <s v="Grab"/>
    <n v="186"/>
  </r>
  <r>
    <s v="ZOM-10024"/>
    <d v="2026-07-11T00:00:00"/>
    <s v="23-04-2024"/>
    <d v="1899-12-30T00:00:00"/>
    <s v="Burger King"/>
    <x v="6"/>
    <s v="Italian"/>
    <n v="60"/>
    <n v="1"/>
    <s v="21mins"/>
    <n v="2287"/>
    <n v="75"/>
    <s v="Credit Card"/>
    <x v="1"/>
    <n v="3"/>
    <s v="In-House"/>
    <n v="67"/>
  </r>
  <r>
    <s v="ZOM-10025"/>
    <d v="2026-06-03T00:00:00"/>
    <s v="03-02-2024"/>
    <d v="1899-12-30T00:00:00"/>
    <s v="Kfc"/>
    <x v="3"/>
    <s v="Biryani"/>
    <n v="39"/>
    <n v="2.9"/>
    <s v="63 mins"/>
    <n v="2420"/>
    <n v="100"/>
    <s v="Net Banking"/>
    <x v="1"/>
    <n v="5"/>
    <s v="Rapido"/>
    <n v="43"/>
  </r>
  <r>
    <s v="ZOM-10026"/>
    <d v="2026-08-29T00:00:00"/>
    <s v="23-05-2024"/>
    <d v="1899-12-30T00:00:00"/>
    <s v="Dominos Pizza"/>
    <x v="7"/>
    <s v="North Indian"/>
    <n v="26"/>
    <n v="2.5"/>
    <s v="68mins"/>
    <n v="1518"/>
    <n v="150"/>
    <s v="Upi"/>
    <x v="2"/>
    <n v="4"/>
    <s v="Dunzo"/>
    <n v="100"/>
  </r>
  <r>
    <s v="ZOM-10027"/>
    <d v="2026-12-17T00:00:00"/>
    <s v="18-02-2024"/>
    <d v="1899-12-30T00:00:00"/>
    <s v="Paradise Biryani"/>
    <x v="0"/>
    <s v="Bakery"/>
    <n v="32"/>
    <n v="1.6"/>
    <s v="15mins"/>
    <n v="780"/>
    <n v="120"/>
    <s v="Debit Card"/>
    <x v="5"/>
    <n v="4"/>
    <s v="Rapido"/>
    <n v="63"/>
  </r>
  <r>
    <s v="ZOM-10028"/>
    <d v="2026-07-25T00:00:00"/>
    <s v="05-01-2024"/>
    <d v="1899-12-30T15:18:00"/>
    <s v="Wow! Momo"/>
    <x v="8"/>
    <s v="Mughlai"/>
    <n v="46"/>
    <n v="1.3"/>
    <s v="23mins"/>
    <n v="420"/>
    <n v="150"/>
    <s v="Debit Card"/>
    <x v="1"/>
    <n v="9"/>
    <s v="In-House"/>
    <n v="213"/>
  </r>
  <r>
    <s v="ZOM-10029"/>
    <d v="2026-05-26T00:00:00"/>
    <s v="05-07-2024"/>
    <d v="1899-12-30T00:00:00"/>
    <s v="Kfc"/>
    <x v="9"/>
    <s v="Desserts"/>
    <n v="39"/>
    <n v="2.6"/>
    <s v="69mins"/>
    <n v="2186"/>
    <n v="120"/>
    <s v="Debit Card"/>
    <x v="1"/>
    <n v="6"/>
    <s v="Zomato Valet"/>
    <n v="186"/>
  </r>
  <r>
    <s v="ZOM-10030"/>
    <d v="2026-08-01T00:00:00"/>
    <s v="06-06-2024"/>
    <d v="1899-12-30T23:02:00"/>
    <s v="Bik@Nerv@L@"/>
    <x v="5"/>
    <s v="North Indian"/>
    <n v="65"/>
    <n v="1.1000000000000001"/>
    <s v="42mins"/>
    <n v="1015"/>
    <n v="0.2"/>
    <s v="Wallet"/>
    <x v="1"/>
    <n v="2"/>
    <s v="Dunzo"/>
    <n v="120"/>
  </r>
  <r>
    <s v="ZOM-10031"/>
    <d v="2026-12-30T00:00:00"/>
    <s v="29-03-2024"/>
    <d v="1899-12-30T00:00:00"/>
    <s v="Faasos"/>
    <x v="7"/>
    <s v="Chinese"/>
    <n v="38"/>
    <n v="3"/>
    <s v="31mins"/>
    <n v="1025"/>
    <n v="150"/>
    <s v="Debit Card"/>
    <x v="1"/>
    <n v="7"/>
    <s v="Rapido"/>
    <n v="16"/>
  </r>
  <r>
    <s v="ZOM-10032"/>
    <d v="2026-08-19T00:00:00"/>
    <s v="07-06-2024"/>
    <d v="1899-12-30T00:00:00"/>
    <s v="Kfc"/>
    <x v="8"/>
    <s v="Chinese"/>
    <n v="50"/>
    <n v="4.0999999999999996"/>
    <s v="33mins"/>
    <n v="682"/>
    <n v="0.6"/>
    <s v="Credit Card"/>
    <x v="1"/>
    <n v="10"/>
    <s v="In-House"/>
    <n v="205"/>
  </r>
  <r>
    <s v="ZOM-10033"/>
    <d v="2026-09-29T00:00:00"/>
    <s v="23-04-2024"/>
    <d v="1899-12-30T00:00:00"/>
    <s v="Burger King"/>
    <x v="0"/>
    <s v="South Indian"/>
    <n v="65"/>
    <n v="2.8"/>
    <s v="39mins"/>
    <n v="885"/>
    <n v="0.1"/>
    <s v="Cash On Delivery"/>
    <x v="1"/>
    <n v="8"/>
    <s v="Grab"/>
    <n v="40"/>
  </r>
  <r>
    <s v="ZOM-10034"/>
    <d v="2026-10-02T00:00:00"/>
    <s v="22-06-2024"/>
    <d v="1899-12-30T00:00:00"/>
    <s v="Faasos"/>
    <x v="7"/>
    <s v="Bakery"/>
    <n v="40"/>
    <n v="3.6"/>
    <s v="31mins"/>
    <n v="1536"/>
    <n v="0.5"/>
    <s v="Wallet"/>
    <x v="1"/>
    <n v="1"/>
    <s v="Dunzo"/>
    <n v="33"/>
  </r>
  <r>
    <s v="ZOM-10035"/>
    <d v="2026-06-12T00:00:00"/>
    <s v="09-02-2024"/>
    <d v="1899-12-30T00:00:00"/>
    <s v="Haldiram'S"/>
    <x v="3"/>
    <s v="Fast Food"/>
    <n v="28"/>
    <n v="1.2"/>
    <s v="45mins"/>
    <n v="2428"/>
    <n v="100"/>
    <s v="Credit Card"/>
    <x v="1"/>
    <n v="10"/>
    <s v="Grab"/>
    <n v="46"/>
  </r>
  <r>
    <s v="ZOM-10036"/>
    <d v="2026-11-03T00:00:00"/>
    <s v="03-06-2024"/>
    <d v="1899-12-30T00:00:00"/>
    <s v="Bikanervala"/>
    <x v="8"/>
    <s v="Biryani"/>
    <n v="32"/>
    <n v="4.5"/>
    <s v="68mins"/>
    <n v="247"/>
    <n v="0.1"/>
    <s v="Debit Card"/>
    <x v="2"/>
    <n v="8"/>
    <s v="In-House"/>
    <n v="75"/>
  </r>
  <r>
    <s v="ORD_113"/>
    <d v="2026-12-16T00:00:00"/>
    <s v="08-02-2024"/>
    <d v="1899-12-30T00:00:00"/>
    <s v="Chai Point"/>
    <x v="0"/>
    <s v="South Indian"/>
    <n v="18"/>
    <n v="2"/>
    <s v="42 mins"/>
    <n v="124"/>
    <n v="50"/>
    <s v="Wallet"/>
    <x v="1"/>
    <n v="1"/>
    <s v="Grab"/>
    <n v="48"/>
  </r>
  <r>
    <s v="ZOM-10038"/>
    <d v="2026-03-02T00:00:00"/>
    <s v="18-01-2024"/>
    <d v="1899-12-30T00:00:00"/>
    <s v="Faasos"/>
    <x v="0"/>
    <s v="Mughlai"/>
    <n v="63"/>
    <n v="2.8"/>
    <s v="20mins"/>
    <n v="2003"/>
    <n v="0.2"/>
    <s v="Net Banking"/>
    <x v="1"/>
    <n v="1"/>
    <s v="In-House"/>
    <n v="41"/>
  </r>
  <r>
    <s v="ZOM-10039"/>
    <d v="2026-02-20T00:00:00"/>
    <s v="08-04-2024"/>
    <d v="1899-12-30T00:00:00"/>
    <s v="Paradise Biryani"/>
    <x v="9"/>
    <s v="Bakery"/>
    <n v="38"/>
    <n v="2.2000000000000002"/>
    <s v="69mins"/>
    <n v="517"/>
    <n v="150"/>
    <s v="Debit Card"/>
    <x v="1"/>
    <n v="3"/>
    <s v="Zomato Valet"/>
    <m/>
  </r>
  <r>
    <s v="ZOM-10040"/>
    <d v="2026-04-19T00:00:00"/>
    <s v="03-04-2024"/>
    <d v="1899-12-30T00:00:00"/>
    <s v="Unknown"/>
    <x v="4"/>
    <s v="South Indian"/>
    <n v="33"/>
    <n v="1.1000000000000001"/>
    <s v="48 mins"/>
    <n v="1041"/>
    <n v="0.2"/>
    <s v="Wallet"/>
    <x v="1"/>
    <n v="3"/>
    <s v="In-House"/>
    <n v="145"/>
  </r>
  <r>
    <s v="ZOM-10041"/>
    <d v="2026-12-27T00:00:00"/>
    <s v="17-01-2024"/>
    <d v="1899-12-30T00:00:00"/>
    <s v="Burger King"/>
    <x v="3"/>
    <s v="Fast Food"/>
    <n v="47"/>
    <n v="3.2"/>
    <s v="26mins"/>
    <n v="276"/>
    <n v="100"/>
    <s v="Net Banking"/>
    <x v="3"/>
    <n v="9"/>
    <s v="Dunzo"/>
    <n v="102"/>
  </r>
  <r>
    <s v="ZOM-10042"/>
    <d v="2026-03-19T00:00:00"/>
    <s v="08-05-2024"/>
    <d v="1899-12-30T00:00:00"/>
    <s v="Wow! Momo"/>
    <x v="3"/>
    <s v="South Indian"/>
    <n v="37"/>
    <n v="1.4"/>
    <s v="34mins"/>
    <n v="527"/>
    <n v="75"/>
    <s v="Net Banking"/>
    <x v="1"/>
    <n v="10"/>
    <s v="Unknown"/>
    <n v="213"/>
  </r>
  <r>
    <s v="ZOM-10043"/>
    <d v="2026-11-17T00:00:00"/>
    <s v="03-03-2024"/>
    <d v="1899-12-30T00:00:00"/>
    <s v="Haldiram'S"/>
    <x v="3"/>
    <s v="Desserts"/>
    <n v="38"/>
    <n v="1.5"/>
    <s v="33mins"/>
    <n v="350"/>
    <n v="0.6"/>
    <s v="Cash On Delivery"/>
    <x v="2"/>
    <n v="3"/>
    <s v="Grab"/>
    <n v="210"/>
  </r>
  <r>
    <s v="ZOM-10044"/>
    <d v="2026-07-06T00:00:00"/>
    <s v="27-04-2024"/>
    <d v="1899-12-30T00:00:00"/>
    <s v="Unknown"/>
    <x v="5"/>
    <s v="Mughlai, South Indian"/>
    <n v="34"/>
    <n v="4.0999999999999996"/>
    <s v="66mins"/>
    <n v="242"/>
    <n v="0.2"/>
    <s v="Upi"/>
    <x v="1"/>
    <n v="7"/>
    <s v="Dunzo"/>
    <n v="230"/>
  </r>
  <r>
    <s v="ZOM-10045"/>
    <d v="2026-08-26T00:00:00"/>
    <s v="08-05-2024"/>
    <d v="1899-12-30T00:00:00"/>
    <s v="Barbeque Nation"/>
    <x v="8"/>
    <s v="Italian"/>
    <n v="50"/>
    <n v="3.8"/>
    <s v="17mins"/>
    <n v="997"/>
    <n v="120"/>
    <s v="Debit Card"/>
    <x v="1"/>
    <n v="10"/>
    <s v="Rapido"/>
    <n v="79"/>
  </r>
  <r>
    <s v="ZOM-10046"/>
    <d v="2026-08-23T00:00:00"/>
    <s v="07-04-2024"/>
    <d v="1899-12-30T00:00:00"/>
    <s v="Unknown"/>
    <x v="9"/>
    <s v="Italian"/>
    <n v="65"/>
    <n v="3.8"/>
    <s v="56mins"/>
    <n v="2496"/>
    <n v="0.15"/>
    <s v="Cash On Delivery"/>
    <x v="2"/>
    <n v="9"/>
    <s v="Dunzo"/>
    <n v="18"/>
  </r>
  <r>
    <s v="ZOM-10047"/>
    <d v="2026-08-27T00:00:00"/>
    <s v="22-03-2024"/>
    <d v="1899-12-30T00:00:00"/>
    <s v="Behrouz Biryani"/>
    <x v="7"/>
    <s v="Biryani"/>
    <n v="59"/>
    <n v="2.9"/>
    <s v="49 mins"/>
    <n v="765"/>
    <n v="0.1"/>
    <s v="Net Banking"/>
    <x v="1"/>
    <n v="6"/>
    <s v="In-House"/>
    <n v="35"/>
  </r>
  <r>
    <s v="ZOM-10048"/>
    <d v="2026-11-28T00:00:00"/>
    <s v="16-06-2024"/>
    <d v="1899-12-30T00:00:00"/>
    <s v="Dominos Pizza"/>
    <x v="9"/>
    <s v="North Indian"/>
    <n v="20"/>
    <n v="2.6"/>
    <s v="52mins"/>
    <n v="500"/>
    <n v="0"/>
    <s v="Debit Card"/>
    <x v="1"/>
    <n v="5"/>
    <s v="Shadowfax"/>
    <n v="161"/>
  </r>
  <r>
    <s v="ORD_121"/>
    <d v="2026-07-18T00:00:00"/>
    <s v="03-16-2024"/>
    <d v="1899-12-30T19:22:00"/>
    <s v="Dominos Pizza"/>
    <x v="8"/>
    <s v="Fast Food"/>
    <n v="46"/>
    <n v="4.8"/>
    <s v="16mins"/>
    <n v="742"/>
    <n v="0.1"/>
    <s v="Cash On Delivery"/>
    <x v="2"/>
    <n v="6"/>
    <s v="Rapido"/>
    <n v="78"/>
  </r>
  <r>
    <s v="ZOM-10050"/>
    <d v="2026-09-24T00:00:00"/>
    <s v="28-06-2024"/>
    <d v="1899-12-30T00:00:00"/>
    <s v="Wow! Momo"/>
    <x v="10"/>
    <s v="Desserts"/>
    <n v="50"/>
    <n v="3.1"/>
    <s v="69 mins"/>
    <n v="1358"/>
    <n v="0.6"/>
    <s v="Cash On Delivery"/>
    <x v="1"/>
    <n v="9"/>
    <s v="Grab"/>
    <n v="73"/>
  </r>
  <r>
    <s v="ZOM-10000"/>
    <d v="2026-09-14T00:00:00"/>
    <s v="25-02-2024"/>
    <d v="1899-12-30T00:00:00"/>
    <s v="Subway"/>
    <x v="9"/>
    <s v="Fast Food"/>
    <n v="44"/>
    <n v="4.5999999999999996"/>
    <s v="63mins"/>
    <n v="1014"/>
    <n v="120"/>
    <s v="Credit Card"/>
    <x v="1"/>
    <n v="1"/>
    <s v="Zomato Valet"/>
    <n v="157"/>
  </r>
  <r>
    <s v="ZOM-10052"/>
    <d v="2026-01-24T00:00:00"/>
    <s v="27-04-2024"/>
    <d v="1899-12-30T00:00:00"/>
    <s v="Dominos Pizza"/>
    <x v="7"/>
    <s v="Chinese"/>
    <n v="63"/>
    <n v="2"/>
    <s v="15 mins"/>
    <n v="1165"/>
    <n v="0"/>
    <s v="Credit Card"/>
    <x v="1"/>
    <n v="6"/>
    <s v="Shadowfax"/>
    <n v="138"/>
  </r>
  <r>
    <s v="ZOM-10053"/>
    <d v="2026-10-08T00:00:00"/>
    <s v="05-31-2024"/>
    <d v="1899-12-30T05:58:00"/>
    <s v="Subway"/>
    <x v="7"/>
    <s v="Fast Food"/>
    <n v="32"/>
    <n v="3.8"/>
    <s v="22mins"/>
    <n v="1458"/>
    <n v="50"/>
    <s v="Cash On Delivery"/>
    <x v="1"/>
    <n v="4"/>
    <s v="Zomato Valet"/>
    <n v="119"/>
  </r>
  <r>
    <s v="ZOM-10054"/>
    <d v="2026-06-07T00:00:00"/>
    <s v="04-07-2024"/>
    <d v="1899-12-30T00:00:00"/>
    <s v="Paradise Biryani"/>
    <x v="6"/>
    <s v="Mughlai"/>
    <n v="33"/>
    <n v="4.0999999999999996"/>
    <s v="60mins"/>
    <n v="854"/>
    <n v="100"/>
    <s v="Upi"/>
    <x v="2"/>
    <n v="10"/>
    <s v="Shadowfax"/>
    <n v="103"/>
  </r>
  <r>
    <s v="ZOM-10055"/>
    <d v="2026-06-02T00:00:00"/>
    <s v="20-02-2024"/>
    <d v="1899-12-30T00:00:00"/>
    <s v="Chai Point"/>
    <x v="5"/>
    <s v="Mughlai"/>
    <n v="52"/>
    <n v="4.7"/>
    <s v="22mins"/>
    <n v="1367"/>
    <n v="0"/>
    <s v="Wallet"/>
    <x v="3"/>
    <n v="1"/>
    <s v="Shadowfax"/>
    <n v="124"/>
  </r>
  <r>
    <s v="ZOM-10056"/>
    <d v="2026-09-16T00:00:00"/>
    <m/>
    <d v="1899-12-30T00:00:00"/>
    <s v="Wow! Momo"/>
    <x v="8"/>
    <s v="Italian"/>
    <n v="27"/>
    <n v="3.5"/>
    <s v="60mins"/>
    <n v="756"/>
    <n v="0.5"/>
    <s v="Cash On Delivery"/>
    <x v="1"/>
    <n v="2"/>
    <s v="Grab"/>
    <m/>
  </r>
  <r>
    <s v="ZOM-10058"/>
    <d v="2026-08-04T00:00:00"/>
    <s v="03-28-2024"/>
    <d v="1899-12-30T20:39:00"/>
    <s v="Chai Point"/>
    <x v="5"/>
    <s v="Street Food"/>
    <n v="23"/>
    <n v="2.2000000000000002"/>
    <s v="19 mins"/>
    <n v="315"/>
    <n v="150"/>
    <s v="Credit Card"/>
    <x v="1"/>
    <n v="2"/>
    <s v="Shadowfax"/>
    <n v="104"/>
  </r>
  <r>
    <s v="ZOM-10059"/>
    <d v="2026-04-16T00:00:00"/>
    <s v="21-05-2024"/>
    <d v="1899-12-30T00:00:00"/>
    <s v="Kfc"/>
    <x v="9"/>
    <s v="Chinese"/>
    <n v="37"/>
    <n v="1.6"/>
    <s v="32 mins"/>
    <n v="1122"/>
    <n v="0"/>
    <s v="Debit Card"/>
    <x v="1"/>
    <n v="7"/>
    <s v="Dunzo"/>
    <n v="205"/>
  </r>
  <r>
    <s v="ZOM-10060"/>
    <d v="2026-09-25T00:00:00"/>
    <s v="15-06-2024"/>
    <d v="1899-12-30T00:00:00"/>
    <s v="Kfc"/>
    <x v="7"/>
    <s v="Mughlai"/>
    <n v="43"/>
    <n v="4.7"/>
    <s v="49 mins"/>
    <n v="548"/>
    <n v="0"/>
    <s v="Wallet"/>
    <x v="2"/>
    <n v="7"/>
    <s v="In-House"/>
    <n v="0"/>
  </r>
  <r>
    <s v="ZOM-10061"/>
    <d v="2026-01-23T00:00:00"/>
    <s v="19-01-2024"/>
    <d v="1899-12-30T00:00:00"/>
    <s v="Paradise Biryani"/>
    <x v="7"/>
    <s v="Street Food"/>
    <n v="60"/>
    <n v="3.6"/>
    <s v="15 mins"/>
    <n v="2461"/>
    <n v="0.2"/>
    <s v="Cash On Delivery"/>
    <x v="1"/>
    <n v="6"/>
    <s v="Grab"/>
    <n v="148"/>
  </r>
  <r>
    <s v="ZOM-10062"/>
    <d v="2026-07-05T00:00:00"/>
    <s v="16-03-2024"/>
    <d v="1899-12-30T00:00:00"/>
    <s v="Haldiram'S"/>
    <x v="1"/>
    <s v="South Indian"/>
    <n v="63"/>
    <n v="4.4000000000000004"/>
    <s v="36mins"/>
    <n v="2333"/>
    <n v="120"/>
    <s v="Credit Card"/>
    <x v="1"/>
    <n v="7"/>
    <s v="Zomato Valet"/>
    <n v="68"/>
  </r>
  <r>
    <s v="ZOM-10000"/>
    <d v="2026-05-09T00:00:00"/>
    <s v="24-02-2024"/>
    <d v="1899-12-30T00:00:00"/>
    <s v="Behrouz Biryani"/>
    <x v="8"/>
    <s v="Biryani"/>
    <n v="42"/>
    <n v="3.3"/>
    <s v="73mins"/>
    <n v="1589"/>
    <n v="75"/>
    <s v="Net Banking"/>
    <x v="3"/>
    <n v="9"/>
    <s v="Grab"/>
    <n v="47"/>
  </r>
  <r>
    <s v="ZOM-10064"/>
    <d v="2026-03-15T00:00:00"/>
    <s v="14-06-2024"/>
    <d v="1899-12-30T00:00:00"/>
    <s v="Paradise Biryani"/>
    <x v="3"/>
    <s v="Italian"/>
    <n v="44"/>
    <n v="2.8"/>
    <s v="51 mins"/>
    <n v="193"/>
    <n v="0.2"/>
    <s v="Credit Card"/>
    <x v="1"/>
    <n v="9"/>
    <s v="Dunzo"/>
    <n v="171"/>
  </r>
  <r>
    <s v="ZOM-10065"/>
    <d v="2026-11-28T00:00:00"/>
    <s v="07-07-2024"/>
    <d v="1899-12-30T22:18:00"/>
    <s v="Burger King"/>
    <x v="9"/>
    <s v="Chinese"/>
    <n v="57"/>
    <n v="1.7"/>
    <s v="28 mins"/>
    <n v="2056"/>
    <n v="120"/>
    <s v="Debit Card"/>
    <x v="2"/>
    <n v="2"/>
    <s v="Shadowfax"/>
    <n v="223"/>
  </r>
  <r>
    <s v="ZOM-10066"/>
    <d v="2026-10-17T00:00:00"/>
    <s v="03-02-2024"/>
    <d v="1899-12-30T00:00:00"/>
    <s v="Kfc"/>
    <x v="10"/>
    <s v="South Indian"/>
    <n v="35"/>
    <n v="4.5"/>
    <s v="77mins"/>
    <n v="500"/>
    <n v="150"/>
    <s v="Upi"/>
    <x v="2"/>
    <n v="7"/>
    <s v="Shadowfax"/>
    <n v="14"/>
  </r>
  <r>
    <s v="ZOM-10067"/>
    <d v="2026-07-01T00:00:00"/>
    <s v="03-28-2024"/>
    <d v="1899-12-30T23:17:00"/>
    <s v="Bikanervala"/>
    <x v="4"/>
    <s v="Italian"/>
    <n v="28"/>
    <n v="4.5"/>
    <s v="38 mins"/>
    <n v="716"/>
    <n v="50"/>
    <s v="Upi"/>
    <x v="3"/>
    <n v="4"/>
    <s v="Grab"/>
    <n v="91"/>
  </r>
  <r>
    <s v="ZOM-10072"/>
    <d v="2026-04-07T00:00:00"/>
    <s v="22-03-2024"/>
    <d v="1899-12-30T00:00:00"/>
    <s v="Chai Point"/>
    <x v="8"/>
    <s v="Mughlai"/>
    <n v="47"/>
    <n v="2.5"/>
    <s v="51 mins"/>
    <n v="1987"/>
    <n v="0.2"/>
    <s v="Net Banking"/>
    <x v="1"/>
    <n v="0"/>
    <s v="Unknown"/>
    <n v="99"/>
  </r>
  <r>
    <s v="ORD_121"/>
    <d v="2026-04-24T00:00:00"/>
    <s v="01-01-2024"/>
    <d v="1899-12-30T00:00:00"/>
    <s v="Behrouz Biryani"/>
    <x v="1"/>
    <s v="Biryani"/>
    <n v="62"/>
    <n v="2.8"/>
    <s v="27mins"/>
    <n v="1323"/>
    <n v="0.6"/>
    <s v="Net Banking"/>
    <x v="2"/>
    <n v="6"/>
    <s v="Dunzo"/>
    <n v="231"/>
  </r>
  <r>
    <s v="ZOM-10074"/>
    <d v="2026-04-29T00:00:00"/>
    <s v="28-01-2024"/>
    <d v="1899-12-30T00:00:00"/>
    <s v="Kfc"/>
    <x v="5"/>
    <s v="Biryani"/>
    <n v="38"/>
    <n v="3.8"/>
    <s v="65mins"/>
    <n v="1342"/>
    <n v="0.15"/>
    <s v="Upi"/>
    <x v="1"/>
    <n v="3"/>
    <s v="Unknown"/>
    <n v="194"/>
  </r>
  <r>
    <s v="ZOM-10075"/>
    <d v="2026-02-04T00:00:00"/>
    <s v="05-04-2024"/>
    <d v="1899-12-30T00:00:00"/>
    <s v="H@Ldir@M'S"/>
    <x v="9"/>
    <s v="South Indian"/>
    <n v="18"/>
    <n v="1.7"/>
    <s v="65mins"/>
    <n v="1301"/>
    <n v="75"/>
    <s v="Credit Card"/>
    <x v="3"/>
    <n v="5"/>
    <s v="Grab"/>
    <n v="60"/>
  </r>
  <r>
    <s v="ZOM-10076"/>
    <d v="2026-11-04T00:00:00"/>
    <s v="05-14-2024"/>
    <d v="1899-12-30T08:30:00"/>
    <s v="Wow! Momo"/>
    <x v="8"/>
    <s v="Desserts"/>
    <n v="35"/>
    <n v="2.5"/>
    <s v="60mins"/>
    <n v="1945"/>
    <n v="0"/>
    <s v="Credit Card"/>
    <x v="1"/>
    <n v="7"/>
    <s v="Dunzo"/>
    <n v="23"/>
  </r>
  <r>
    <s v="ZOM-10077"/>
    <d v="2026-04-12T00:00:00"/>
    <m/>
    <d v="1899-12-30T00:00:00"/>
    <s v="Behrouz Biryani"/>
    <x v="1"/>
    <s v="North Indian"/>
    <n v="18"/>
    <n v="1.8"/>
    <s v="60 mins"/>
    <n v="542"/>
    <n v="0"/>
    <s v="Upi"/>
    <x v="1"/>
    <n v="6"/>
    <s v="In-House"/>
    <n v="47"/>
  </r>
  <r>
    <s v="ZOM-10078"/>
    <d v="2026-09-20T00:00:00"/>
    <s v="21-04-2024"/>
    <d v="1899-12-30T00:00:00"/>
    <s v="Faasos"/>
    <x v="10"/>
    <s v="Fast Food"/>
    <n v="18"/>
    <n v="4.8"/>
    <s v="19mins"/>
    <n v="553"/>
    <n v="120"/>
    <s v="Credit Card"/>
    <x v="2"/>
    <n v="3"/>
    <s v="In-House"/>
    <n v="154"/>
  </r>
  <r>
    <s v="ZOM-10079"/>
    <d v="2026-08-01T00:00:00"/>
    <s v="08-03-2024"/>
    <d v="1899-12-30T00:00:00"/>
    <s v="Haldiram'S"/>
    <x v="1"/>
    <s v="Mughlai"/>
    <n v="54"/>
    <n v="3.7"/>
    <s v="19 mins"/>
    <n v="500"/>
    <n v="0"/>
    <s v="Debit Card"/>
    <x v="1"/>
    <n v="2"/>
    <s v="Dunzo"/>
    <m/>
  </r>
  <r>
    <s v="ZOM-10080"/>
    <d v="2026-03-30T00:00:00"/>
    <s v="21-04-2024"/>
    <d v="1899-12-30T00:00:00"/>
    <s v="Kfc"/>
    <x v="8"/>
    <s v="North Indian"/>
    <n v="18"/>
    <n v="2.2000000000000002"/>
    <s v="76mins"/>
    <n v="500"/>
    <n v="0.2"/>
    <s v="Upi"/>
    <x v="1"/>
    <n v="9"/>
    <s v="Grab"/>
    <n v="42"/>
  </r>
  <r>
    <s v="ZOM-10081"/>
    <d v="2026-01-07T00:00:00"/>
    <s v="27-02-2024"/>
    <d v="1899-12-30T00:00:00"/>
    <s v="Barbeque Nation"/>
    <x v="8"/>
    <s v="North Indian"/>
    <n v="48"/>
    <n v="1.9"/>
    <s v="65mins"/>
    <n v="2269"/>
    <n v="120"/>
    <s v="Net Banking"/>
    <x v="1"/>
    <n v="4"/>
    <s v="Unknown"/>
    <n v="54"/>
  </r>
  <r>
    <s v="ZOM-10082"/>
    <d v="2026-07-19T00:00:00"/>
    <s v="07-02-2024"/>
    <d v="1899-12-30T00:00:00"/>
    <s v="Behrouz Biryani"/>
    <x v="7"/>
    <s v="North Indian"/>
    <n v="44"/>
    <n v="3.3"/>
    <s v="27mins"/>
    <n v="2321"/>
    <n v="0.2"/>
    <s v="Net Banking"/>
    <x v="1"/>
    <n v="7"/>
    <s v="Shadowfax"/>
    <n v="53"/>
  </r>
  <r>
    <s v="ZOM-10083"/>
    <d v="2026-09-05T00:00:00"/>
    <s v="13-01-2024"/>
    <d v="1899-12-30T00:00:00"/>
    <s v="Unknown"/>
    <x v="5"/>
    <s v="South Indian"/>
    <n v="38"/>
    <n v="2.7"/>
    <s v="39mins"/>
    <n v="1171"/>
    <n v="100"/>
    <s v="Net Banking"/>
    <x v="3"/>
    <n v="9"/>
    <s v="Unknown"/>
    <n v="16"/>
  </r>
  <r>
    <s v="ZOM-10084"/>
    <d v="2026-08-17T00:00:00"/>
    <s v="26-04-2024"/>
    <d v="1899-12-30T00:00:00"/>
    <s v="Behrouz Biryani"/>
    <x v="9"/>
    <s v="Mughlai"/>
    <n v="28"/>
    <n v="2"/>
    <s v="26mins"/>
    <n v="798"/>
    <n v="0.6"/>
    <s v="Credit Card"/>
    <x v="2"/>
    <n v="1"/>
    <s v="Grab"/>
    <m/>
  </r>
  <r>
    <s v="ZOM-10085"/>
    <d v="2026-04-02T00:00:00"/>
    <s v="19-03-2024"/>
    <d v="1899-12-30T00:00:00"/>
    <s v="Subway"/>
    <x v="8"/>
    <s v="Street Food"/>
    <n v="56"/>
    <n v="2.2000000000000002"/>
    <s v="19 mins"/>
    <n v="920"/>
    <n v="0.2"/>
    <s v="Debit Card"/>
    <x v="3"/>
    <n v="10"/>
    <s v="Grab"/>
    <n v="158"/>
  </r>
  <r>
    <s v="ZOM-10086"/>
    <d v="2026-05-19T00:00:00"/>
    <s v="17-04-2024"/>
    <d v="1899-12-30T00:00:00"/>
    <s v="Bikanervala"/>
    <x v="6"/>
    <s v="Desserts"/>
    <n v="29"/>
    <n v="2.9"/>
    <s v="38mins"/>
    <n v="2374"/>
    <n v="50"/>
    <s v="Debit Card"/>
    <x v="2"/>
    <n v="2"/>
    <s v="Grab"/>
    <n v="112"/>
  </r>
  <r>
    <s v="ZOM-10087"/>
    <d v="2026-04-12T00:00:00"/>
    <s v="31-01-2024"/>
    <d v="1899-12-30T00:00:00"/>
    <s v="Burger King"/>
    <x v="3"/>
    <s v="Mughlai"/>
    <n v="39"/>
    <n v="1.7"/>
    <s v="15mins"/>
    <n v="1196"/>
    <n v="120"/>
    <s v="Credit Card"/>
    <x v="1"/>
    <n v="8"/>
    <s v="Unknown"/>
    <n v="96"/>
  </r>
  <r>
    <s v="ZOM-10088"/>
    <d v="2026-06-08T00:00:00"/>
    <s v="12-07-2024"/>
    <d v="1899-12-30T00:00:00"/>
    <s v="Unknown"/>
    <x v="6"/>
    <s v="South Indian"/>
    <n v="37"/>
    <n v="2.8"/>
    <s v="58mins"/>
    <n v="1152"/>
    <n v="0.5"/>
    <s v="Debit Card"/>
    <x v="5"/>
    <n v="3"/>
    <s v="Shadowfax"/>
    <n v="24"/>
  </r>
  <r>
    <s v="ORD_140"/>
    <d v="2026-05-27T00:00:00"/>
    <s v="03-06-2024"/>
    <d v="1899-12-30T18:15:00"/>
    <s v="Ch@I P0Int"/>
    <x v="9"/>
    <s v="Mughlai"/>
    <n v="18"/>
    <n v="1.4"/>
    <s v="32mins"/>
    <n v="1117"/>
    <n v="120"/>
    <s v="Upi"/>
    <x v="1"/>
    <n v="4"/>
    <s v="Dunzo"/>
    <n v="67"/>
  </r>
  <r>
    <s v="ZOM-10090"/>
    <d v="2026-12-30T00:00:00"/>
    <m/>
    <d v="1899-12-30T00:00:00"/>
    <s v="Faasos"/>
    <x v="9"/>
    <s v="South Indian"/>
    <n v="34"/>
    <n v="1.4"/>
    <s v="17 mins"/>
    <n v="2148"/>
    <n v="100"/>
    <s v="Wallet"/>
    <x v="1"/>
    <n v="6"/>
    <s v="Grab"/>
    <n v="162"/>
  </r>
  <r>
    <s v="ZOM-10091"/>
    <d v="2026-06-27T00:00:00"/>
    <s v="12-04-2024"/>
    <d v="1899-12-30T00:00:00"/>
    <s v="Subway"/>
    <x v="4"/>
    <s v="Fast Food"/>
    <n v="46"/>
    <n v="2.5"/>
    <s v="18mins"/>
    <n v="2173"/>
    <n v="50"/>
    <s v="Cash On Delivery"/>
    <x v="1"/>
    <n v="0"/>
    <s v="In-House"/>
    <n v="159"/>
  </r>
  <r>
    <s v="ZOM-10092"/>
    <d v="2026-10-13T00:00:00"/>
    <s v="05-12-2024"/>
    <d v="1899-12-30T17:51:00"/>
    <s v="Chai Point"/>
    <x v="7"/>
    <s v="Bakery"/>
    <n v="49"/>
    <n v="1.3"/>
    <s v="45mins"/>
    <n v="908"/>
    <n v="120"/>
    <s v="Wallet"/>
    <x v="1"/>
    <n v="8"/>
    <s v="Dunzo"/>
    <n v="136"/>
  </r>
  <r>
    <s v="ZOM-10093"/>
    <d v="2026-03-01T00:00:00"/>
    <s v="01-01-2024"/>
    <d v="1899-12-30T03:06:00"/>
    <s v="Chai Point"/>
    <x v="1"/>
    <s v="Chinese"/>
    <n v="63"/>
    <n v="3.9"/>
    <s v="63 mins"/>
    <n v="500"/>
    <n v="0.2"/>
    <s v="Net Banking"/>
    <x v="3"/>
    <n v="7"/>
    <s v="Zomato Valet"/>
    <n v="40"/>
  </r>
  <r>
    <s v="ZOM-10094"/>
    <d v="2026-08-07T00:00:00"/>
    <s v="18-02-2024"/>
    <d v="1899-12-30T00:00:00"/>
    <s v="Unknown"/>
    <x v="10"/>
    <s v="Bakery"/>
    <n v="21"/>
    <n v="2.7"/>
    <s v="80mins"/>
    <n v="1979"/>
    <n v="50"/>
    <s v="Wallet"/>
    <x v="1"/>
    <n v="10"/>
    <s v="In-House"/>
    <n v="238"/>
  </r>
  <r>
    <s v="ZOM-10095"/>
    <d v="2026-04-27T00:00:00"/>
    <s v="04-15-2024"/>
    <d v="1899-12-30T20:33:00"/>
    <s v="Behrouz Biryani"/>
    <x v="8"/>
    <s v="Biryani"/>
    <n v="29"/>
    <n v="3.8"/>
    <s v="29mins"/>
    <n v="1931"/>
    <n v="150"/>
    <s v="Wallet"/>
    <x v="2"/>
    <n v="0"/>
    <s v="Unknown"/>
    <n v="32"/>
  </r>
  <r>
    <s v="ZOM-10096"/>
    <d v="2026-12-31T00:00:00"/>
    <s v="02-11-2024"/>
    <d v="1899-12-30T09:46:00"/>
    <s v="Barbeque Nation"/>
    <x v="0"/>
    <s v="Street Food"/>
    <n v="62"/>
    <n v="3.7"/>
    <s v="64mins"/>
    <n v="1111"/>
    <n v="120"/>
    <s v="Unknown"/>
    <x v="2"/>
    <n v="8"/>
    <s v="Shadowfax"/>
    <n v="134"/>
  </r>
  <r>
    <s v="ZOM-10097"/>
    <d v="2026-10-09T00:00:00"/>
    <s v="17-07-2024"/>
    <d v="1899-12-30T00:00:00"/>
    <s v="Barbeque Nation"/>
    <x v="8"/>
    <s v="Biryani"/>
    <n v="39"/>
    <n v="4.7"/>
    <s v="15 mins"/>
    <n v="2330"/>
    <n v="150"/>
    <s v="Net Banking"/>
    <x v="1"/>
    <n v="4"/>
    <s v="Shadowfax"/>
    <n v="27"/>
  </r>
  <r>
    <s v="ZOM-10098"/>
    <d v="2026-08-14T00:00:00"/>
    <s v="24-02-2024"/>
    <d v="1899-12-30T00:00:00"/>
    <s v="Kfc"/>
    <x v="8"/>
    <s v="Desserts"/>
    <n v="20"/>
    <n v="2.2999999999999998"/>
    <s v="29mins"/>
    <n v="1038"/>
    <n v="0.6"/>
    <s v="Debit Card"/>
    <x v="2"/>
    <n v="2"/>
    <s v="Shadowfax"/>
    <n v="96"/>
  </r>
  <r>
    <s v="ZOM-10099"/>
    <d v="2026-04-01T00:00:00"/>
    <s v="24-02-2024"/>
    <d v="1899-12-30T00:00:00"/>
    <s v="Dominos Pizza"/>
    <x v="9"/>
    <s v="Unknown"/>
    <n v="29"/>
    <n v="3.2"/>
    <s v="44mins"/>
    <n v="2288"/>
    <n v="100"/>
    <s v="Cash On Delivery"/>
    <x v="1"/>
    <n v="10"/>
    <s v="Zomato Valet"/>
    <n v="226"/>
  </r>
  <r>
    <s v="ZOM-10101"/>
    <d v="2026-06-11T00:00:00"/>
    <s v="01-30-2024"/>
    <d v="1899-12-30T06:11:00"/>
    <s v="Chai Point"/>
    <x v="1"/>
    <s v="South Indian"/>
    <n v="40"/>
    <n v="3.6"/>
    <s v="54 mins"/>
    <n v="286"/>
    <n v="75"/>
    <s v="Net Banking"/>
    <x v="1"/>
    <n v="1"/>
    <s v="Dunzo"/>
    <n v="164"/>
  </r>
  <r>
    <s v="ZOM-10102"/>
    <d v="2026-09-30T00:00:00"/>
    <s v="06-07-2024"/>
    <d v="1899-12-30T00:00:00"/>
    <s v="Paradise Biryani"/>
    <x v="10"/>
    <s v="Street Food"/>
    <n v="19"/>
    <n v="3.5"/>
    <s v="66mins"/>
    <n v="1951"/>
    <n v="0"/>
    <s v="Debit Card"/>
    <x v="3"/>
    <n v="5"/>
    <s v="Shadowfax"/>
    <n v="51"/>
  </r>
  <r>
    <s v="ZOM-10103"/>
    <d v="2026-08-13T00:00:00"/>
    <s v="06-06-2024"/>
    <d v="1899-12-30T05:39:00"/>
    <s v="Barbeque Nation"/>
    <x v="4"/>
    <s v="Chinese"/>
    <n v="60"/>
    <n v="4.5999999999999996"/>
    <s v="75mins"/>
    <n v="2305"/>
    <n v="0"/>
    <s v="Wallet"/>
    <x v="2"/>
    <n v="3"/>
    <s v="Grab"/>
    <n v="136"/>
  </r>
  <r>
    <s v="ZOM-10104"/>
    <d v="2026-11-11T00:00:00"/>
    <s v="27-02-2024"/>
    <d v="1899-12-30T00:00:00"/>
    <s v="Kfc"/>
    <x v="4"/>
    <s v="Biryani"/>
    <n v="25"/>
    <n v="2.7"/>
    <s v="29mins"/>
    <n v="1266"/>
    <n v="0.15"/>
    <s v="Wallet"/>
    <x v="1"/>
    <n v="9"/>
    <s v="Zomato Valet"/>
    <n v="25"/>
  </r>
  <r>
    <s v="ZOM-10106"/>
    <d v="2026-08-03T00:00:00"/>
    <s v="31-01-2024"/>
    <d v="1899-12-30T00:00:00"/>
    <s v="Barbeque Nation"/>
    <x v="7"/>
    <s v="Street Food"/>
    <n v="40"/>
    <n v="4"/>
    <s v="27mins"/>
    <n v="1133"/>
    <n v="0"/>
    <s v="Debit Card"/>
    <x v="1"/>
    <n v="2"/>
    <s v="Unknown"/>
    <n v="136"/>
  </r>
  <r>
    <s v="ZOM-10107"/>
    <d v="2026-08-19T00:00:00"/>
    <s v="02-09-2024"/>
    <d v="1899-12-30T14:32:00"/>
    <s v="Burger King"/>
    <x v="7"/>
    <s v="Mughlai"/>
    <n v="54"/>
    <n v="3.8"/>
    <s v="30mins"/>
    <n v="1900"/>
    <n v="50"/>
    <s v="Upi"/>
    <x v="1"/>
    <n v="7"/>
    <s v="Unknown"/>
    <n v="50"/>
  </r>
  <r>
    <s v="ZOM-10108"/>
    <d v="2026-10-03T00:00:00"/>
    <s v="17-01-2024"/>
    <d v="1899-12-30T00:00:00"/>
    <s v="Haldiram'S"/>
    <x v="8"/>
    <s v="Fast Food"/>
    <n v="51"/>
    <n v="1.1000000000000001"/>
    <s v="44mins"/>
    <n v="1584"/>
    <n v="0.1"/>
    <s v="Credit Card"/>
    <x v="1"/>
    <n v="0"/>
    <s v="In-House"/>
    <n v="14"/>
  </r>
  <r>
    <s v="ZOM-10109"/>
    <d v="2026-06-12T00:00:00"/>
    <s v="03-11-2024"/>
    <d v="1899-12-30T07:43:00"/>
    <s v="Dominos Pizza"/>
    <x v="4"/>
    <s v="Biryani"/>
    <n v="52"/>
    <n v="3.3"/>
    <s v="63mins"/>
    <n v="1460"/>
    <n v="100"/>
    <s v="Wallet"/>
    <x v="1"/>
    <n v="4"/>
    <s v="In-House"/>
    <n v="56"/>
  </r>
  <r>
    <s v="ZOM-10110"/>
    <d v="2026-09-06T00:00:00"/>
    <s v="08-03-2024"/>
    <d v="1899-12-30T00:00:00"/>
    <s v="Subway"/>
    <x v="1"/>
    <s v="Fast Food"/>
    <n v="30"/>
    <n v="2"/>
    <s v="44mins"/>
    <n v="603"/>
    <n v="50"/>
    <s v="Upi"/>
    <x v="1"/>
    <n v="1"/>
    <s v="Grab"/>
    <n v="216"/>
  </r>
  <r>
    <s v="ZOM-10111"/>
    <d v="2026-01-23T00:00:00"/>
    <s v="16-02-2024"/>
    <d v="1899-12-30T00:00:00"/>
    <s v="Dominos Pizza"/>
    <x v="11"/>
    <s v="Desserts"/>
    <n v="62"/>
    <n v="2.2999999999999998"/>
    <s v="15 mins"/>
    <n v="1724"/>
    <n v="0.2"/>
    <s v="Net Banking"/>
    <x v="2"/>
    <n v="8"/>
    <s v="Grab"/>
    <n v="43"/>
  </r>
  <r>
    <s v="ZOM-10112"/>
    <d v="2026-01-03T00:00:00"/>
    <s v="02-03-2024"/>
    <d v="1899-12-30T19:39:00"/>
    <s v="Haldiram'S"/>
    <x v="6"/>
    <s v="North Indian"/>
    <n v="51"/>
    <n v="2.2999999999999998"/>
    <s v="47mins"/>
    <n v="1458"/>
    <n v="0.15"/>
    <s v="Upi"/>
    <x v="1"/>
    <n v="9"/>
    <s v="Rapido"/>
    <n v="73"/>
  </r>
  <r>
    <s v="ZOM-10000"/>
    <d v="2026-06-17T00:00:00"/>
    <s v="07-05-2024"/>
    <d v="1899-12-30T08:00:00"/>
    <s v="Behrouz Biryani"/>
    <x v="9"/>
    <s v="Unknown"/>
    <n v="23"/>
    <n v="3.5"/>
    <s v="74 mins"/>
    <n v="2227"/>
    <n v="0.2"/>
    <s v="Cash On Delivery"/>
    <x v="1"/>
    <n v="8"/>
    <s v="Grab"/>
    <n v="10"/>
  </r>
  <r>
    <s v="ZOM-10115"/>
    <d v="2026-07-01T00:00:00"/>
    <s v="15-02-2024"/>
    <d v="1899-12-30T00:00:00"/>
    <s v="Faasos"/>
    <x v="8"/>
    <s v="South Indian"/>
    <n v="18"/>
    <n v="4"/>
    <s v="33 mins"/>
    <n v="500"/>
    <n v="100"/>
    <s v="Unknown"/>
    <x v="1"/>
    <n v="9"/>
    <s v="Dunzo"/>
    <n v="64"/>
  </r>
  <r>
    <s v="ZOM-10116"/>
    <d v="2026-10-02T00:00:00"/>
    <s v="06-04-2024"/>
    <d v="1899-12-30T00:00:00"/>
    <s v="Subway"/>
    <x v="5"/>
    <s v="Italian, Fast Food"/>
    <n v="58"/>
    <n v="2.8"/>
    <s v="77mins"/>
    <n v="500"/>
    <n v="0"/>
    <s v="Unknown"/>
    <x v="1"/>
    <n v="1"/>
    <s v="Shadowfax"/>
    <n v="8"/>
  </r>
  <r>
    <s v="ZOM-10117"/>
    <d v="2026-08-02T00:00:00"/>
    <s v="04-05-2024"/>
    <d v="1899-12-30T15:49:00"/>
    <s v="Bikanervala"/>
    <x v="7"/>
    <s v="Biryani"/>
    <n v="33"/>
    <n v="4.9000000000000004"/>
    <s v="17 mins"/>
    <n v="594"/>
    <n v="0"/>
    <s v="Wallet"/>
    <x v="2"/>
    <n v="9"/>
    <s v="Rapido"/>
    <n v="19"/>
  </r>
  <r>
    <s v="ZOM-10118"/>
    <d v="2026-02-04T00:00:00"/>
    <s v="01-29-2024"/>
    <d v="1899-12-30T08:03:00"/>
    <s v="Unknown"/>
    <x v="5"/>
    <s v="North Indian"/>
    <n v="23"/>
    <n v="3"/>
    <s v="58mins"/>
    <n v="2335"/>
    <n v="0"/>
    <s v="Debit Card"/>
    <x v="3"/>
    <n v="6"/>
    <s v="Grab"/>
    <n v="45"/>
  </r>
  <r>
    <s v="ORD_145"/>
    <d v="2026-12-18T00:00:00"/>
    <s v="22-04-2024"/>
    <d v="1899-12-30T00:00:00"/>
    <s v="Behrouz Biryani"/>
    <x v="1"/>
    <s v="Street Food"/>
    <n v="52"/>
    <n v="1"/>
    <s v="63mins"/>
    <n v="1866"/>
    <n v="75"/>
    <s v="Net Banking"/>
    <x v="1"/>
    <n v="9"/>
    <s v="Shadowfax"/>
    <n v="132"/>
  </r>
  <r>
    <s v="ZOM-10120"/>
    <d v="2026-06-07T00:00:00"/>
    <s v="03-02-2024"/>
    <d v="1899-12-30T00:00:00"/>
    <s v="Dominos Pizza"/>
    <x v="7"/>
    <s v="Biryani"/>
    <n v="18"/>
    <n v="3.6"/>
    <s v="25mins"/>
    <n v="1234"/>
    <n v="0.5"/>
    <s v="Debit Card"/>
    <x v="1"/>
    <n v="4"/>
    <s v="Rapido"/>
    <n v="95"/>
  </r>
  <r>
    <s v="ZOM-10121"/>
    <d v="2026-10-13T00:00:00"/>
    <s v="09-06-2024"/>
    <d v="1899-12-30T00:00:00"/>
    <s v="Wow! Momo"/>
    <x v="1"/>
    <s v="Fast Food"/>
    <n v="56"/>
    <n v="2.4"/>
    <s v="56mins"/>
    <n v="2131"/>
    <n v="150"/>
    <s v="Debit Card"/>
    <x v="1"/>
    <n v="8"/>
    <s v="Unknown"/>
    <n v="69"/>
  </r>
  <r>
    <s v="ZOM-10000"/>
    <d v="2026-01-11T00:00:00"/>
    <m/>
    <d v="1899-12-30T00:00:00"/>
    <s v="Dominos Pizza"/>
    <x v="5"/>
    <s v="Bakery, Desserts"/>
    <n v="34"/>
    <n v="3.3"/>
    <s v="66 mins"/>
    <n v="835"/>
    <n v="50"/>
    <s v="Wallet"/>
    <x v="1"/>
    <n v="2"/>
    <s v="Rapido"/>
    <n v="187"/>
  </r>
  <r>
    <s v="ZOM-10123"/>
    <d v="2026-11-26T00:00:00"/>
    <s v="26-03-2024"/>
    <d v="1899-12-30T00:00:00"/>
    <s v="Subway"/>
    <x v="10"/>
    <s v="North Indian, Street Food"/>
    <n v="38"/>
    <n v="1.9"/>
    <s v="61 mins"/>
    <n v="2494"/>
    <n v="120"/>
    <s v="Net Banking"/>
    <x v="3"/>
    <n v="1"/>
    <s v="Rapido"/>
    <n v="86"/>
  </r>
  <r>
    <s v="ZOM-10124"/>
    <d v="2026-05-29T00:00:00"/>
    <s v="23-05-2024"/>
    <d v="1899-12-30T00:00:00"/>
    <s v="Faasos"/>
    <x v="6"/>
    <s v="Bakery"/>
    <n v="38"/>
    <n v="3.6"/>
    <s v="36mins"/>
    <n v="2471"/>
    <n v="100"/>
    <s v="Net Banking"/>
    <x v="3"/>
    <n v="2"/>
    <s v="Zomato Valet"/>
    <n v="125"/>
  </r>
  <r>
    <s v="ZOM-10127"/>
    <d v="2026-05-21T00:00:00"/>
    <s v="20-03-2024"/>
    <d v="1899-12-30T00:00:00"/>
    <s v="Wow! Momo"/>
    <x v="6"/>
    <s v="Street Food"/>
    <n v="59"/>
    <n v="4.7"/>
    <s v="30mins"/>
    <n v="558"/>
    <n v="0.1"/>
    <s v="Debit Card"/>
    <x v="1"/>
    <n v="5"/>
    <s v="Shadowfax"/>
    <n v="19"/>
  </r>
  <r>
    <s v="ZOM-10128"/>
    <d v="2026-12-09T00:00:00"/>
    <s v="25-05-2024"/>
    <d v="1899-12-30T00:00:00"/>
    <s v="Dominos Pizza"/>
    <x v="1"/>
    <s v="Desserts"/>
    <n v="32"/>
    <n v="2.5"/>
    <s v="16mins"/>
    <n v="2323"/>
    <n v="0.15"/>
    <s v="Credit Card"/>
    <x v="1"/>
    <n v="4"/>
    <s v="Grab"/>
    <n v="163"/>
  </r>
  <r>
    <s v="ZOM-10129"/>
    <d v="2026-04-23T00:00:00"/>
    <s v="09-07-2024"/>
    <d v="1899-12-30T00:00:00"/>
    <s v="Wow! Momo"/>
    <x v="12"/>
    <s v="Chinese"/>
    <n v="51"/>
    <n v="4.9000000000000004"/>
    <s v="43 mins"/>
    <n v="1067"/>
    <n v="100"/>
    <s v="Credit Card"/>
    <x v="1"/>
    <n v="2"/>
    <s v="In-House"/>
    <n v="113"/>
  </r>
  <r>
    <s v="ZOM-10130"/>
    <d v="2026-11-24T00:00:00"/>
    <m/>
    <d v="1899-12-30T00:00:00"/>
    <s v="Paradise Biryani"/>
    <x v="5"/>
    <s v="Fast Food"/>
    <n v="41"/>
    <n v="3.8"/>
    <s v="80mins"/>
    <n v="1577"/>
    <n v="0"/>
    <s v="Credit Card"/>
    <x v="3"/>
    <n v="1"/>
    <s v="Grab"/>
    <n v="237"/>
  </r>
  <r>
    <s v="ZOM-10131"/>
    <d v="2026-10-28T00:00:00"/>
    <s v="02-21-2024"/>
    <d v="1899-12-30T00:07:00"/>
    <s v="Unknown"/>
    <x v="1"/>
    <s v="Mughlai"/>
    <n v="23"/>
    <n v="1"/>
    <s v="50mins"/>
    <n v="1595"/>
    <n v="0"/>
    <s v="Cash Card"/>
    <x v="1"/>
    <n v="2"/>
    <s v="Zomato Valet"/>
    <n v="27"/>
  </r>
  <r>
    <s v="ZOM-10132"/>
    <d v="2026-07-22T00:00:00"/>
    <s v="26-05-2024"/>
    <d v="1899-12-30T00:00:00"/>
    <s v="Paradise Biryani"/>
    <x v="5"/>
    <s v="Italian, Mughlai"/>
    <n v="62"/>
    <n v="2.2999999999999998"/>
    <s v="41mins"/>
    <n v="1776"/>
    <n v="0.6"/>
    <s v="Upi"/>
    <x v="2"/>
    <n v="10"/>
    <s v="Rapido"/>
    <n v="106"/>
  </r>
  <r>
    <s v="ZOM-10133"/>
    <d v="2026-05-04T00:00:00"/>
    <s v="16-02-2024"/>
    <d v="1899-12-30T00:00:00"/>
    <s v="Burger King"/>
    <x v="9"/>
    <s v="Italian"/>
    <n v="18"/>
    <n v="3.8"/>
    <s v="23mins"/>
    <n v="852"/>
    <n v="0.1"/>
    <s v="Upi"/>
    <x v="1"/>
    <n v="6"/>
    <s v="In-House"/>
    <n v="68"/>
  </r>
  <r>
    <s v="ZOM-10134"/>
    <d v="2026-01-25T00:00:00"/>
    <s v="17-05-2024"/>
    <d v="1899-12-30T00:00:00"/>
    <s v="Subway"/>
    <x v="10"/>
    <s v="Chinese"/>
    <n v="22"/>
    <n v="2.1"/>
    <s v="15 mins"/>
    <n v="2461"/>
    <n v="120"/>
    <s v="Net Banking"/>
    <x v="2"/>
    <n v="0"/>
    <s v="Grab"/>
    <n v="43"/>
  </r>
  <r>
    <s v="ZOM-10135"/>
    <d v="2026-06-21T00:00:00"/>
    <s v="14-02-2024"/>
    <d v="1899-12-30T00:00:00"/>
    <s v="Bik@Nerv@L@"/>
    <x v="1"/>
    <s v="Mughlai"/>
    <n v="24"/>
    <n v="4.8"/>
    <s v="31mins"/>
    <n v="500"/>
    <n v="0.6"/>
    <s v="Unknown"/>
    <x v="1"/>
    <n v="8"/>
    <s v="Zomato Valet"/>
    <m/>
  </r>
  <r>
    <s v="ZOM-10136"/>
    <d v="2026-09-07T00:00:00"/>
    <s v="23-02-2024"/>
    <d v="1899-12-30T00:00:00"/>
    <s v="Burger King"/>
    <x v="4"/>
    <s v="Street Food"/>
    <n v="27"/>
    <n v="4.2"/>
    <s v="36mins"/>
    <n v="290"/>
    <n v="0.5"/>
    <s v="Upi"/>
    <x v="1"/>
    <n v="10"/>
    <s v="Rapido"/>
    <n v="67"/>
  </r>
  <r>
    <s v="ZOM-10137"/>
    <d v="2026-08-12T00:00:00"/>
    <s v="13-07-2024"/>
    <d v="1899-12-30T00:00:00"/>
    <s v="Haldiram'S"/>
    <x v="1"/>
    <s v="Mughlai"/>
    <n v="34"/>
    <n v="2.6"/>
    <s v="57mins"/>
    <n v="1997"/>
    <n v="0"/>
    <s v="Upi"/>
    <x v="3"/>
    <n v="9"/>
    <s v="Zomato Valet"/>
    <n v="45"/>
  </r>
  <r>
    <s v="ZOM-10138"/>
    <d v="2026-06-14T00:00:00"/>
    <s v="28-04-2024"/>
    <d v="1899-12-30T00:00:00"/>
    <s v="Dominos Pizza"/>
    <x v="3"/>
    <s v="Italian"/>
    <n v="60"/>
    <n v="4.7"/>
    <s v="77mins"/>
    <n v="392"/>
    <n v="0.1"/>
    <s v="Cash On Delivery"/>
    <x v="1"/>
    <n v="6"/>
    <s v="Grab"/>
    <n v="8"/>
  </r>
  <r>
    <s v="ZOM-10139"/>
    <d v="2026-03-22T00:00:00"/>
    <s v="01-01-2024"/>
    <d v="1899-12-30T05:00:00"/>
    <s v="Paradise Biryani"/>
    <x v="3"/>
    <s v="Italian"/>
    <n v="57"/>
    <n v="2.6"/>
    <s v="33 mins"/>
    <n v="269"/>
    <n v="0"/>
    <s v="Wallet"/>
    <x v="2"/>
    <n v="7"/>
    <s v="In-House"/>
    <n v="46"/>
  </r>
  <r>
    <s v="ZOM-10140"/>
    <d v="2026-06-08T00:00:00"/>
    <s v="18-02-2024"/>
    <d v="1899-12-30T00:00:00"/>
    <s v="Kfc"/>
    <x v="11"/>
    <s v="North Indian"/>
    <n v="26"/>
    <n v="3.6"/>
    <s v="73mins"/>
    <n v="2247"/>
    <n v="120"/>
    <s v="Credit Card"/>
    <x v="1"/>
    <n v="10"/>
    <s v="Grab"/>
    <n v="86"/>
  </r>
  <r>
    <s v="ZOM-10141"/>
    <d v="2026-11-05T00:00:00"/>
    <s v="10-01-2024"/>
    <d v="1899-12-30T00:00:00"/>
    <s v="Kfc"/>
    <x v="8"/>
    <s v="Mughlai"/>
    <n v="58"/>
    <n v="4.8"/>
    <s v="55 mins"/>
    <n v="1403"/>
    <n v="75"/>
    <s v="Net Banking"/>
    <x v="1"/>
    <n v="5"/>
    <s v="Dunzo"/>
    <n v="117"/>
  </r>
  <r>
    <s v="ZOM-10142"/>
    <d v="2026-03-04T00:00:00"/>
    <s v="10-06-2024"/>
    <d v="1899-12-30T00:00:00"/>
    <s v="Chai Point"/>
    <x v="5"/>
    <s v="Biryani"/>
    <n v="65"/>
    <n v="1.7"/>
    <s v="34mins"/>
    <n v="1689"/>
    <n v="0.15"/>
    <s v="Cod"/>
    <x v="1"/>
    <n v="8"/>
    <s v="Grab"/>
    <n v="65"/>
  </r>
  <r>
    <s v="ZOM-10143"/>
    <d v="2026-12-01T00:00:00"/>
    <s v="03-29-2024"/>
    <d v="1899-12-30T01:51:00"/>
    <s v="Haldiram'S"/>
    <x v="8"/>
    <s v="Biryani"/>
    <n v="46"/>
    <n v="2.2999999999999998"/>
    <s v="20mins"/>
    <n v="352"/>
    <n v="0.5"/>
    <s v="Net Banking"/>
    <x v="2"/>
    <n v="8"/>
    <s v="In-House"/>
    <n v="114"/>
  </r>
  <r>
    <s v="ZOM-10144"/>
    <d v="2026-10-27T00:00:00"/>
    <s v="16-02-2024"/>
    <d v="1899-12-30T00:00:00"/>
    <s v="Unknown"/>
    <x v="11"/>
    <s v="South Indian"/>
    <n v="34"/>
    <n v="1.1000000000000001"/>
    <s v="75 mins"/>
    <n v="1534"/>
    <n v="0.6"/>
    <s v="Wallet"/>
    <x v="1"/>
    <n v="10"/>
    <s v="Shadowfax"/>
    <n v="4"/>
  </r>
  <r>
    <s v="ZOM-10145"/>
    <d v="2026-04-28T00:00:00"/>
    <s v="03-11-2024"/>
    <d v="1899-12-30T14:34:00"/>
    <s v="Faasos"/>
    <x v="0"/>
    <s v="Biryani, Chinese"/>
    <n v="29"/>
    <n v="1.4"/>
    <s v="70mins"/>
    <n v="640"/>
    <n v="150"/>
    <s v="Debit Card"/>
    <x v="0"/>
    <n v="1"/>
    <s v="Zomato Valet"/>
    <n v="151"/>
  </r>
  <r>
    <s v="ZOM-10146"/>
    <d v="2026-08-09T00:00:00"/>
    <s v="16-07-2024"/>
    <d v="1899-12-30T00:00:00"/>
    <s v="Subway"/>
    <x v="0"/>
    <s v="South Indian"/>
    <n v="43"/>
    <n v="2.5"/>
    <s v="26mins"/>
    <n v="990"/>
    <n v="0.5"/>
    <s v="Debit Card"/>
    <x v="1"/>
    <n v="2"/>
    <s v="In-House"/>
    <n v="212"/>
  </r>
  <r>
    <s v="ORD_101"/>
    <d v="2026-02-16T00:00:00"/>
    <s v="03-07-2024"/>
    <d v="1899-12-30T00:00:00"/>
    <s v="Subway"/>
    <x v="1"/>
    <s v="Desserts"/>
    <n v="59"/>
    <n v="2.8"/>
    <s v="34mins"/>
    <n v="1884"/>
    <n v="0"/>
    <s v="Wallet"/>
    <x v="1"/>
    <n v="3"/>
    <s v="Unknown"/>
    <n v="21"/>
  </r>
  <r>
    <s v="ZOM-10148"/>
    <d v="2026-10-07T00:00:00"/>
    <s v="31-05-2024"/>
    <d v="1899-12-30T00:00:00"/>
    <s v="Haldiram'S"/>
    <x v="6"/>
    <s v="Italian"/>
    <n v="31"/>
    <n v="3.4"/>
    <s v="30mins"/>
    <n v="772"/>
    <n v="0.2"/>
    <s v="Net Banking"/>
    <x v="3"/>
    <n v="3"/>
    <s v="Zomato Valet"/>
    <n v="78"/>
  </r>
  <r>
    <s v="ZOM-10149"/>
    <d v="2026-05-02T00:00:00"/>
    <s v="03-13-2024"/>
    <d v="1899-12-30T14:12:00"/>
    <s v="Paradise Biryani"/>
    <x v="7"/>
    <s v="Bakery"/>
    <n v="37"/>
    <n v="1"/>
    <s v="22 mins"/>
    <n v="2468"/>
    <n v="120"/>
    <s v="Net Banking"/>
    <x v="2"/>
    <n v="8"/>
    <s v="Grab"/>
    <n v="66"/>
  </r>
  <r>
    <s v="ZOM-10151"/>
    <d v="2026-01-31T00:00:00"/>
    <s v="10-03-2024"/>
    <d v="1899-12-30T00:00:00"/>
    <s v="Bikanervala"/>
    <x v="1"/>
    <s v="Biryani"/>
    <n v="28"/>
    <n v="3.2"/>
    <s v="41 mins"/>
    <n v="2160"/>
    <n v="120"/>
    <s v="Cash On Delivery"/>
    <x v="3"/>
    <n v="10"/>
    <s v="Shadowfax"/>
    <m/>
  </r>
  <r>
    <s v="ZOM-10152"/>
    <d v="2026-12-21T00:00:00"/>
    <s v="09-05-2024"/>
    <d v="1899-12-30T00:00:00"/>
    <s v="Subway"/>
    <x v="6"/>
    <s v="Italian"/>
    <n v="23"/>
    <n v="2.5"/>
    <s v="35mins"/>
    <n v="1794"/>
    <n v="0"/>
    <s v="Cash On Delivery"/>
    <x v="3"/>
    <n v="1"/>
    <s v="In-House"/>
    <m/>
  </r>
  <r>
    <s v="ZOM-10153"/>
    <d v="2026-04-06T00:00:00"/>
    <s v="05-06-2024"/>
    <d v="1899-12-30T00:00:00"/>
    <s v="Dominos Pizza"/>
    <x v="0"/>
    <s v="North Indian"/>
    <n v="29"/>
    <n v="3.8"/>
    <s v="41mins"/>
    <n v="449"/>
    <n v="150"/>
    <s v="Cash On Delivery"/>
    <x v="3"/>
    <n v="5"/>
    <s v="Rapido"/>
    <n v="59"/>
  </r>
  <r>
    <s v="ZOM-10154"/>
    <d v="2026-04-17T00:00:00"/>
    <s v="02-01-2024"/>
    <d v="1899-12-30T16:02:00"/>
    <s v="Faasos"/>
    <x v="9"/>
    <s v="Italian"/>
    <n v="35"/>
    <n v="1.6"/>
    <s v="28 mins"/>
    <n v="1359"/>
    <n v="0.6"/>
    <s v="Credit Card"/>
    <x v="1"/>
    <n v="4"/>
    <s v="Rapido"/>
    <n v="33"/>
  </r>
  <r>
    <s v="ZOM-10156"/>
    <d v="2026-07-04T00:00:00"/>
    <s v="27-04-2024"/>
    <d v="1899-12-30T00:00:00"/>
    <s v="Behrouz Biryani"/>
    <x v="5"/>
    <s v="Fast Food"/>
    <n v="25"/>
    <n v="4.5999999999999996"/>
    <s v="50 mins"/>
    <n v="500"/>
    <n v="50"/>
    <s v="Cash On Delivery"/>
    <x v="3"/>
    <n v="5"/>
    <s v="Unknown"/>
    <n v="98"/>
  </r>
  <r>
    <s v="ZOM-10158"/>
    <d v="2026-08-15T00:00:00"/>
    <s v="23-01-2024"/>
    <d v="1899-12-30T00:00:00"/>
    <s v="Burger King"/>
    <x v="4"/>
    <s v="Mughlai"/>
    <n v="53"/>
    <n v="1.9"/>
    <s v="34mins"/>
    <n v="745"/>
    <n v="100"/>
    <s v="Upi"/>
    <x v="1"/>
    <n v="0"/>
    <s v="Dunzo"/>
    <n v="118"/>
  </r>
  <r>
    <s v="ZOM-10159"/>
    <d v="2026-06-20T00:00:00"/>
    <s v="03-07-2024"/>
    <d v="1899-12-30T21:26:00"/>
    <s v="Behr0Uz Biry@Ni"/>
    <x v="5"/>
    <s v="Desserts"/>
    <n v="41"/>
    <n v="4.5999999999999996"/>
    <s v="52mins"/>
    <n v="814"/>
    <n v="0"/>
    <s v="Credit Card"/>
    <x v="3"/>
    <n v="5"/>
    <s v="Dunzo"/>
    <n v="48"/>
  </r>
  <r>
    <s v="ORD_133"/>
    <d v="2026-04-14T00:00:00"/>
    <s v="03-13-2024"/>
    <d v="1899-12-30T12:43:00"/>
    <s v="Subway"/>
    <x v="6"/>
    <s v="Street Food"/>
    <n v="44"/>
    <n v="1.3"/>
    <s v="17mins"/>
    <n v="1261"/>
    <n v="0.5"/>
    <s v="Net Banking"/>
    <x v="5"/>
    <n v="4"/>
    <s v="Shadowfax"/>
    <n v="5"/>
  </r>
  <r>
    <s v="ORD_143"/>
    <d v="2026-05-21T00:00:00"/>
    <s v="05-05-2024"/>
    <d v="1899-12-30T00:00:00"/>
    <s v="Paradise Biryani"/>
    <x v="10"/>
    <s v="Fast Food"/>
    <n v="43"/>
    <n v="4.4000000000000004"/>
    <s v="50mins"/>
    <n v="1940"/>
    <n v="150"/>
    <s v="Cash On Delivery"/>
    <x v="1"/>
    <n v="2"/>
    <s v="Dunzo"/>
    <m/>
  </r>
  <r>
    <s v="ZOM-10164"/>
    <d v="2026-02-02T00:00:00"/>
    <m/>
    <d v="1899-12-30T00:00:00"/>
    <s v="Barbeque Nation"/>
    <x v="9"/>
    <s v="Mughlai"/>
    <n v="34"/>
    <n v="4.2"/>
    <s v="17mins"/>
    <n v="500"/>
    <n v="0"/>
    <s v="Cash On Delivery"/>
    <x v="1"/>
    <n v="5"/>
    <s v="In-House"/>
    <n v="23"/>
  </r>
  <r>
    <s v="ZOM-10165"/>
    <d v="2026-08-17T00:00:00"/>
    <s v="05-05-2024"/>
    <d v="1899-12-30T00:00:00"/>
    <s v="Wow! Momo"/>
    <x v="7"/>
    <s v="Desserts"/>
    <n v="26"/>
    <n v="2.4"/>
    <s v="18mins"/>
    <n v="1941"/>
    <n v="0.5"/>
    <s v="Debit Card"/>
    <x v="3"/>
    <n v="2"/>
    <s v="Dunzo"/>
    <m/>
  </r>
  <r>
    <s v="ZOM-10167"/>
    <d v="2026-06-30T00:00:00"/>
    <s v="02-23-2024"/>
    <d v="1899-12-30T11:51:00"/>
    <s v="Faasos"/>
    <x v="3"/>
    <s v="Mughlai"/>
    <n v="51"/>
    <n v="3.3"/>
    <s v="67 mins"/>
    <n v="1886"/>
    <n v="120"/>
    <s v="Net Banking"/>
    <x v="1"/>
    <n v="3"/>
    <s v="In-House"/>
    <n v="64"/>
  </r>
  <r>
    <s v="ZOM-10168"/>
    <d v="2026-04-15T00:00:00"/>
    <s v="22-02-2024"/>
    <d v="1899-12-30T00:00:00"/>
    <s v="Burger King"/>
    <x v="9"/>
    <s v="Biryani"/>
    <n v="20"/>
    <n v="2.1"/>
    <s v="15 mins"/>
    <n v="1999"/>
    <n v="150"/>
    <s v="Upi"/>
    <x v="1"/>
    <n v="7"/>
    <s v="Dunzo"/>
    <n v="51"/>
  </r>
  <r>
    <s v="ZOM-10169"/>
    <d v="2026-03-12T00:00:00"/>
    <s v="26-05-2024"/>
    <d v="1899-12-30T00:00:00"/>
    <s v="Wow! Momo"/>
    <x v="1"/>
    <s v="Desserts"/>
    <n v="33"/>
    <n v="1.9"/>
    <s v="28 mins"/>
    <n v="2428"/>
    <n v="0.6"/>
    <s v="Upi"/>
    <x v="2"/>
    <n v="5"/>
    <s v="Shadowfax"/>
    <m/>
  </r>
  <r>
    <s v="ZOM-10170"/>
    <d v="2026-01-28T00:00:00"/>
    <s v="07-08-2024"/>
    <d v="1899-12-30T22:36:00"/>
    <s v="Bikanervala"/>
    <x v="5"/>
    <s v="South Indian"/>
    <n v="18"/>
    <n v="4.7"/>
    <s v="53mins"/>
    <n v="335"/>
    <n v="0.15"/>
    <s v="Credit Card"/>
    <x v="1"/>
    <n v="8"/>
    <s v="Grab"/>
    <n v="30"/>
  </r>
  <r>
    <s v="ZOM-10171"/>
    <d v="2026-08-28T00:00:00"/>
    <s v="11-02-2024"/>
    <d v="1899-12-30T00:00:00"/>
    <s v="Kfc"/>
    <x v="0"/>
    <s v="Mughlai"/>
    <n v="38"/>
    <n v="1.4"/>
    <s v="60 mins"/>
    <n v="2428"/>
    <n v="120"/>
    <s v="Wallet"/>
    <x v="3"/>
    <n v="5"/>
    <s v="Shadowfax"/>
    <n v="50"/>
  </r>
  <r>
    <s v="ZOM-10172"/>
    <d v="2026-08-15T00:00:00"/>
    <s v="06-01-2024"/>
    <d v="1899-12-30T00:00:00"/>
    <s v="Faasos"/>
    <x v="5"/>
    <s v="Italian"/>
    <n v="54"/>
    <n v="3.9"/>
    <s v="73mins"/>
    <n v="2089"/>
    <n v="0.15"/>
    <s v="Credit Card"/>
    <x v="1"/>
    <n v="4"/>
    <s v="Dunzo"/>
    <n v="20"/>
  </r>
  <r>
    <s v="ZOM-10000"/>
    <d v="2026-11-21T00:00:00"/>
    <s v="03-08-2024"/>
    <d v="1899-12-30T08:02:00"/>
    <s v="D0Min0S Pizz@"/>
    <x v="4"/>
    <s v="Chinese"/>
    <n v="24"/>
    <n v="1.2"/>
    <s v="75mins"/>
    <n v="2282"/>
    <n v="120"/>
    <s v="Wallet"/>
    <x v="2"/>
    <n v="6"/>
    <s v="Shadowfax"/>
    <n v="112"/>
  </r>
  <r>
    <s v="ZOM-10174"/>
    <d v="2026-11-27T00:00:00"/>
    <s v="29-04-2024"/>
    <d v="1899-12-30T00:00:00"/>
    <s v="Behrouz Biryani"/>
    <x v="4"/>
    <s v="Desserts"/>
    <n v="34"/>
    <n v="2.7"/>
    <s v="62 mins"/>
    <n v="2487"/>
    <n v="0.5"/>
    <s v="Upi"/>
    <x v="1"/>
    <n v="8"/>
    <s v="Zomato Valet"/>
    <n v="105"/>
  </r>
  <r>
    <s v="ZOM-10175"/>
    <d v="2026-12-20T00:00:00"/>
    <s v="07-02-2024"/>
    <d v="1899-12-30T00:00:00"/>
    <s v="Dominos Pizza"/>
    <x v="5"/>
    <s v="North Indian"/>
    <n v="49"/>
    <n v="4.5"/>
    <s v="15 mins"/>
    <n v="1742"/>
    <n v="0.6"/>
    <s v="Upi"/>
    <x v="1"/>
    <n v="1"/>
    <s v="Dunzo"/>
    <n v="234"/>
  </r>
  <r>
    <s v="ZOM-10176"/>
    <d v="2026-07-31T00:00:00"/>
    <s v="25-05-2024"/>
    <d v="1899-12-30T00:00:00"/>
    <s v="Bikanervala"/>
    <x v="8"/>
    <s v="Fast Food"/>
    <n v="18"/>
    <n v="2.6"/>
    <s v="34mins"/>
    <n v="407"/>
    <n v="75"/>
    <s v="Wallet"/>
    <x v="2"/>
    <n v="8"/>
    <s v="Dunzo"/>
    <n v="170"/>
  </r>
  <r>
    <s v="ZOM-10178"/>
    <d v="2026-04-20T00:00:00"/>
    <s v="10-04-2024"/>
    <d v="1899-12-30T00:00:00"/>
    <s v="Behrouz Biryani"/>
    <x v="10"/>
    <s v="Fast Food, Bakery"/>
    <n v="61"/>
    <n v="3.1"/>
    <s v="15 mins"/>
    <n v="398"/>
    <n v="150"/>
    <s v="Cash On Delivery"/>
    <x v="1"/>
    <n v="7"/>
    <s v="Dunzo"/>
    <n v="17"/>
  </r>
  <r>
    <s v="ZOM-10179"/>
    <d v="2026-09-18T00:00:00"/>
    <s v="07-01-2024"/>
    <d v="1899-12-30T00:00:00"/>
    <s v="Barbeque Nation"/>
    <x v="6"/>
    <s v="Unknown"/>
    <n v="27"/>
    <n v="2.8"/>
    <s v="17mins"/>
    <n v="2166"/>
    <n v="0.6"/>
    <s v="Cash On Delivery"/>
    <x v="1"/>
    <n v="10"/>
    <s v="In-House"/>
    <n v="81"/>
  </r>
  <r>
    <s v="ZOM-10180"/>
    <d v="2026-01-02T00:00:00"/>
    <s v="22-06-2024"/>
    <d v="1899-12-30T00:00:00"/>
    <s v="Bikanervala"/>
    <x v="7"/>
    <s v="Desserts"/>
    <n v="48"/>
    <n v="1.9"/>
    <s v="73 mins"/>
    <n v="1750"/>
    <n v="150"/>
    <s v="Wallet"/>
    <x v="1"/>
    <n v="6"/>
    <s v="Grab"/>
    <n v="125"/>
  </r>
  <r>
    <s v="ZOM-10181"/>
    <d v="2026-03-08T00:00:00"/>
    <s v="03-02-2024"/>
    <d v="1899-12-30T00:00:00"/>
    <s v="Chai Point"/>
    <x v="6"/>
    <s v="North Indian"/>
    <n v="50"/>
    <n v="2.5"/>
    <s v="42 mins"/>
    <n v="391"/>
    <n v="100"/>
    <s v="Debit Card"/>
    <x v="1"/>
    <n v="9"/>
    <s v="Rapido"/>
    <n v="226"/>
  </r>
  <r>
    <s v="ZOM-10182"/>
    <d v="2026-09-03T00:00:00"/>
    <s v="01-29-2024"/>
    <d v="1899-12-30T03:36:00"/>
    <s v="Chai Point"/>
    <x v="9"/>
    <s v="Desserts"/>
    <n v="64"/>
    <n v="1.6"/>
    <s v="32mins"/>
    <n v="413"/>
    <n v="0"/>
    <s v="Credit Card"/>
    <x v="3"/>
    <n v="6"/>
    <s v="In-House"/>
    <n v="169"/>
  </r>
  <r>
    <s v="ZOM-10184"/>
    <d v="2026-04-25T00:00:00"/>
    <s v="05-19-2024"/>
    <d v="1899-12-30T21:18:00"/>
    <s v="Faasos"/>
    <x v="6"/>
    <s v="Italian"/>
    <n v="36"/>
    <n v="3"/>
    <s v="58mins"/>
    <n v="1922"/>
    <n v="0"/>
    <s v="Net Banking"/>
    <x v="1"/>
    <n v="6"/>
    <s v="Dunzo"/>
    <n v="64"/>
  </r>
  <r>
    <s v="ZOM-10185"/>
    <d v="2026-06-14T00:00:00"/>
    <s v="07-07-2024"/>
    <d v="1899-12-30T00:00:00"/>
    <s v="Dominos Pizza"/>
    <x v="8"/>
    <s v="Bakery"/>
    <n v="38"/>
    <n v="1.8"/>
    <s v="73mins"/>
    <n v="353"/>
    <n v="0"/>
    <s v="Upi"/>
    <x v="1"/>
    <n v="9"/>
    <s v="Rapido"/>
    <n v="113"/>
  </r>
  <r>
    <s v="ZOM-10186"/>
    <d v="2026-08-28T00:00:00"/>
    <s v="05-05-2024"/>
    <d v="1899-12-30T00:00:00"/>
    <s v="Barbeque Nation"/>
    <x v="8"/>
    <s v="Unknown"/>
    <n v="53"/>
    <n v="4.8"/>
    <s v="67mins"/>
    <n v="383"/>
    <n v="0.6"/>
    <s v="Credit Card"/>
    <x v="2"/>
    <n v="10"/>
    <s v="Unknown"/>
    <n v="215"/>
  </r>
  <r>
    <s v="ZOM-10187"/>
    <d v="2026-03-02T00:00:00"/>
    <s v="05-05-2024"/>
    <d v="1899-12-30T00:00:00"/>
    <s v="Kfc"/>
    <x v="5"/>
    <s v="Mughlai"/>
    <n v="58"/>
    <n v="2.8"/>
    <s v="56mins"/>
    <n v="333"/>
    <n v="100"/>
    <s v="Cash Card"/>
    <x v="1"/>
    <n v="1"/>
    <s v="Rapido"/>
    <n v="22"/>
  </r>
  <r>
    <s v="ZOM-10190"/>
    <d v="2026-05-01T00:00:00"/>
    <s v="06-02-2024"/>
    <d v="1899-12-30T00:00:00"/>
    <s v="Barbeque Nation"/>
    <x v="1"/>
    <s v="Bakery"/>
    <n v="48"/>
    <n v="2"/>
    <s v="59mins"/>
    <n v="2125"/>
    <n v="75"/>
    <s v="Upi"/>
    <x v="1"/>
    <n v="9"/>
    <s v="Dunzo"/>
    <n v="87"/>
  </r>
  <r>
    <s v="ZOM-10191"/>
    <d v="2026-09-30T00:00:00"/>
    <s v="11-06-2024"/>
    <d v="1899-12-30T00:00:00"/>
    <s v="Behrouz Biryani"/>
    <x v="1"/>
    <s v="Fast Food, Mughlai"/>
    <n v="18"/>
    <n v="2.5"/>
    <s v="50 mins"/>
    <n v="2251"/>
    <n v="120"/>
    <s v="Upi"/>
    <x v="1"/>
    <n v="2"/>
    <s v="Dunzo"/>
    <n v="118"/>
  </r>
  <r>
    <s v="ZOM-10192"/>
    <d v="2026-08-27T00:00:00"/>
    <s v="03-01-2024"/>
    <d v="1899-12-30T00:00:00"/>
    <s v="Dominos Pizza"/>
    <x v="5"/>
    <s v="Bakery"/>
    <n v="41"/>
    <n v="2.5"/>
    <s v="41mins"/>
    <n v="137"/>
    <n v="0"/>
    <s v="Debit Card"/>
    <x v="1"/>
    <n v="10"/>
    <s v="Shadowfax"/>
    <n v="228"/>
  </r>
  <r>
    <s v="ZOM-10193"/>
    <d v="2026-03-18T00:00:00"/>
    <s v="11-03-2024"/>
    <d v="1899-12-30T00:00:00"/>
    <s v="Bikanervala"/>
    <x v="8"/>
    <s v="Italian"/>
    <n v="45"/>
    <n v="2.6"/>
    <s v="48 mins"/>
    <n v="1230"/>
    <n v="150"/>
    <s v="Credit Card"/>
    <x v="5"/>
    <n v="2"/>
    <s v="Rapido"/>
    <n v="6"/>
  </r>
  <r>
    <s v="ZOM-10194"/>
    <d v="2026-07-25T00:00:00"/>
    <s v="20-02-2024"/>
    <d v="1899-12-30T00:00:00"/>
    <s v="Haldiram'S"/>
    <x v="0"/>
    <s v="Biryani"/>
    <n v="39"/>
    <n v="1.9"/>
    <s v="53 mins"/>
    <n v="1595"/>
    <n v="120"/>
    <s v="Upi"/>
    <x v="2"/>
    <n v="1"/>
    <s v="Grab"/>
    <n v="63"/>
  </r>
  <r>
    <s v="ZOM-10195"/>
    <d v="2026-06-24T00:00:00"/>
    <s v="07-04-2024"/>
    <d v="1899-12-30T00:00:00"/>
    <s v="Subw@Y"/>
    <x v="7"/>
    <s v="South Indian"/>
    <n v="39"/>
    <n v="1.4"/>
    <s v="15 mins"/>
    <n v="1818"/>
    <n v="120"/>
    <s v="Credit Card"/>
    <x v="1"/>
    <n v="1"/>
    <s v="Shadowfax"/>
    <n v="237"/>
  </r>
  <r>
    <s v="ZOM-10196"/>
    <d v="2026-02-02T00:00:00"/>
    <s v="17-07-2024"/>
    <d v="1899-12-30T00:00:00"/>
    <s v="Burger King"/>
    <x v="4"/>
    <s v="North Indian"/>
    <n v="22"/>
    <n v="3.7"/>
    <s v="74mins"/>
    <n v="1547"/>
    <n v="75"/>
    <s v="Net Banking"/>
    <x v="1"/>
    <n v="4"/>
    <s v="Grab"/>
    <n v="162"/>
  </r>
  <r>
    <s v="ZOM-10197"/>
    <d v="2026-09-30T00:00:00"/>
    <s v="22-02-2024"/>
    <d v="1899-12-30T00:00:00"/>
    <s v="Bikanervala"/>
    <x v="9"/>
    <s v="Desserts, Chinese"/>
    <n v="32"/>
    <n v="3.9"/>
    <s v="46mins"/>
    <n v="500"/>
    <n v="0"/>
    <s v="Upi"/>
    <x v="1"/>
    <n v="6"/>
    <s v="Dunzo"/>
    <n v="242"/>
  </r>
  <r>
    <s v="ZOM-10198"/>
    <d v="2026-07-11T00:00:00"/>
    <s v="17-01-2024"/>
    <d v="1899-12-30T00:00:00"/>
    <s v="Barbeque Nation"/>
    <x v="10"/>
    <s v="Bakery"/>
    <n v="33"/>
    <n v="2.5"/>
    <s v="31mins"/>
    <n v="2147"/>
    <n v="50"/>
    <s v="Wallet"/>
    <x v="1"/>
    <n v="9"/>
    <s v="Dunzo"/>
    <n v="26"/>
  </r>
  <r>
    <s v="ZOM-10200"/>
    <d v="2026-02-08T00:00:00"/>
    <s v="11-03-2024"/>
    <d v="1899-12-30T00:00:00"/>
    <s v="Haldiram'S"/>
    <x v="5"/>
    <s v="Biryani"/>
    <n v="63"/>
    <n v="4.5999999999999996"/>
    <s v="15 mins"/>
    <n v="833"/>
    <n v="100"/>
    <s v="Cod"/>
    <x v="1"/>
    <n v="4"/>
    <s v="Shadowfax"/>
    <n v="3"/>
  </r>
  <r>
    <s v="ZOM-10201"/>
    <d v="2026-09-22T00:00:00"/>
    <s v="04-28-2024"/>
    <d v="1899-12-30T11:37:00"/>
    <s v="Kfc"/>
    <x v="1"/>
    <s v="Bakery"/>
    <n v="60"/>
    <n v="2.4"/>
    <s v="66mins"/>
    <n v="1936"/>
    <n v="0.6"/>
    <s v="Upi"/>
    <x v="3"/>
    <n v="10"/>
    <s v="Rapido"/>
    <n v="46"/>
  </r>
  <r>
    <s v="ZOM-10202"/>
    <d v="2026-04-22T00:00:00"/>
    <s v="01-05-2024"/>
    <d v="1899-12-30T00:00:00"/>
    <s v="Paradise Biryani"/>
    <x v="11"/>
    <s v="Bakery"/>
    <n v="36"/>
    <n v="2.2000000000000002"/>
    <s v="73mins"/>
    <n v="257"/>
    <n v="0.5"/>
    <s v="Cash On Delivery"/>
    <x v="1"/>
    <n v="4"/>
    <s v="Shadowfax"/>
    <n v="190"/>
  </r>
  <r>
    <s v="ZOM-10203"/>
    <d v="2026-08-05T00:00:00"/>
    <s v="20-03-2024"/>
    <d v="1899-12-30T00:00:00"/>
    <s v="Behrouz Biryani"/>
    <x v="4"/>
    <s v="Chinese"/>
    <n v="54"/>
    <n v="2.5"/>
    <s v="56 mins"/>
    <n v="2217"/>
    <n v="150"/>
    <s v="Debit Card"/>
    <x v="1"/>
    <n v="8"/>
    <s v="Grab"/>
    <n v="108"/>
  </r>
  <r>
    <s v="ZOM-10206"/>
    <d v="2026-03-15T00:00:00"/>
    <s v="03-27-2024"/>
    <d v="1899-12-30T06:33:00"/>
    <s v="Haldiram'S"/>
    <x v="4"/>
    <s v="Street Food"/>
    <n v="31"/>
    <n v="2.6"/>
    <s v="44mins"/>
    <n v="629"/>
    <n v="0.5"/>
    <s v="Wallet"/>
    <x v="1"/>
    <n v="1"/>
    <s v="Zomato Valet"/>
    <n v="173"/>
  </r>
  <r>
    <s v="ZOM-10207"/>
    <d v="2026-06-24T00:00:00"/>
    <s v="25-05-2024"/>
    <d v="1899-12-30T00:00:00"/>
    <s v="Haldiram'S"/>
    <x v="4"/>
    <s v="Desserts"/>
    <n v="18"/>
    <n v="2.8"/>
    <s v="44mins"/>
    <n v="1318"/>
    <n v="0"/>
    <s v="Upi"/>
    <x v="1"/>
    <n v="6"/>
    <s v="Grab"/>
    <m/>
  </r>
  <r>
    <s v="ZOM-10208"/>
    <d v="2026-11-02T00:00:00"/>
    <s v="23-04-2024"/>
    <d v="1899-12-30T00:00:00"/>
    <s v="Kfc"/>
    <x v="5"/>
    <s v="Desserts"/>
    <n v="33"/>
    <n v="3.8"/>
    <s v="70 mins"/>
    <n v="1028"/>
    <n v="0"/>
    <s v="Upi"/>
    <x v="3"/>
    <n v="9"/>
    <s v="Shadowfax"/>
    <n v="159"/>
  </r>
  <r>
    <s v="ZOM-10209"/>
    <d v="2026-12-16T00:00:00"/>
    <s v="15-02-2024"/>
    <d v="1899-12-30T00:00:00"/>
    <s v="Burger King"/>
    <x v="1"/>
    <s v="Fast Food"/>
    <n v="27"/>
    <n v="4.2"/>
    <s v="15 mins"/>
    <n v="1028"/>
    <n v="75"/>
    <s v="Net Banking"/>
    <x v="1"/>
    <n v="10"/>
    <s v="Grab"/>
    <n v="75"/>
  </r>
  <r>
    <s v="ORD_132"/>
    <d v="2026-05-02T00:00:00"/>
    <s v="05-07-2024"/>
    <d v="1899-12-30T00:00:00"/>
    <s v="Subway"/>
    <x v="10"/>
    <s v="South Indian"/>
    <n v="34"/>
    <n v="4"/>
    <s v="77mins"/>
    <n v="1631"/>
    <n v="0"/>
    <s v="Cash On Delivery"/>
    <x v="1"/>
    <n v="1"/>
    <s v="In-House"/>
    <n v="120"/>
  </r>
  <r>
    <s v="ZOM-10212"/>
    <d v="2026-09-30T00:00:00"/>
    <s v="06-16-2024"/>
    <d v="1899-12-30T09:50:00"/>
    <s v="Barbeque Nation"/>
    <x v="8"/>
    <s v="Fast Food"/>
    <n v="44"/>
    <n v="4.7"/>
    <s v="55 mins"/>
    <n v="515"/>
    <n v="0.2"/>
    <s v="Upi"/>
    <x v="5"/>
    <n v="1"/>
    <s v="In-House"/>
    <n v="48"/>
  </r>
  <r>
    <s v="ZOM-10000"/>
    <d v="2026-10-24T00:00:00"/>
    <s v="03-06-2024"/>
    <d v="1899-12-30T00:00:00"/>
    <s v="Burger King"/>
    <x v="3"/>
    <s v="Chinese"/>
    <n v="40"/>
    <n v="4.2"/>
    <s v="15 mins"/>
    <n v="2192"/>
    <n v="50"/>
    <s v="Upi"/>
    <x v="3"/>
    <n v="8"/>
    <s v="Rapido"/>
    <n v="245"/>
  </r>
  <r>
    <s v="ORD_123"/>
    <d v="2026-03-29T00:00:00"/>
    <s v="01-12-2024"/>
    <d v="1899-12-30T11:06:00"/>
    <s v="Dominos Pizza"/>
    <x v="7"/>
    <s v="South Indian"/>
    <n v="51"/>
    <n v="4.0999999999999996"/>
    <s v="19mins"/>
    <n v="424"/>
    <n v="0.6"/>
    <s v="Cash On Delivery"/>
    <x v="1"/>
    <n v="2"/>
    <s v="Zomato Valet"/>
    <n v="27"/>
  </r>
  <r>
    <s v="ZOM-10215"/>
    <d v="2026-09-23T00:00:00"/>
    <s v="02-26-2024"/>
    <d v="1899-12-30T08:47:00"/>
    <s v="Faasos"/>
    <x v="9"/>
    <s v="Bakery"/>
    <n v="63"/>
    <n v="3.9"/>
    <s v="70mins"/>
    <n v="2044"/>
    <n v="0.1"/>
    <s v="Upi"/>
    <x v="1"/>
    <n v="7"/>
    <s v="Rapido"/>
    <n v="115"/>
  </r>
  <r>
    <s v="ZOM-10216"/>
    <d v="2026-10-03T00:00:00"/>
    <s v="07-16-2024"/>
    <d v="1899-12-30T12:27:00"/>
    <s v="Barbeque Nation"/>
    <x v="8"/>
    <s v="Biryani"/>
    <n v="27"/>
    <n v="4.4000000000000004"/>
    <s v="19mins"/>
    <n v="1545"/>
    <n v="0"/>
    <s v="Debit Card"/>
    <x v="3"/>
    <n v="6"/>
    <s v="Shadowfax"/>
    <n v="162"/>
  </r>
  <r>
    <s v="ZOM-10217"/>
    <d v="2026-11-21T00:00:00"/>
    <s v="17-07-2024"/>
    <d v="1899-12-30T00:00:00"/>
    <s v="Behrouz Biryani"/>
    <x v="0"/>
    <s v="Desserts"/>
    <n v="62"/>
    <n v="3.8"/>
    <s v="27mins"/>
    <n v="432"/>
    <n v="0"/>
    <s v="Wallet"/>
    <x v="1"/>
    <n v="4"/>
    <s v="In-House"/>
    <n v="40"/>
  </r>
  <r>
    <s v="ZOM-10218"/>
    <d v="2026-10-16T00:00:00"/>
    <s v="07-02-2024"/>
    <d v="1899-12-30T00:00:00"/>
    <s v="Subway"/>
    <x v="1"/>
    <s v="Street Food"/>
    <n v="43"/>
    <n v="1.5"/>
    <s v="53mins"/>
    <n v="1757"/>
    <n v="100"/>
    <s v="Wallet"/>
    <x v="1"/>
    <n v="8"/>
    <s v="Unknown"/>
    <n v="42"/>
  </r>
  <r>
    <s v="ZOM-10219"/>
    <d v="2026-07-09T00:00:00"/>
    <s v="27-02-2024"/>
    <d v="1899-12-30T00:00:00"/>
    <s v="Chai Point"/>
    <x v="7"/>
    <s v="Bakery"/>
    <n v="52"/>
    <n v="4.3"/>
    <s v="15 mins"/>
    <n v="1443"/>
    <n v="100"/>
    <s v="Upi"/>
    <x v="1"/>
    <n v="2"/>
    <s v="Shadowfax"/>
    <n v="78"/>
  </r>
  <r>
    <s v="ORD_136"/>
    <d v="2026-12-19T00:00:00"/>
    <s v="22-02-2024"/>
    <d v="1899-12-30T00:00:00"/>
    <s v="Wow! Momo"/>
    <x v="5"/>
    <s v="North Indian, Street Food"/>
    <n v="36"/>
    <n v="2.8"/>
    <s v="55mins"/>
    <n v="1364"/>
    <n v="0.6"/>
    <s v="Net Banking"/>
    <x v="3"/>
    <n v="4"/>
    <s v="Shadowfax"/>
    <n v="38"/>
  </r>
  <r>
    <s v="ZOM-10223"/>
    <d v="2026-07-03T00:00:00"/>
    <s v="29-04-2024"/>
    <d v="1899-12-30T00:00:00"/>
    <s v="Subway"/>
    <x v="9"/>
    <s v="South Indian, Chinese"/>
    <n v="28"/>
    <n v="1.3"/>
    <s v="78mins"/>
    <n v="500"/>
    <n v="150"/>
    <s v="Net Banking"/>
    <x v="1"/>
    <n v="1"/>
    <s v="In-House"/>
    <n v="34"/>
  </r>
  <r>
    <s v="ZOM-10224"/>
    <d v="2026-08-15T00:00:00"/>
    <s v="05-15-2024"/>
    <d v="1899-12-30T23:20:00"/>
    <s v="Chai Point"/>
    <x v="6"/>
    <s v="Desserts"/>
    <n v="25"/>
    <n v="3.7"/>
    <s v="30mins"/>
    <n v="810"/>
    <n v="0.1"/>
    <s v="Wallet"/>
    <x v="0"/>
    <n v="8"/>
    <s v="Zomato Valet"/>
    <n v="28"/>
  </r>
  <r>
    <s v="ZOM-10000"/>
    <d v="2026-02-05T00:00:00"/>
    <s v="03-07-2024"/>
    <d v="1899-12-30T00:00:00"/>
    <s v="Bikanervala"/>
    <x v="4"/>
    <s v="Biryani"/>
    <n v="29"/>
    <n v="2.1"/>
    <s v="71mins"/>
    <n v="505"/>
    <n v="75"/>
    <s v="Wallet"/>
    <x v="1"/>
    <n v="0"/>
    <s v="In-House"/>
    <n v="140"/>
  </r>
  <r>
    <s v="ZOM-10226"/>
    <d v="2026-12-27T00:00:00"/>
    <s v="23-06-2024"/>
    <d v="1899-12-30T00:00:00"/>
    <s v="Subway"/>
    <x v="9"/>
    <s v="Desserts"/>
    <n v="39"/>
    <n v="3.4"/>
    <s v="15 mins"/>
    <n v="1263"/>
    <n v="0"/>
    <s v="Cash On Delivery"/>
    <x v="3"/>
    <n v="4"/>
    <s v="In-House"/>
    <n v="153"/>
  </r>
  <r>
    <s v="ZOM-10227"/>
    <d v="2026-04-14T00:00:00"/>
    <s v="16-02-2024"/>
    <d v="1899-12-30T00:00:00"/>
    <s v="Chai Point"/>
    <x v="5"/>
    <s v="Bakery"/>
    <n v="62"/>
    <n v="1.9"/>
    <s v="76mins"/>
    <n v="266"/>
    <n v="0"/>
    <s v="Upi"/>
    <x v="1"/>
    <n v="1"/>
    <s v="Zomato Valet"/>
    <n v="14"/>
  </r>
  <r>
    <s v="ZOM-10228"/>
    <d v="2026-06-30T00:00:00"/>
    <s v="05-03-2024"/>
    <d v="1899-12-30T00:00:00"/>
    <s v="Burger King"/>
    <x v="4"/>
    <s v="Bakery"/>
    <n v="42"/>
    <n v="1.4"/>
    <s v="30mins"/>
    <n v="218"/>
    <n v="50"/>
    <s v="Credit Card"/>
    <x v="1"/>
    <n v="4"/>
    <s v="Rapido"/>
    <n v="17"/>
  </r>
  <r>
    <s v="ZOM-10229"/>
    <d v="2026-10-01T00:00:00"/>
    <s v="23-05-2024"/>
    <d v="1899-12-30T00:00:00"/>
    <s v="Paradise Biryani"/>
    <x v="8"/>
    <s v="Bakery"/>
    <n v="21"/>
    <n v="3.8"/>
    <s v="65mins"/>
    <n v="1298"/>
    <n v="0"/>
    <s v="Credit Card"/>
    <x v="1"/>
    <n v="3"/>
    <s v="Rapido"/>
    <n v="210"/>
  </r>
  <r>
    <s v="ZOM-10230"/>
    <d v="2026-05-03T00:00:00"/>
    <s v="14-05-2024"/>
    <d v="1899-12-30T00:00:00"/>
    <s v="Dominos Pizza"/>
    <x v="8"/>
    <s v="Fast Food"/>
    <n v="21"/>
    <n v="2"/>
    <s v="29mins"/>
    <n v="123"/>
    <n v="75"/>
    <s v="Debit Card"/>
    <x v="3"/>
    <n v="1"/>
    <s v="In-House"/>
    <n v="8"/>
  </r>
  <r>
    <s v="ZOM-10231"/>
    <d v="2026-11-17T00:00:00"/>
    <s v="17-05-2024"/>
    <d v="1899-12-30T00:00:00"/>
    <s v="Chai Point"/>
    <x v="10"/>
    <s v="Biryani"/>
    <n v="46"/>
    <n v="3.9"/>
    <s v="76mins"/>
    <n v="343"/>
    <n v="0.15"/>
    <s v="Credit Card"/>
    <x v="5"/>
    <n v="3"/>
    <s v="Grab"/>
    <n v="33"/>
  </r>
  <r>
    <s v="ZOM-10232"/>
    <d v="2026-06-20T00:00:00"/>
    <s v="04-13-2024"/>
    <d v="1899-12-30T03:25:00"/>
    <s v="Barbeque Nation"/>
    <x v="0"/>
    <s v="North Indian"/>
    <n v="56"/>
    <n v="2.5"/>
    <s v="28mins"/>
    <n v="1411"/>
    <n v="0"/>
    <s v="Credit Card"/>
    <x v="3"/>
    <n v="9"/>
    <s v="In-House"/>
    <m/>
  </r>
  <r>
    <s v="ZOM-10234"/>
    <d v="2026-11-22T00:00:00"/>
    <s v="07-01-2024"/>
    <d v="1899-12-30T02:36:00"/>
    <s v="Barbeque Nation"/>
    <x v="1"/>
    <s v="Biryani"/>
    <n v="40"/>
    <n v="2.7"/>
    <s v="67mins"/>
    <n v="1552"/>
    <n v="0.15"/>
    <s v="Cash On Delivery"/>
    <x v="1"/>
    <n v="7"/>
    <s v="Rapido"/>
    <n v="167"/>
  </r>
  <r>
    <s v="ORD_101"/>
    <d v="2026-07-31T00:00:00"/>
    <s v="02-04-2024"/>
    <d v="1899-12-30T00:00:00"/>
    <s v="Barbeque Nation"/>
    <x v="4"/>
    <s v="Italian"/>
    <n v="62"/>
    <n v="2.5"/>
    <s v="15 mins"/>
    <n v="2416"/>
    <n v="150"/>
    <s v="Net Banking"/>
    <x v="1"/>
    <n v="1"/>
    <s v="Rapido"/>
    <n v="173"/>
  </r>
  <r>
    <s v="ZOM-10236"/>
    <d v="2026-06-05T00:00:00"/>
    <s v="17-03-2024"/>
    <d v="1899-12-30T00:00:00"/>
    <s v="Kfc"/>
    <x v="12"/>
    <s v="Fast Food, Italian"/>
    <n v="47"/>
    <n v="4.3"/>
    <s v="79mins"/>
    <n v="848"/>
    <n v="75"/>
    <s v="Upi"/>
    <x v="3"/>
    <n v="9"/>
    <s v="Rapido"/>
    <n v="75"/>
  </r>
  <r>
    <s v="ZOM-10237"/>
    <d v="2026-06-14T00:00:00"/>
    <s v="12-02-2024"/>
    <d v="1899-12-30T00:00:00"/>
    <s v="Faasos"/>
    <x v="11"/>
    <s v="Biryani"/>
    <n v="18"/>
    <n v="1.8"/>
    <s v="74 mins"/>
    <n v="197"/>
    <n v="120"/>
    <s v="Upi"/>
    <x v="2"/>
    <n v="5"/>
    <s v="Grab"/>
    <n v="49"/>
  </r>
  <r>
    <s v="ZOM-10238"/>
    <d v="2026-08-30T00:00:00"/>
    <s v="25-03-2024"/>
    <d v="1899-12-30T00:00:00"/>
    <s v="Wow! Momo"/>
    <x v="7"/>
    <s v="Fast Food"/>
    <n v="63"/>
    <n v="1.9"/>
    <s v="33mins"/>
    <n v="1950"/>
    <n v="120"/>
    <s v="Wallet"/>
    <x v="1"/>
    <n v="7"/>
    <s v="Zomato Valet"/>
    <n v="48"/>
  </r>
  <r>
    <s v="ZOM-10239"/>
    <d v="2026-09-19T00:00:00"/>
    <s v="02-09-2024"/>
    <d v="1899-12-30T19:21:00"/>
    <s v="Paradise Biryani"/>
    <x v="5"/>
    <s v="South Indian"/>
    <n v="22"/>
    <n v="2.5"/>
    <s v="26 mins"/>
    <n v="1811"/>
    <n v="75"/>
    <s v="Cash On Delivery"/>
    <x v="1"/>
    <n v="7"/>
    <s v="Rapido"/>
    <n v="41"/>
  </r>
  <r>
    <s v="ZOM-10240"/>
    <d v="2026-06-04T00:00:00"/>
    <s v="23-06-2024"/>
    <d v="1899-12-30T00:00:00"/>
    <s v="Burger King"/>
    <x v="0"/>
    <s v="North Indian"/>
    <n v="22"/>
    <n v="4.5"/>
    <s v="59mins"/>
    <n v="1229"/>
    <n v="100"/>
    <s v="Upi"/>
    <x v="1"/>
    <n v="6"/>
    <s v="Dunzo"/>
    <n v="152"/>
  </r>
  <r>
    <s v="ORD_109"/>
    <d v="2026-02-13T00:00:00"/>
    <s v="04-30-2024"/>
    <d v="1899-12-30T04:58:00"/>
    <s v="Kfc"/>
    <x v="3"/>
    <s v="Chinese"/>
    <n v="58"/>
    <n v="1.6"/>
    <s v="25mins"/>
    <n v="830"/>
    <n v="120"/>
    <s v="Credit Card"/>
    <x v="1"/>
    <n v="5"/>
    <s v="Shadowfax"/>
    <n v="79"/>
  </r>
  <r>
    <s v="ZOM-10242"/>
    <d v="2026-03-18T00:00:00"/>
    <s v="21-04-2024"/>
    <d v="1899-12-30T00:00:00"/>
    <s v="Chai Point"/>
    <x v="10"/>
    <s v="Fast Food"/>
    <n v="65"/>
    <n v="1.1000000000000001"/>
    <s v="33mins"/>
    <n v="1309"/>
    <n v="150"/>
    <s v="Cash On Delivery"/>
    <x v="3"/>
    <n v="1"/>
    <s v="Shadowfax"/>
    <n v="150"/>
  </r>
  <r>
    <s v="ZOM-10243"/>
    <d v="2026-09-10T00:00:00"/>
    <s v="23-02-2024"/>
    <d v="1899-12-30T00:00:00"/>
    <s v="Chai Point"/>
    <x v="5"/>
    <s v="Mughlai"/>
    <n v="39"/>
    <n v="1.7"/>
    <s v="37mins"/>
    <n v="1436"/>
    <n v="75"/>
    <s v="Wallet"/>
    <x v="1"/>
    <n v="2"/>
    <s v="Zomato Valet"/>
    <n v="228"/>
  </r>
  <r>
    <s v="ZOM-10244"/>
    <d v="2026-02-01T00:00:00"/>
    <s v="05-19-2024"/>
    <d v="1899-12-30T03:24:00"/>
    <s v="Wow! Momo"/>
    <x v="7"/>
    <s v="South Indian"/>
    <n v="47"/>
    <n v="4.3"/>
    <s v="65mins"/>
    <n v="138"/>
    <n v="0.2"/>
    <s v="Debit Card"/>
    <x v="0"/>
    <n v="0"/>
    <s v="Zomato Valet"/>
    <n v="190"/>
  </r>
  <r>
    <s v="ZOM-10245"/>
    <d v="2026-11-01T00:00:00"/>
    <s v="26-05-2024"/>
    <d v="1899-12-30T00:00:00"/>
    <s v="Subway"/>
    <x v="10"/>
    <s v="Fast Food"/>
    <n v="63"/>
    <n v="3"/>
    <s v="65mins"/>
    <n v="2126"/>
    <n v="0.6"/>
    <s v="Credit Card"/>
    <x v="5"/>
    <n v="3"/>
    <s v="Zomato Valet"/>
    <n v="241"/>
  </r>
  <r>
    <s v="ZOM-10000"/>
    <d v="2026-01-20T00:00:00"/>
    <s v="06-07-2024"/>
    <d v="1899-12-30T00:00:00"/>
    <s v="Faasos"/>
    <x v="5"/>
    <s v="Italian"/>
    <n v="58"/>
    <n v="2.5"/>
    <s v="28mins"/>
    <n v="384"/>
    <n v="0.15"/>
    <s v="Debit Card"/>
    <x v="2"/>
    <n v="1"/>
    <s v="Grab"/>
    <n v="55"/>
  </r>
  <r>
    <s v="ZOM-10247"/>
    <d v="2026-11-20T00:00:00"/>
    <s v="25-04-2024"/>
    <d v="1899-12-30T00:00:00"/>
    <s v="Bikanervala"/>
    <x v="9"/>
    <s v="Bakery, Street Food"/>
    <n v="25"/>
    <n v="1.1000000000000001"/>
    <s v="15 mins"/>
    <n v="1338"/>
    <n v="0"/>
    <s v="Unknown"/>
    <x v="3"/>
    <n v="5"/>
    <s v="Dunzo"/>
    <n v="35"/>
  </r>
  <r>
    <s v="ZOM-10248"/>
    <d v="2026-09-27T00:00:00"/>
    <s v="06-05-2024"/>
    <d v="1899-12-30T00:00:00"/>
    <s v="Subway"/>
    <x v="5"/>
    <s v="Bakery"/>
    <n v="46"/>
    <n v="4"/>
    <s v="28mins"/>
    <n v="1565"/>
    <n v="75"/>
    <s v="Wallet"/>
    <x v="1"/>
    <n v="9"/>
    <s v="Dunzo"/>
    <n v="187"/>
  </r>
  <r>
    <s v="ZOM-10249"/>
    <d v="2026-07-02T00:00:00"/>
    <s v="25-02-2024"/>
    <d v="1899-12-30T00:00:00"/>
    <s v="B@Rbeque N@Ti0N"/>
    <x v="3"/>
    <s v="Chinese"/>
    <n v="24"/>
    <n v="3.9"/>
    <s v="24mins"/>
    <n v="1486"/>
    <n v="100"/>
    <s v="Debit Card"/>
    <x v="1"/>
    <n v="2"/>
    <s v="Grab"/>
    <n v="46"/>
  </r>
  <r>
    <s v="ZOM-10250"/>
    <d v="2026-04-03T00:00:00"/>
    <s v="27-05-2024"/>
    <d v="1899-12-30T00:00:00"/>
    <s v="Burger King"/>
    <x v="8"/>
    <s v="North Indian, Italian"/>
    <n v="35"/>
    <n v="2.4"/>
    <s v="64 mins"/>
    <n v="865"/>
    <n v="0.5"/>
    <s v="Cash On Delivery"/>
    <x v="2"/>
    <n v="1"/>
    <s v="Shadowfax"/>
    <n v="147"/>
  </r>
  <r>
    <s v="ZOM-10251"/>
    <d v="2026-11-26T00:00:00"/>
    <s v="04-04-2024"/>
    <d v="1899-12-30T00:00:00"/>
    <s v="Behrouz Biryani"/>
    <x v="5"/>
    <s v="Italian"/>
    <n v="26"/>
    <n v="1.6"/>
    <s v="67mins"/>
    <n v="1636"/>
    <n v="50"/>
    <s v="Net Banking"/>
    <x v="1"/>
    <n v="2"/>
    <s v="Dunzo"/>
    <n v="138"/>
  </r>
  <r>
    <s v="ZOM-10252"/>
    <d v="2026-04-18T00:00:00"/>
    <s v="06-05-2024"/>
    <d v="1899-12-30T00:00:00"/>
    <s v="Faasos"/>
    <x v="6"/>
    <s v="Desserts"/>
    <n v="50"/>
    <n v="1.5"/>
    <s v="64mins"/>
    <n v="2441"/>
    <n v="100"/>
    <s v="Credit Card"/>
    <x v="1"/>
    <n v="2"/>
    <s v="Unknown"/>
    <n v="72"/>
  </r>
  <r>
    <s v="ZOM-10254"/>
    <d v="2026-10-03T00:00:00"/>
    <s v="02-22-2024"/>
    <d v="1899-12-30T05:50:00"/>
    <s v="Kfc"/>
    <x v="4"/>
    <s v="Biryani"/>
    <n v="28"/>
    <n v="4.5999999999999996"/>
    <s v="15 mins"/>
    <n v="1705"/>
    <n v="0"/>
    <s v="Debit Card"/>
    <x v="1"/>
    <n v="8"/>
    <s v="Shadowfax"/>
    <n v="74"/>
  </r>
  <r>
    <s v="ZOM-10255"/>
    <d v="2026-04-30T00:00:00"/>
    <s v="05-08-2024"/>
    <d v="1899-12-30T05:42:00"/>
    <s v="Haldiram'S"/>
    <x v="3"/>
    <s v="Desserts"/>
    <n v="51"/>
    <n v="4.4000000000000004"/>
    <s v="76mins"/>
    <n v="388"/>
    <n v="0"/>
    <s v="Credit Card"/>
    <x v="0"/>
    <n v="2"/>
    <s v="Shadowfax"/>
    <n v="44"/>
  </r>
  <r>
    <s v="ZOM-10256"/>
    <d v="2026-12-31T00:00:00"/>
    <s v="25-04-2024"/>
    <d v="1899-12-30T00:00:00"/>
    <s v="Faasos"/>
    <x v="5"/>
    <s v="Street Food"/>
    <n v="54"/>
    <n v="4.2"/>
    <s v="16mins"/>
    <n v="1307"/>
    <n v="50"/>
    <s v="Net Banking"/>
    <x v="2"/>
    <n v="8"/>
    <s v="Zomato Valet"/>
    <n v="39"/>
  </r>
  <r>
    <s v="ZOM-10258"/>
    <d v="2026-11-22T00:00:00"/>
    <s v="19-05-2024"/>
    <d v="1899-12-30T00:00:00"/>
    <s v="Subway"/>
    <x v="3"/>
    <s v="Italian"/>
    <n v="23"/>
    <n v="3.5"/>
    <s v="46mins"/>
    <n v="1501"/>
    <n v="120"/>
    <s v="Debit Card"/>
    <x v="1"/>
    <n v="1"/>
    <s v="Zomato Valet"/>
    <n v="134"/>
  </r>
  <r>
    <s v="ZOM-10259"/>
    <d v="2026-07-08T00:00:00"/>
    <s v="03-05-2024"/>
    <d v="1899-12-30T00:00:00"/>
    <s v="Haldiram'S"/>
    <x v="6"/>
    <s v="Fast Food"/>
    <n v="37"/>
    <n v="4.7"/>
    <s v="40mins"/>
    <n v="500"/>
    <n v="0"/>
    <s v="Net Banking"/>
    <x v="1"/>
    <n v="7"/>
    <s v="Grab"/>
    <n v="198"/>
  </r>
  <r>
    <s v="ZOM-10260"/>
    <d v="2026-08-19T00:00:00"/>
    <s v="17-06-2024"/>
    <d v="1899-12-30T00:00:00"/>
    <s v="Barbeque Nation"/>
    <x v="4"/>
    <s v="Mughlai"/>
    <n v="60"/>
    <n v="2.5"/>
    <s v="74mins"/>
    <n v="1112"/>
    <n v="0"/>
    <s v="Cash On Delivery"/>
    <x v="1"/>
    <n v="1"/>
    <s v="Dunzo"/>
    <n v="159"/>
  </r>
  <r>
    <s v="ZOM-10261"/>
    <d v="2026-12-20T00:00:00"/>
    <s v="08-05-2024"/>
    <d v="1899-12-30T00:00:00"/>
    <s v="Behrouz Biryani"/>
    <x v="10"/>
    <s v="Biryani"/>
    <n v="59"/>
    <n v="4.9000000000000004"/>
    <s v="38mins"/>
    <n v="1491"/>
    <n v="120"/>
    <s v="Debit Card"/>
    <x v="2"/>
    <n v="1"/>
    <s v="In-House"/>
    <n v="45"/>
  </r>
  <r>
    <s v="ZOM-10263"/>
    <d v="2026-12-26T00:00:00"/>
    <s v="01-02-2024"/>
    <d v="1899-12-30T12:16:00"/>
    <s v="Chai Point"/>
    <x v="8"/>
    <s v="Mughlai"/>
    <n v="22"/>
    <n v="3.5"/>
    <s v="25mins"/>
    <n v="423"/>
    <n v="0.5"/>
    <s v="Cash Card"/>
    <x v="2"/>
    <n v="2"/>
    <s v="Shadowfax"/>
    <n v="110"/>
  </r>
  <r>
    <s v="ZOM-10265"/>
    <d v="2026-03-28T00:00:00"/>
    <s v="30-03-2024"/>
    <d v="1899-12-30T00:00:00"/>
    <s v="Unknown"/>
    <x v="11"/>
    <s v="Chinese"/>
    <n v="53"/>
    <n v="2.5"/>
    <s v="31mins"/>
    <n v="1143"/>
    <n v="0.5"/>
    <s v="Upi"/>
    <x v="3"/>
    <n v="2"/>
    <s v="Unknown"/>
    <n v="56"/>
  </r>
  <r>
    <s v="ZOM-10266"/>
    <d v="2026-02-12T00:00:00"/>
    <s v="12-01-2024"/>
    <d v="1899-12-30T00:00:00"/>
    <s v="Dominos Pizza"/>
    <x v="4"/>
    <s v="Chinese"/>
    <n v="60"/>
    <n v="2"/>
    <s v="78mins"/>
    <n v="1799"/>
    <n v="50"/>
    <s v="Cash On Delivery"/>
    <x v="2"/>
    <n v="6"/>
    <s v="In-House"/>
    <n v="34"/>
  </r>
  <r>
    <s v="ZOM-10268"/>
    <d v="2026-09-22T00:00:00"/>
    <s v="27-03-2024"/>
    <d v="1899-12-30T00:00:00"/>
    <s v="Chai Point"/>
    <x v="10"/>
    <s v="North Indian"/>
    <n v="36"/>
    <n v="4.8"/>
    <s v="48mins"/>
    <n v="507"/>
    <n v="50"/>
    <s v="Credit Card"/>
    <x v="2"/>
    <n v="6"/>
    <s v="Rapido"/>
    <n v="39"/>
  </r>
  <r>
    <s v="ZOM-10269"/>
    <d v="2026-03-03T00:00:00"/>
    <s v="04-06-2024"/>
    <d v="1899-12-30T00:00:00"/>
    <s v="Chai Point"/>
    <x v="0"/>
    <s v="Mughlai"/>
    <n v="23"/>
    <n v="3.4"/>
    <s v="23mins"/>
    <n v="1168"/>
    <n v="75"/>
    <s v="Cash On Delivery"/>
    <x v="1"/>
    <n v="3"/>
    <s v="In-House"/>
    <n v="25"/>
  </r>
  <r>
    <s v="ZOM-10270"/>
    <d v="2026-06-14T00:00:00"/>
    <m/>
    <d v="1899-12-30T00:00:00"/>
    <s v="Kfc"/>
    <x v="9"/>
    <s v="Chinese"/>
    <n v="22"/>
    <n v="4.5"/>
    <s v="35 mins"/>
    <n v="1565"/>
    <n v="150"/>
    <s v="Debit Card"/>
    <x v="3"/>
    <n v="10"/>
    <s v="Zomato Valet"/>
    <n v="23"/>
  </r>
  <r>
    <s v="ZOM-10271"/>
    <d v="2026-12-15T00:00:00"/>
    <s v="01-07-2024"/>
    <d v="1899-12-30T00:00:00"/>
    <s v="Subway"/>
    <x v="7"/>
    <s v="Chinese"/>
    <n v="52"/>
    <n v="4.4000000000000004"/>
    <s v="21mins"/>
    <n v="1565"/>
    <n v="75"/>
    <s v="Debit Card"/>
    <x v="2"/>
    <n v="8"/>
    <s v="Dunzo"/>
    <n v="0"/>
  </r>
  <r>
    <s v="ZOM-10272"/>
    <d v="2026-08-09T00:00:00"/>
    <s v="31-03-2024"/>
    <d v="1899-12-30T00:00:00"/>
    <s v="Kfc"/>
    <x v="10"/>
    <s v="Chinese"/>
    <n v="34"/>
    <n v="2.4"/>
    <s v="41 mins"/>
    <n v="1122"/>
    <n v="150"/>
    <s v="Cash Card"/>
    <x v="1"/>
    <n v="8"/>
    <s v="In-House"/>
    <m/>
  </r>
  <r>
    <s v="ZOM-10273"/>
    <d v="2026-12-19T00:00:00"/>
    <s v="11-05-2024"/>
    <d v="1899-12-30T00:00:00"/>
    <s v="Subway"/>
    <x v="9"/>
    <s v="Bakery"/>
    <n v="40"/>
    <n v="4.5999999999999996"/>
    <s v="70mins"/>
    <n v="809"/>
    <n v="0.15"/>
    <s v="Wallet"/>
    <x v="4"/>
    <n v="8"/>
    <s v="Grab"/>
    <n v="158"/>
  </r>
  <r>
    <s v="ZOM-10275"/>
    <d v="2026-04-29T00:00:00"/>
    <s v="05-18-2024"/>
    <d v="1899-12-30T18:21:00"/>
    <s v="Bikanervala"/>
    <x v="10"/>
    <s v="Mughlai"/>
    <n v="46"/>
    <n v="3"/>
    <s v="23 mins"/>
    <n v="2484"/>
    <n v="0.2"/>
    <s v="Upi"/>
    <x v="3"/>
    <n v="9"/>
    <s v="In-House"/>
    <n v="24"/>
  </r>
  <r>
    <s v="ZOM-10276"/>
    <d v="2026-03-19T00:00:00"/>
    <s v="13-05-2024"/>
    <d v="1899-12-30T00:00:00"/>
    <s v="Wow! Momo"/>
    <x v="0"/>
    <s v="Chinese"/>
    <n v="64"/>
    <n v="1.5"/>
    <s v="26mins"/>
    <n v="2383"/>
    <n v="0"/>
    <s v="Cash On Delivery"/>
    <x v="3"/>
    <n v="10"/>
    <s v="Shadowfax"/>
    <n v="137"/>
  </r>
  <r>
    <s v="ZOM-10277"/>
    <d v="2026-02-08T00:00:00"/>
    <s v="15-03-2024"/>
    <d v="1899-12-30T00:00:00"/>
    <s v="Faasos"/>
    <x v="9"/>
    <s v="Italian"/>
    <n v="47"/>
    <n v="3.6"/>
    <s v="65mins"/>
    <n v="1797"/>
    <n v="100"/>
    <s v="Net Banking"/>
    <x v="1"/>
    <n v="9"/>
    <s v="Dunzo"/>
    <n v="49"/>
  </r>
  <r>
    <s v="ZOM-10278"/>
    <d v="2026-03-31T00:00:00"/>
    <s v="03-09-2024"/>
    <d v="1899-12-30T16:34:00"/>
    <s v="Kfc"/>
    <x v="6"/>
    <s v="South Indian"/>
    <n v="19"/>
    <n v="1.1000000000000001"/>
    <s v="57mins"/>
    <n v="2291"/>
    <n v="150"/>
    <s v="Upi"/>
    <x v="3"/>
    <n v="5"/>
    <s v="Shadowfax"/>
    <n v="9"/>
  </r>
  <r>
    <s v="ORD_101"/>
    <d v="2026-08-12T00:00:00"/>
    <s v="12-07-2024"/>
    <d v="1899-12-30T00:00:00"/>
    <s v="Subway"/>
    <x v="0"/>
    <s v="Biryani"/>
    <n v="65"/>
    <n v="4.4000000000000004"/>
    <s v="47 mins"/>
    <n v="1839"/>
    <n v="0"/>
    <s v="Wallet"/>
    <x v="1"/>
    <n v="5"/>
    <s v="Dunzo"/>
    <n v="20"/>
  </r>
  <r>
    <s v="ZOM-10282"/>
    <d v="2026-02-24T00:00:00"/>
    <s v="03-07-2024"/>
    <d v="1899-12-30T00:00:00"/>
    <s v="Kfc"/>
    <x v="8"/>
    <s v="Desserts"/>
    <n v="65"/>
    <n v="4.4000000000000004"/>
    <s v="48 mins"/>
    <n v="1822"/>
    <n v="0.15"/>
    <s v="Cash Card"/>
    <x v="3"/>
    <n v="2"/>
    <s v="Zomato Valet"/>
    <n v="58"/>
  </r>
  <r>
    <s v="ZOM-10283"/>
    <d v="2026-09-25T00:00:00"/>
    <s v="04-01-2024"/>
    <d v="1899-12-30T00:00:00"/>
    <s v="Subway"/>
    <x v="5"/>
    <s v="Bakery"/>
    <n v="24"/>
    <n v="3.1"/>
    <s v="64mins"/>
    <n v="906"/>
    <n v="75"/>
    <s v="Wallet"/>
    <x v="5"/>
    <n v="4"/>
    <s v="Zomato Valet"/>
    <n v="33"/>
  </r>
  <r>
    <s v="ZOM-10000"/>
    <d v="2026-08-17T00:00:00"/>
    <s v="20-01-2024"/>
    <d v="1899-12-30T00:00:00"/>
    <s v="Paradise Biryani"/>
    <x v="6"/>
    <s v="Mughlai"/>
    <n v="56"/>
    <n v="4.8"/>
    <s v="50mins"/>
    <n v="1813"/>
    <n v="100"/>
    <s v="Wallet"/>
    <x v="1"/>
    <n v="8"/>
    <s v="In-House"/>
    <n v="124"/>
  </r>
  <r>
    <s v="ZOM-10286"/>
    <d v="2026-07-15T00:00:00"/>
    <s v="03-02-2024"/>
    <d v="1899-12-30T00:00:00"/>
    <s v="Haldiram'S"/>
    <x v="8"/>
    <s v="North Indian"/>
    <n v="28"/>
    <n v="3.3"/>
    <s v="16mins"/>
    <n v="2358"/>
    <n v="150"/>
    <s v="Upi"/>
    <x v="2"/>
    <n v="4"/>
    <s v="In-House"/>
    <n v="166"/>
  </r>
  <r>
    <s v="ZOM-10000"/>
    <d v="2026-10-24T00:00:00"/>
    <s v="11-03-2024"/>
    <d v="1899-12-30T00:00:00"/>
    <s v="Kfc"/>
    <x v="9"/>
    <s v="Fast Food"/>
    <n v="18"/>
    <n v="2.5"/>
    <s v="61 mins"/>
    <n v="2365"/>
    <n v="50"/>
    <s v="Wallet"/>
    <x v="2"/>
    <n v="4"/>
    <s v="Shadowfax"/>
    <n v="243"/>
  </r>
  <r>
    <s v="ZOM-10288"/>
    <d v="2026-10-19T00:00:00"/>
    <s v="31-03-2024"/>
    <d v="1899-12-30T00:00:00"/>
    <s v="Faasos"/>
    <x v="10"/>
    <s v="Italian"/>
    <n v="62"/>
    <n v="3.2"/>
    <s v="49mins"/>
    <n v="336"/>
    <n v="0.5"/>
    <s v="Unknown"/>
    <x v="1"/>
    <n v="8"/>
    <s v="Rapido"/>
    <n v="137"/>
  </r>
  <r>
    <s v="ZOM-10289"/>
    <d v="2026-05-25T00:00:00"/>
    <s v="01-04-2024"/>
    <d v="1899-12-30T00:00:00"/>
    <s v="Paradise Biryani"/>
    <x v="5"/>
    <s v="Mughlai"/>
    <n v="43"/>
    <n v="2"/>
    <s v="58mins"/>
    <n v="1268"/>
    <n v="0"/>
    <s v="Credit Card"/>
    <x v="1"/>
    <n v="10"/>
    <s v="Zomato Valet"/>
    <n v="19"/>
  </r>
  <r>
    <s v="ZOM-10290"/>
    <d v="2026-12-01T00:00:00"/>
    <s v="25-05-2024"/>
    <d v="1899-12-30T00:00:00"/>
    <s v="Kfc"/>
    <x v="4"/>
    <s v="North Indian"/>
    <n v="29"/>
    <n v="1.8"/>
    <s v="30 mins"/>
    <n v="487"/>
    <n v="0"/>
    <s v="Cash On Delivery"/>
    <x v="1"/>
    <n v="8"/>
    <s v="In-House"/>
    <n v="48"/>
  </r>
  <r>
    <s v="ZOM-10291"/>
    <d v="2026-12-26T00:00:00"/>
    <s v="24-03-2024"/>
    <d v="1899-12-30T00:00:00"/>
    <s v="Behrouz Biryani"/>
    <x v="11"/>
    <s v="Bakery"/>
    <n v="18"/>
    <n v="4"/>
    <s v="44mins"/>
    <n v="449"/>
    <n v="0.5"/>
    <s v="Upi"/>
    <x v="2"/>
    <n v="5"/>
    <s v="Grab"/>
    <n v="91"/>
  </r>
  <r>
    <s v="ZOM-10292"/>
    <d v="2026-12-15T00:00:00"/>
    <s v="07-06-2024"/>
    <d v="1899-12-30T03:27:00"/>
    <s v="Subway"/>
    <x v="10"/>
    <s v="Italian, Italian"/>
    <n v="58"/>
    <n v="4.2"/>
    <s v="79mins"/>
    <n v="1007"/>
    <n v="0.6"/>
    <s v="Debit Card"/>
    <x v="1"/>
    <n v="0"/>
    <s v="In-House"/>
    <n v="188"/>
  </r>
  <r>
    <s v="ZOM-10293"/>
    <d v="2026-06-17T00:00:00"/>
    <s v="13-03-2024"/>
    <d v="1899-12-30T00:00:00"/>
    <s v="Paradise Biryani"/>
    <x v="3"/>
    <s v="North Indian"/>
    <n v="18"/>
    <n v="3.5"/>
    <s v="60mins"/>
    <n v="1862"/>
    <n v="0.15"/>
    <s v="Upi"/>
    <x v="1"/>
    <n v="10"/>
    <s v="Shadowfax"/>
    <n v="228"/>
  </r>
  <r>
    <s v="ZOM-10295"/>
    <d v="2026-03-22T00:00:00"/>
    <s v="22-06-2024"/>
    <d v="1899-12-30T00:00:00"/>
    <s v="Subway"/>
    <x v="1"/>
    <s v="Chinese"/>
    <n v="64"/>
    <n v="4.3"/>
    <s v="57mins"/>
    <n v="1409"/>
    <n v="75"/>
    <s v="Debit Card"/>
    <x v="1"/>
    <n v="5"/>
    <s v="Unknown"/>
    <n v="201"/>
  </r>
  <r>
    <s v="ZOM-10296"/>
    <d v="2026-12-09T00:00:00"/>
    <s v="29-03-2024"/>
    <d v="1899-12-30T00:00:00"/>
    <s v="Wow! Momo"/>
    <x v="0"/>
    <s v="Bakery"/>
    <n v="53"/>
    <n v="5"/>
    <s v="31mins"/>
    <n v="1021"/>
    <n v="0.5"/>
    <s v="Credit Card"/>
    <x v="3"/>
    <n v="9"/>
    <s v="Grab"/>
    <n v="217"/>
  </r>
  <r>
    <s v="ZOM-10298"/>
    <d v="2026-09-05T00:00:00"/>
    <s v="16-06-2024"/>
    <d v="1899-12-30T00:00:00"/>
    <s v="Dominos Pizza"/>
    <x v="4"/>
    <s v="Fast Food"/>
    <n v="33"/>
    <n v="2.8"/>
    <s v="26 mins"/>
    <n v="2435"/>
    <n v="0.6"/>
    <s v="Debit Card"/>
    <x v="5"/>
    <n v="0"/>
    <s v="In-House"/>
    <n v="75"/>
  </r>
  <r>
    <s v="ZOM-10299"/>
    <d v="2026-12-27T00:00:00"/>
    <s v="02-07-2024"/>
    <d v="1899-12-30T00:00:00"/>
    <s v="Chai Point"/>
    <x v="1"/>
    <s v="Italian"/>
    <n v="50"/>
    <n v="2.8"/>
    <s v="28mins"/>
    <n v="467"/>
    <n v="0"/>
    <s v="Wallet"/>
    <x v="3"/>
    <n v="2"/>
    <s v="Grab"/>
    <n v="1"/>
  </r>
  <r>
    <s v="ZOM-10300"/>
    <d v="2026-02-01T00:00:00"/>
    <s v="25-04-2024"/>
    <d v="1899-12-30T00:00:00"/>
    <s v="Unknown"/>
    <x v="4"/>
    <s v="Desserts"/>
    <n v="54"/>
    <n v="2.9"/>
    <s v="52mins"/>
    <n v="488"/>
    <n v="0.6"/>
    <s v="Debit Card"/>
    <x v="3"/>
    <n v="0"/>
    <s v="Dunzo"/>
    <n v="249"/>
  </r>
  <r>
    <s v="ZOM-10301"/>
    <d v="2026-09-28T00:00:00"/>
    <s v="29-03-2024"/>
    <d v="1899-12-30T00:00:00"/>
    <s v="Wow! Momo"/>
    <x v="4"/>
    <s v="Unknown"/>
    <n v="39"/>
    <n v="1.8"/>
    <s v="53 mins"/>
    <n v="1972"/>
    <n v="75"/>
    <s v="Cash On Delivery"/>
    <x v="1"/>
    <n v="1"/>
    <s v="Grab"/>
    <n v="87"/>
  </r>
  <r>
    <s v="ZOM-10302"/>
    <d v="2026-07-31T00:00:00"/>
    <s v="17-05-2024"/>
    <d v="1899-12-30T00:00:00"/>
    <s v="Bikanervala"/>
    <x v="4"/>
    <s v="Mughlai"/>
    <n v="65"/>
    <n v="4.3"/>
    <s v="72 mins"/>
    <n v="435"/>
    <n v="0.15"/>
    <s v="Net Banking"/>
    <x v="1"/>
    <n v="2"/>
    <s v="Grab"/>
    <n v="99"/>
  </r>
  <r>
    <s v="ZOM-10303"/>
    <d v="2026-04-22T00:00:00"/>
    <s v="28-05-2024"/>
    <d v="1899-12-30T00:00:00"/>
    <s v="Haldiram'S"/>
    <x v="10"/>
    <s v="Italian"/>
    <n v="50"/>
    <n v="3.6"/>
    <s v="46mins"/>
    <n v="932"/>
    <n v="150"/>
    <s v="Cash On Delivery"/>
    <x v="1"/>
    <n v="3"/>
    <s v="Shadowfax"/>
    <n v="21"/>
  </r>
  <r>
    <s v="ZOM-10304"/>
    <d v="2026-10-01T00:00:00"/>
    <s v="17-05-2024"/>
    <d v="1899-12-30T00:00:00"/>
    <s v="Haldiram'S"/>
    <x v="8"/>
    <s v="Chinese"/>
    <n v="28"/>
    <n v="3.4"/>
    <s v="48 mins"/>
    <n v="2455"/>
    <n v="150"/>
    <s v="Debit Card"/>
    <x v="2"/>
    <n v="6"/>
    <s v="Grab"/>
    <m/>
  </r>
  <r>
    <s v="ZOM-10305"/>
    <d v="2026-08-28T00:00:00"/>
    <s v="04-14-2024"/>
    <d v="1899-12-30T12:04:00"/>
    <s v="Barbeque Nation"/>
    <x v="6"/>
    <s v="Unknown"/>
    <n v="42"/>
    <n v="3.2"/>
    <s v="28 mins"/>
    <n v="1590"/>
    <n v="0.1"/>
    <s v="Credit Card"/>
    <x v="1"/>
    <n v="7"/>
    <s v="In-House"/>
    <n v="2"/>
  </r>
  <r>
    <s v="ZOM-10306"/>
    <d v="2026-04-07T00:00:00"/>
    <s v="15-01-2024"/>
    <d v="1899-12-30T00:00:00"/>
    <s v="Wow! Momo"/>
    <x v="9"/>
    <s v="Fast Food"/>
    <n v="46"/>
    <n v="3.3"/>
    <s v="48mins"/>
    <n v="1445"/>
    <n v="50"/>
    <s v="Upi"/>
    <x v="2"/>
    <n v="3"/>
    <s v="Dunzo"/>
    <n v="30"/>
  </r>
  <r>
    <s v="ZOM-10307"/>
    <d v="2026-09-16T00:00:00"/>
    <s v="10-07-2024"/>
    <d v="1899-12-30T00:00:00"/>
    <s v="Faasos"/>
    <x v="8"/>
    <s v="Bakery, Street Food"/>
    <n v="38"/>
    <n v="3"/>
    <s v="23mins"/>
    <n v="1868"/>
    <n v="0"/>
    <s v="Net Banking"/>
    <x v="1"/>
    <n v="2"/>
    <s v="In-House"/>
    <n v="69"/>
  </r>
  <r>
    <s v="ZOM-10308"/>
    <d v="2026-07-15T00:00:00"/>
    <s v="01-19-2024"/>
    <d v="1899-12-30T06:12:00"/>
    <s v="Kfc"/>
    <x v="0"/>
    <s v="Unknown"/>
    <n v="45"/>
    <n v="4.4000000000000004"/>
    <s v="56mins"/>
    <n v="1387"/>
    <n v="0.6"/>
    <s v="Debit Card"/>
    <x v="3"/>
    <n v="1"/>
    <s v="Rapido"/>
    <n v="177"/>
  </r>
  <r>
    <s v="ZOM-10309"/>
    <d v="2026-03-19T00:00:00"/>
    <s v="03-21-2024"/>
    <d v="1899-12-30T07:51:00"/>
    <s v="Dominos Pizza"/>
    <x v="6"/>
    <s v="Mughlai"/>
    <n v="65"/>
    <n v="1.2"/>
    <s v="40mins"/>
    <n v="609"/>
    <n v="0"/>
    <s v="Credit Card"/>
    <x v="3"/>
    <n v="10"/>
    <s v="Dunzo"/>
    <n v="17"/>
  </r>
  <r>
    <s v="ZOM-10310"/>
    <d v="2026-03-30T00:00:00"/>
    <s v="06-03-2024"/>
    <d v="1899-12-30T00:00:00"/>
    <s v="Unknown"/>
    <x v="7"/>
    <s v="Desserts"/>
    <n v="59"/>
    <n v="5"/>
    <s v="56 mins"/>
    <n v="2048"/>
    <n v="0"/>
    <s v="Debit Card"/>
    <x v="3"/>
    <n v="8"/>
    <s v="Zomato Valet"/>
    <n v="206"/>
  </r>
  <r>
    <s v="ZOM-10311"/>
    <d v="2026-05-05T00:00:00"/>
    <s v="10-02-2024"/>
    <d v="1899-12-30T00:00:00"/>
    <s v="Wow! Momo"/>
    <x v="9"/>
    <s v="Chinese"/>
    <n v="38"/>
    <n v="2.5"/>
    <s v="15 mins"/>
    <n v="188"/>
    <n v="50"/>
    <s v="Cash On Delivery"/>
    <x v="1"/>
    <n v="4"/>
    <s v="Zomato Valet"/>
    <n v="240"/>
  </r>
  <r>
    <s v="ZOM-10312"/>
    <d v="2026-02-22T00:00:00"/>
    <s v="22-04-2024"/>
    <d v="1899-12-30T00:00:00"/>
    <s v="Unknown"/>
    <x v="1"/>
    <s v="Street Food"/>
    <n v="65"/>
    <n v="3.3"/>
    <s v="47 mins"/>
    <n v="429"/>
    <n v="0.1"/>
    <s v="Wallet"/>
    <x v="1"/>
    <n v="5"/>
    <s v="Dunzo"/>
    <n v="115"/>
  </r>
  <r>
    <s v="ZOM-10313"/>
    <d v="2026-09-28T00:00:00"/>
    <s v="03-02-2024"/>
    <d v="1899-12-30T00:00:00"/>
    <s v="Faasos"/>
    <x v="7"/>
    <s v="North Indian, Chinese"/>
    <n v="38"/>
    <n v="2.5"/>
    <s v="59mins"/>
    <n v="567"/>
    <n v="100"/>
    <s v="Cash On Delivery"/>
    <x v="1"/>
    <n v="6"/>
    <s v="Dunzo"/>
    <n v="33"/>
  </r>
  <r>
    <s v="ZOM-10314"/>
    <d v="2026-06-17T00:00:00"/>
    <s v="25-01-2024"/>
    <d v="1899-12-30T00:00:00"/>
    <s v="W0W! M0M0"/>
    <x v="8"/>
    <s v="South Indian"/>
    <n v="46"/>
    <n v="4.9000000000000004"/>
    <s v="70 mins"/>
    <n v="2433"/>
    <n v="120"/>
    <s v="Credit Card"/>
    <x v="3"/>
    <n v="3"/>
    <s v="Rapido"/>
    <n v="184"/>
  </r>
  <r>
    <s v="ZOM-10315"/>
    <d v="2026-07-03T00:00:00"/>
    <s v="15-05-2024"/>
    <d v="1899-12-30T00:00:00"/>
    <s v="Haldiram'S"/>
    <x v="4"/>
    <s v="Chinese"/>
    <n v="51"/>
    <n v="4.5999999999999996"/>
    <s v="32mins"/>
    <n v="1837"/>
    <n v="0"/>
    <s v="Wallet"/>
    <x v="1"/>
    <n v="3"/>
    <s v="Shadowfax"/>
    <n v="241"/>
  </r>
  <r>
    <s v="ZOM-10316"/>
    <d v="2026-11-18T00:00:00"/>
    <s v="10-02-2024"/>
    <d v="1899-12-30T00:00:00"/>
    <s v="Chai Point"/>
    <x v="5"/>
    <s v="Bakery"/>
    <n v="38"/>
    <n v="2.5"/>
    <s v="34 mins"/>
    <n v="1368"/>
    <n v="50"/>
    <s v="Wallet"/>
    <x v="1"/>
    <n v="6"/>
    <s v="Dunzo"/>
    <n v="197"/>
  </r>
  <r>
    <s v="ZOM-10317"/>
    <d v="2026-06-20T00:00:00"/>
    <s v="02-13-2024"/>
    <d v="1899-12-30T16:37:00"/>
    <s v="Dominos Pizza"/>
    <x v="10"/>
    <s v="Mughlai"/>
    <n v="35"/>
    <n v="3.9"/>
    <s v="80mins"/>
    <n v="903"/>
    <n v="0.2"/>
    <s v="Unknown"/>
    <x v="1"/>
    <n v="5"/>
    <s v="Zomato Valet"/>
    <n v="81"/>
  </r>
  <r>
    <s v="ZOM-10318"/>
    <d v="2026-11-05T00:00:00"/>
    <s v="19-06-2024"/>
    <d v="1899-12-30T00:00:00"/>
    <s v="Haldiram'S"/>
    <x v="9"/>
    <s v="Bakery"/>
    <n v="46"/>
    <n v="3.3"/>
    <s v="66mins"/>
    <n v="2055"/>
    <n v="150"/>
    <s v="Upi"/>
    <x v="2"/>
    <n v="8"/>
    <s v="Dunzo"/>
    <n v="36"/>
  </r>
  <r>
    <s v="ZOM-10319"/>
    <d v="2026-03-28T00:00:00"/>
    <s v="03-24-2024"/>
    <d v="1899-12-30T15:38:00"/>
    <s v="Faasos"/>
    <x v="8"/>
    <s v="Fast Food"/>
    <n v="65"/>
    <n v="4.9000000000000004"/>
    <s v="54mins"/>
    <n v="361"/>
    <n v="75"/>
    <s v="Net Banking"/>
    <x v="2"/>
    <n v="8"/>
    <s v="Dunzo"/>
    <n v="27"/>
  </r>
  <r>
    <s v="ZOM-10320"/>
    <d v="2026-11-10T00:00:00"/>
    <s v="28-06-2024"/>
    <d v="1899-12-30T00:00:00"/>
    <s v="Wow! Momo"/>
    <x v="9"/>
    <s v="Biryani"/>
    <n v="42"/>
    <n v="4.8"/>
    <s v="52mins"/>
    <n v="1580"/>
    <n v="0.15"/>
    <s v="Cash On Delivery"/>
    <x v="5"/>
    <n v="4"/>
    <s v="Shadowfax"/>
    <n v="188"/>
  </r>
  <r>
    <s v="ZOM-10321"/>
    <d v="2026-07-29T00:00:00"/>
    <s v="05-06-2024"/>
    <d v="1899-12-30T00:00:00"/>
    <s v="Subway"/>
    <x v="8"/>
    <s v="Italian"/>
    <n v="34"/>
    <n v="2.5"/>
    <s v="45mins"/>
    <n v="882"/>
    <n v="50"/>
    <s v="Debit Card"/>
    <x v="1"/>
    <n v="9"/>
    <s v="In-House"/>
    <n v="186"/>
  </r>
  <r>
    <s v="ZOM-10322"/>
    <d v="2026-03-21T00:00:00"/>
    <s v="14-06-2024"/>
    <d v="1899-12-30T00:00:00"/>
    <s v="Dominos Pizza"/>
    <x v="1"/>
    <s v="Unknown"/>
    <n v="59"/>
    <n v="2.5"/>
    <s v="33mins"/>
    <n v="272"/>
    <n v="75"/>
    <s v="Net Banking"/>
    <x v="1"/>
    <n v="7"/>
    <s v="Shadowfax"/>
    <n v="150"/>
  </r>
  <r>
    <s v="ZOM-10323"/>
    <d v="2026-03-19T00:00:00"/>
    <s v="10-05-2024"/>
    <d v="1899-12-30T00:00:00"/>
    <s v="Wow! Momo"/>
    <x v="0"/>
    <s v="South Indian"/>
    <n v="33"/>
    <n v="4.0999999999999996"/>
    <s v="38mins"/>
    <n v="190"/>
    <n v="75"/>
    <s v="Upi"/>
    <x v="1"/>
    <n v="6"/>
    <s v="Shadowfax"/>
    <n v="153"/>
  </r>
  <r>
    <s v="ZOM-10324"/>
    <d v="2026-05-06T00:00:00"/>
    <s v="12-04-2024"/>
    <d v="1899-12-30T00:00:00"/>
    <s v="Faasos"/>
    <x v="0"/>
    <s v="Street Food"/>
    <n v="51"/>
    <n v="2.5"/>
    <s v="54mins"/>
    <n v="186"/>
    <n v="0"/>
    <s v="Credit Card"/>
    <x v="3"/>
    <n v="3"/>
    <s v="Rapido"/>
    <n v="65"/>
  </r>
  <r>
    <s v="ZOM-10325"/>
    <d v="2026-09-22T00:00:00"/>
    <s v="04-23-2024"/>
    <d v="1899-12-30T01:02:00"/>
    <s v="Wow! Momo"/>
    <x v="5"/>
    <s v="Fast Food"/>
    <n v="39"/>
    <n v="4.7"/>
    <s v="64mins"/>
    <n v="1986"/>
    <n v="0"/>
    <s v="Debit Card"/>
    <x v="1"/>
    <n v="8"/>
    <s v="In-House"/>
    <n v="47"/>
  </r>
  <r>
    <s v="ZOM-10326"/>
    <d v="2026-06-27T00:00:00"/>
    <s v="14-05-2024"/>
    <d v="1899-12-30T00:00:00"/>
    <s v="Wow! Momo"/>
    <x v="4"/>
    <s v="Italian"/>
    <n v="38"/>
    <n v="3.4"/>
    <s v="51mins"/>
    <n v="1955"/>
    <n v="0"/>
    <s v="Credit Card"/>
    <x v="1"/>
    <n v="9"/>
    <s v="Unknown"/>
    <n v="20"/>
  </r>
  <r>
    <s v="ZOM-10327"/>
    <d v="2026-11-20T00:00:00"/>
    <s v="06-24-2024"/>
    <d v="1899-12-30T14:48:00"/>
    <s v="Wow! Momo"/>
    <x v="6"/>
    <s v="Desserts"/>
    <n v="18"/>
    <n v="2.5"/>
    <s v="29mins"/>
    <n v="500"/>
    <n v="0.2"/>
    <s v="Credit Card"/>
    <x v="1"/>
    <n v="5"/>
    <s v="Grab"/>
    <n v="218"/>
  </r>
  <r>
    <s v="ZOM-10328"/>
    <d v="2026-11-10T00:00:00"/>
    <s v="03-10-2024"/>
    <d v="1899-12-30T13:58:00"/>
    <s v="Subway"/>
    <x v="1"/>
    <s v="Italian"/>
    <n v="22"/>
    <n v="1.5"/>
    <s v="77mins"/>
    <n v="278"/>
    <n v="0.2"/>
    <s v="Wallet"/>
    <x v="2"/>
    <n v="2"/>
    <s v="Grab"/>
    <n v="234"/>
  </r>
  <r>
    <s v="ZOM-10329"/>
    <d v="2026-12-09T00:00:00"/>
    <s v="10-01-2024"/>
    <d v="1899-12-30T00:00:00"/>
    <s v="Haldiram'S"/>
    <x v="9"/>
    <s v="Fast Food"/>
    <n v="30"/>
    <n v="3.9"/>
    <s v="15 mins"/>
    <n v="154"/>
    <n v="75"/>
    <s v="Credit Card"/>
    <x v="1"/>
    <n v="4"/>
    <s v="Shadowfax"/>
    <m/>
  </r>
  <r>
    <s v="ZOM-10331"/>
    <d v="2026-09-18T00:00:00"/>
    <s v="26-04-2024"/>
    <d v="1899-12-30T00:00:00"/>
    <s v="Barbeque Nation"/>
    <x v="4"/>
    <s v="Fast Food, Biryani"/>
    <n v="47"/>
    <n v="4.5"/>
    <s v="66mins"/>
    <n v="418"/>
    <n v="0.5"/>
    <s v="Cash On Delivery"/>
    <x v="1"/>
    <n v="3"/>
    <s v="In-House"/>
    <n v="155"/>
  </r>
  <r>
    <s v="ZOM-10332"/>
    <d v="2026-04-28T00:00:00"/>
    <s v="19-07-2024"/>
    <d v="1899-12-30T00:00:00"/>
    <s v="Paradise Biryani"/>
    <x v="6"/>
    <s v="Mughlai"/>
    <n v="21"/>
    <n v="2.4"/>
    <s v="64mins"/>
    <n v="2350"/>
    <n v="0"/>
    <s v="Wallet"/>
    <x v="1"/>
    <n v="4"/>
    <s v="Shadowfax"/>
    <n v="206"/>
  </r>
  <r>
    <s v="ZOM-10333"/>
    <d v="2026-03-22T00:00:00"/>
    <s v="14-07-2024"/>
    <d v="1899-12-30T00:00:00"/>
    <s v="Faasos"/>
    <x v="0"/>
    <s v="South Indian"/>
    <n v="31"/>
    <n v="1.3"/>
    <s v="55mins"/>
    <n v="1509"/>
    <n v="150"/>
    <s v="Credit Card"/>
    <x v="3"/>
    <n v="7"/>
    <s v="Shadowfax"/>
    <n v="151"/>
  </r>
  <r>
    <s v="ZOM-10335"/>
    <d v="2026-03-27T00:00:00"/>
    <s v="05-03-2024"/>
    <d v="1899-12-30T00:00:00"/>
    <s v="Wow! Momo"/>
    <x v="4"/>
    <s v="Mughlai"/>
    <n v="60"/>
    <n v="1.3"/>
    <s v="31mins"/>
    <n v="2195"/>
    <n v="0"/>
    <s v="Unknown"/>
    <x v="1"/>
    <n v="5"/>
    <s v="In-House"/>
    <n v="89"/>
  </r>
  <r>
    <s v="ZOM-10336"/>
    <d v="2026-11-27T00:00:00"/>
    <s v="02-03-2024"/>
    <d v="1899-12-30T11:49:00"/>
    <s v="Wow! Momo"/>
    <x v="9"/>
    <s v="Unknown"/>
    <n v="24"/>
    <n v="1.7"/>
    <s v="51 mins"/>
    <n v="2027"/>
    <n v="0"/>
    <s v="Unknown"/>
    <x v="2"/>
    <n v="8"/>
    <s v="In-House"/>
    <n v="45"/>
  </r>
  <r>
    <s v="ZOM-10337"/>
    <d v="2026-10-22T00:00:00"/>
    <s v="09-07-2024"/>
    <d v="1899-12-30T00:00:00"/>
    <s v="Behrouz Biryani"/>
    <x v="6"/>
    <s v="Street Food"/>
    <n v="63"/>
    <n v="2.2000000000000002"/>
    <s v="22mins"/>
    <n v="1173"/>
    <n v="0"/>
    <s v="Credit Card"/>
    <x v="3"/>
    <n v="3"/>
    <s v="Dunzo"/>
    <n v="50"/>
  </r>
  <r>
    <s v="ZOM-10338"/>
    <d v="2026-03-08T00:00:00"/>
    <s v="12-06-2024"/>
    <d v="1899-12-30T00:00:00"/>
    <s v="Burger King"/>
    <x v="5"/>
    <s v="Mughlai"/>
    <n v="23"/>
    <n v="4.5999999999999996"/>
    <s v="26mins"/>
    <n v="878"/>
    <n v="150"/>
    <s v="Wallet"/>
    <x v="2"/>
    <n v="8"/>
    <s v="Dunzo"/>
    <n v="250"/>
  </r>
  <r>
    <s v="ZOM-10339"/>
    <d v="2026-11-02T00:00:00"/>
    <s v="31-03-2024"/>
    <d v="1899-12-30T00:00:00"/>
    <s v="Paradise Biryani"/>
    <x v="1"/>
    <s v="Italian"/>
    <n v="58"/>
    <n v="2.5"/>
    <s v="37mins"/>
    <n v="479"/>
    <n v="0.1"/>
    <s v="Cash On Delivery"/>
    <x v="1"/>
    <n v="9"/>
    <s v="Dunzo"/>
    <n v="159"/>
  </r>
  <r>
    <s v="ZOM-10340"/>
    <d v="2026-02-15T00:00:00"/>
    <s v="19-06-2024"/>
    <d v="1899-12-30T00:00:00"/>
    <s v="Haldiram'S"/>
    <x v="6"/>
    <s v="Unknown"/>
    <n v="28"/>
    <n v="2.2000000000000002"/>
    <s v="30mins"/>
    <n v="1546"/>
    <n v="0.2"/>
    <s v="Wallet"/>
    <x v="5"/>
    <n v="4"/>
    <s v="Shadowfax"/>
    <n v="220"/>
  </r>
  <r>
    <s v="ZOM-10341"/>
    <d v="2026-01-10T00:00:00"/>
    <s v="01-05-2024"/>
    <d v="1899-12-30T00:00:00"/>
    <s v="Chai Point"/>
    <x v="10"/>
    <s v="Chinese"/>
    <n v="38"/>
    <n v="1.4"/>
    <s v="56mins"/>
    <n v="314"/>
    <n v="150"/>
    <s v="Debit Card"/>
    <x v="2"/>
    <n v="8"/>
    <s v="Shadowfax"/>
    <n v="38"/>
  </r>
  <r>
    <s v="ZOM-10342"/>
    <d v="2026-04-11T00:00:00"/>
    <s v="22-03-2024"/>
    <d v="1899-12-30T00:00:00"/>
    <s v="Chai Point"/>
    <x v="10"/>
    <s v="Chinese"/>
    <n v="62"/>
    <n v="1"/>
    <s v="33mins"/>
    <n v="500"/>
    <n v="100"/>
    <s v="Upi"/>
    <x v="1"/>
    <n v="6"/>
    <s v="Zomato Valet"/>
    <n v="15"/>
  </r>
  <r>
    <s v="ZOM-10344"/>
    <d v="2026-02-25T00:00:00"/>
    <s v="06-13-2024"/>
    <d v="1899-12-30T13:30:00"/>
    <s v="Wow! Momo"/>
    <x v="5"/>
    <s v="Unknown"/>
    <n v="62"/>
    <n v="1.2"/>
    <s v="29 mins"/>
    <n v="2381"/>
    <n v="0.2"/>
    <s v="Debit Card"/>
    <x v="1"/>
    <n v="7"/>
    <s v="Rapido"/>
    <n v="68"/>
  </r>
  <r>
    <s v="ZOM-10345"/>
    <d v="2026-05-30T00:00:00"/>
    <s v="21-01-2024"/>
    <d v="1899-12-30T00:00:00"/>
    <s v="Wow! Momo"/>
    <x v="10"/>
    <s v="Fast Food"/>
    <n v="34"/>
    <n v="3.6"/>
    <s v="72mins"/>
    <n v="1556"/>
    <n v="100"/>
    <s v="Credit Card"/>
    <x v="1"/>
    <n v="10"/>
    <s v="In-House"/>
    <n v="142"/>
  </r>
  <r>
    <s v="ZOM-10347"/>
    <d v="2026-12-26T00:00:00"/>
    <s v="18-04-2024"/>
    <d v="1899-12-30T00:00:00"/>
    <s v="Subway"/>
    <x v="9"/>
    <s v="Chinese"/>
    <n v="48"/>
    <n v="1.5"/>
    <s v="73mins"/>
    <n v="2190"/>
    <n v="75"/>
    <s v="Upi"/>
    <x v="3"/>
    <n v="1"/>
    <s v="Grab"/>
    <m/>
  </r>
  <r>
    <s v="ZOM-10349"/>
    <d v="2026-05-15T00:00:00"/>
    <s v="06-05-2024"/>
    <d v="1899-12-30T00:00:00"/>
    <s v="Kfc"/>
    <x v="4"/>
    <s v="Street Food"/>
    <n v="58"/>
    <n v="2.4"/>
    <s v="35mins"/>
    <n v="2146"/>
    <n v="50"/>
    <s v="Wallet"/>
    <x v="1"/>
    <n v="5"/>
    <s v="Rapido"/>
    <n v="5"/>
  </r>
  <r>
    <s v="ZOM-10350"/>
    <d v="2026-05-26T00:00:00"/>
    <s v="06-07-2024"/>
    <d v="1899-12-30T00:00:00"/>
    <s v="Subway"/>
    <x v="7"/>
    <s v="Mughlai"/>
    <n v="50"/>
    <n v="3"/>
    <s v="54mins"/>
    <n v="696"/>
    <n v="120"/>
    <s v="Wallet"/>
    <x v="1"/>
    <n v="2"/>
    <s v="Zomato Valet"/>
    <n v="59"/>
  </r>
  <r>
    <s v="ZOM-10351"/>
    <d v="2026-06-24T00:00:00"/>
    <s v="17-03-2024"/>
    <d v="1899-12-30T00:00:00"/>
    <s v="Dominos Pizza"/>
    <x v="10"/>
    <s v="Desserts"/>
    <n v="52"/>
    <n v="2.7"/>
    <s v="59mins"/>
    <n v="2379"/>
    <n v="100"/>
    <s v="Upi"/>
    <x v="2"/>
    <n v="2"/>
    <s v="Grab"/>
    <n v="119"/>
  </r>
  <r>
    <s v="ZOM-10352"/>
    <d v="2026-12-29T00:00:00"/>
    <s v="29-06-2024"/>
    <d v="1899-12-30T00:00:00"/>
    <s v="Subway"/>
    <x v="0"/>
    <s v="Mughlai"/>
    <n v="64"/>
    <n v="2.5"/>
    <s v="77mins"/>
    <n v="534"/>
    <n v="0"/>
    <s v="Debit Card"/>
    <x v="1"/>
    <n v="0"/>
    <s v="In-House"/>
    <m/>
  </r>
  <r>
    <s v="ZOM-10354"/>
    <d v="2026-02-12T00:00:00"/>
    <s v="24-04-2024"/>
    <d v="1899-12-30T00:00:00"/>
    <s v="Kfc"/>
    <x v="10"/>
    <s v="Fast Food"/>
    <n v="50"/>
    <n v="1.5"/>
    <s v="16mins"/>
    <n v="842"/>
    <n v="0.15"/>
    <s v="Cash On Delivery"/>
    <x v="1"/>
    <n v="9"/>
    <s v="Zomato Valet"/>
    <n v="88"/>
  </r>
  <r>
    <s v="ZOM-10355"/>
    <d v="2026-08-31T00:00:00"/>
    <s v="19-01-2024"/>
    <d v="1899-12-30T00:00:00"/>
    <s v="Faasos"/>
    <x v="13"/>
    <s v="Desserts, Desserts"/>
    <n v="56"/>
    <n v="1.9"/>
    <s v="76mins"/>
    <n v="1583"/>
    <n v="150"/>
    <s v="Wallet"/>
    <x v="6"/>
    <n v="3"/>
    <s v="Unknown"/>
    <n v="12"/>
  </r>
  <r>
    <s v="ZOM-10356"/>
    <d v="2026-03-30T00:00:00"/>
    <s v="28-03-2024"/>
    <d v="1899-12-30T00:00:00"/>
    <s v="Chai Point"/>
    <x v="7"/>
    <s v="Street Food"/>
    <n v="48"/>
    <n v="3.8"/>
    <s v="23mins"/>
    <n v="719"/>
    <n v="0.2"/>
    <s v="Net Banking"/>
    <x v="3"/>
    <n v="6"/>
    <s v="Rapido"/>
    <n v="117"/>
  </r>
  <r>
    <s v="ZOM-10357"/>
    <d v="2026-03-16T00:00:00"/>
    <s v="05-02-2024"/>
    <d v="1899-12-30T00:00:00"/>
    <s v="Faasos"/>
    <x v="10"/>
    <s v="Biryani"/>
    <n v="29"/>
    <n v="4.2"/>
    <s v="65mins"/>
    <n v="1273"/>
    <n v="120"/>
    <s v="Debit Card"/>
    <x v="1"/>
    <n v="0"/>
    <s v="Shadowfax"/>
    <n v="83"/>
  </r>
  <r>
    <s v="ZOM-10358"/>
    <d v="2026-05-20T00:00:00"/>
    <s v="10-05-2024"/>
    <d v="1899-12-30T00:00:00"/>
    <s v="Burger King"/>
    <x v="1"/>
    <s v="South Indian"/>
    <n v="35"/>
    <n v="3.1"/>
    <s v="21 mins"/>
    <n v="2323"/>
    <n v="0.6"/>
    <s v="Unknown"/>
    <x v="2"/>
    <n v="4"/>
    <s v="Shadowfax"/>
    <n v="168"/>
  </r>
  <r>
    <s v="ZOM-10359"/>
    <d v="2026-05-17T00:00:00"/>
    <s v="06-01-2024"/>
    <d v="1899-12-30T00:00:00"/>
    <s v="Dominos Pizza"/>
    <x v="0"/>
    <s v="Biryani"/>
    <n v="33"/>
    <n v="1.7"/>
    <s v="29 mins"/>
    <n v="500"/>
    <n v="100"/>
    <s v="Net Banking"/>
    <x v="3"/>
    <n v="8"/>
    <s v="Shadowfax"/>
    <n v="123"/>
  </r>
  <r>
    <s v="ZOM-10360"/>
    <d v="2026-05-07T00:00:00"/>
    <s v="21-06-2024"/>
    <d v="1899-12-30T00:00:00"/>
    <s v="Wow! Momo"/>
    <x v="7"/>
    <s v="South Indian"/>
    <n v="31"/>
    <n v="2.4"/>
    <s v="52mins"/>
    <n v="2258"/>
    <n v="0"/>
    <s v="Wallet"/>
    <x v="4"/>
    <n v="1"/>
    <s v="Grab"/>
    <n v="60"/>
  </r>
  <r>
    <s v="ZOM-10361"/>
    <d v="2026-05-08T00:00:00"/>
    <s v="07-03-2024"/>
    <d v="1899-12-30T00:00:00"/>
    <s v="Dominos Pizza"/>
    <x v="0"/>
    <s v="South Indian"/>
    <n v="34"/>
    <n v="4.7"/>
    <s v="52mins"/>
    <n v="457"/>
    <n v="50"/>
    <s v="Credit Card"/>
    <x v="1"/>
    <n v="3"/>
    <s v="Dunzo"/>
    <n v="215"/>
  </r>
  <r>
    <s v="ZOM-10000"/>
    <d v="2026-06-15T00:00:00"/>
    <s v="04-27-2024"/>
    <d v="1899-12-30T18:03:00"/>
    <s v="Faasos"/>
    <x v="1"/>
    <s v="Bakery"/>
    <n v="44"/>
    <n v="4.4000000000000004"/>
    <s v="17 mins"/>
    <n v="612"/>
    <n v="0.2"/>
    <s v="Upi"/>
    <x v="5"/>
    <n v="1"/>
    <s v="Shadowfax"/>
    <n v="31"/>
  </r>
  <r>
    <s v="ZOM-10364"/>
    <d v="2026-05-26T00:00:00"/>
    <s v="15-06-2024"/>
    <d v="1899-12-30T00:00:00"/>
    <s v="Unknown"/>
    <x v="6"/>
    <s v="Mughlai"/>
    <n v="33"/>
    <n v="4.5999999999999996"/>
    <s v="52mins"/>
    <n v="1010"/>
    <n v="150"/>
    <s v="Cash On Delivery"/>
    <x v="1"/>
    <n v="8"/>
    <s v="Zomato Valet"/>
    <n v="224"/>
  </r>
  <r>
    <s v="ZOM-10365"/>
    <d v="2026-07-24T00:00:00"/>
    <s v="01-07-2024"/>
    <d v="1899-12-30T00:00:00"/>
    <s v="Bikanervala"/>
    <x v="3"/>
    <s v="Biryani"/>
    <n v="49"/>
    <n v="3.1"/>
    <s v="79mins"/>
    <n v="280"/>
    <n v="100"/>
    <s v="Debit Card"/>
    <x v="2"/>
    <n v="10"/>
    <s v="Grab"/>
    <m/>
  </r>
  <r>
    <s v="ZOM-10366"/>
    <d v="2026-05-17T00:00:00"/>
    <s v="02-19-2024"/>
    <d v="1899-12-30T14:15:00"/>
    <s v="Barbeque Nation"/>
    <x v="9"/>
    <s v="Mughlai"/>
    <n v="61"/>
    <n v="1.3"/>
    <s v="58mins"/>
    <n v="1588"/>
    <n v="75"/>
    <s v="Net Banking"/>
    <x v="2"/>
    <n v="10"/>
    <s v="Rapido"/>
    <n v="177"/>
  </r>
  <r>
    <s v="ZOM-10367"/>
    <d v="2026-03-06T00:00:00"/>
    <s v="10-03-2024"/>
    <d v="1899-12-30T00:00:00"/>
    <s v="Burger King"/>
    <x v="5"/>
    <s v="Street Food"/>
    <n v="27"/>
    <n v="3.8"/>
    <s v="67mins"/>
    <n v="1887"/>
    <n v="0.1"/>
    <s v="Credit Card"/>
    <x v="1"/>
    <n v="7"/>
    <s v="Grab"/>
    <n v="70"/>
  </r>
  <r>
    <s v="ZOM-10368"/>
    <d v="2026-02-13T00:00:00"/>
    <s v="05-05-2024"/>
    <d v="1899-12-30T00:00:00"/>
    <s v="Subway"/>
    <x v="3"/>
    <s v="South Indian, North Indian"/>
    <n v="45"/>
    <n v="1.4"/>
    <s v="34mins"/>
    <n v="500"/>
    <n v="0.15"/>
    <s v="Debit Card"/>
    <x v="2"/>
    <n v="5"/>
    <s v="Dunzo"/>
    <m/>
  </r>
  <r>
    <s v="ZOM-10000"/>
    <d v="2026-09-10T00:00:00"/>
    <s v="19-02-2024"/>
    <d v="1899-12-30T00:00:00"/>
    <s v="Paradise Biryani"/>
    <x v="10"/>
    <s v="Bakery"/>
    <n v="49"/>
    <n v="3.8"/>
    <s v="15 mins"/>
    <n v="2148"/>
    <n v="100"/>
    <s v="Debit Card"/>
    <x v="1"/>
    <n v="5"/>
    <s v="In-House"/>
    <n v="31"/>
  </r>
  <r>
    <s v="ZOM-10370"/>
    <d v="2026-05-09T00:00:00"/>
    <s v="31-01-2024"/>
    <d v="1899-12-30T00:00:00"/>
    <s v="Paradise Biryani"/>
    <x v="3"/>
    <s v="South Indian"/>
    <n v="37"/>
    <n v="1.8"/>
    <s v="19mins"/>
    <n v="987"/>
    <n v="0.1"/>
    <s v="Upi"/>
    <x v="1"/>
    <n v="6"/>
    <s v="Grab"/>
    <n v="239"/>
  </r>
  <r>
    <s v="ZOM-10372"/>
    <d v="2026-01-09T00:00:00"/>
    <s v="31-05-2024"/>
    <d v="1899-12-30T00:00:00"/>
    <s v="Unknown"/>
    <x v="11"/>
    <s v="Bakery"/>
    <n v="47"/>
    <n v="3.4"/>
    <s v="35 mins"/>
    <n v="2107"/>
    <n v="0.1"/>
    <s v="Credit Card"/>
    <x v="0"/>
    <n v="1"/>
    <s v="Unknown"/>
    <n v="55"/>
  </r>
  <r>
    <s v="ZOM-10374"/>
    <d v="2026-02-24T00:00:00"/>
    <s v="12-06-2024"/>
    <d v="1899-12-30T00:00:00"/>
    <s v="Barbeque Nation"/>
    <x v="6"/>
    <s v="Biryani"/>
    <n v="52"/>
    <n v="1.5"/>
    <s v="50mins"/>
    <n v="1989"/>
    <n v="0"/>
    <s v="Credit Card"/>
    <x v="1"/>
    <n v="2"/>
    <s v="Zomato Valet"/>
    <n v="92"/>
  </r>
  <r>
    <s v="ZOM-10376"/>
    <d v="2026-12-21T00:00:00"/>
    <s v="05-21-2024"/>
    <d v="1899-12-30T18:49:00"/>
    <s v="Kfc"/>
    <x v="6"/>
    <s v="South Indian"/>
    <n v="34"/>
    <n v="5"/>
    <s v="67mins"/>
    <n v="2456"/>
    <n v="0.5"/>
    <s v="Debit Card"/>
    <x v="2"/>
    <n v="9"/>
    <s v="Rapido"/>
    <n v="43"/>
  </r>
  <r>
    <s v="ZOM-10377"/>
    <d v="2026-09-10T00:00:00"/>
    <s v="01-02-2024"/>
    <d v="1899-12-30T00:00:00"/>
    <s v="Chai Point"/>
    <x v="8"/>
    <s v="Street Food"/>
    <n v="60"/>
    <n v="4.5999999999999996"/>
    <s v="20mins"/>
    <n v="862"/>
    <n v="0"/>
    <s v="Debit Card"/>
    <x v="5"/>
    <n v="1"/>
    <s v="Grab"/>
    <n v="45"/>
  </r>
  <r>
    <s v="ZOM-10378"/>
    <d v="2026-01-22T00:00:00"/>
    <s v="04-03-2024"/>
    <d v="1899-12-30T00:00:00"/>
    <s v="Barbeque Nation"/>
    <x v="0"/>
    <s v="Street Food"/>
    <n v="54"/>
    <n v="4.0999999999999996"/>
    <s v="50 mins"/>
    <n v="686"/>
    <n v="100"/>
    <s v="Credit Card"/>
    <x v="1"/>
    <n v="10"/>
    <s v="Zomato Valet"/>
    <m/>
  </r>
  <r>
    <s v="ZOM-10379"/>
    <d v="2026-02-04T00:00:00"/>
    <s v="07-10-2024"/>
    <d v="1899-12-30T08:38:00"/>
    <s v="Chai Point"/>
    <x v="4"/>
    <s v="North Indian"/>
    <n v="25"/>
    <n v="3.6"/>
    <s v="16mins"/>
    <n v="1104"/>
    <n v="50"/>
    <s v="Wallet"/>
    <x v="1"/>
    <n v="4"/>
    <s v="In-House"/>
    <n v="18"/>
  </r>
  <r>
    <s v="ZOM-10380"/>
    <d v="2026-09-23T00:00:00"/>
    <s v="05-05-2024"/>
    <d v="1899-12-30T00:00:00"/>
    <s v="Unknown"/>
    <x v="1"/>
    <s v="Mughlai"/>
    <n v="36"/>
    <n v="2.7"/>
    <s v="15 mins"/>
    <n v="1990"/>
    <n v="75"/>
    <s v="Debit Card"/>
    <x v="2"/>
    <n v="8"/>
    <s v="Shadowfax"/>
    <n v="178"/>
  </r>
  <r>
    <s v="ZOM-10381"/>
    <d v="2026-10-26T00:00:00"/>
    <s v="05-21-2024"/>
    <d v="1899-12-30T17:23:00"/>
    <s v="Barbeque Nation"/>
    <x v="5"/>
    <s v="Unknown"/>
    <n v="24"/>
    <n v="2.1"/>
    <s v="38mins"/>
    <n v="1614"/>
    <n v="0"/>
    <s v="Upi"/>
    <x v="1"/>
    <n v="5"/>
    <s v="In-House"/>
    <n v="186"/>
  </r>
  <r>
    <s v="ZOM-10382"/>
    <d v="2026-10-26T00:00:00"/>
    <s v="03-06-2024"/>
    <d v="1899-12-30T00:00:00"/>
    <s v="Haldiram'S"/>
    <x v="3"/>
    <s v="Mughlai"/>
    <n v="54"/>
    <n v="1.9"/>
    <s v="41mins"/>
    <n v="1232"/>
    <n v="0"/>
    <s v="Wallet"/>
    <x v="3"/>
    <n v="5"/>
    <s v="Zomato Valet"/>
    <n v="247"/>
  </r>
  <r>
    <s v="ZOM-10383"/>
    <d v="2026-02-16T00:00:00"/>
    <s v="24-01-2024"/>
    <d v="1899-12-30T00:00:00"/>
    <s v="Chai Point"/>
    <x v="6"/>
    <s v="North Indian"/>
    <n v="39"/>
    <n v="3"/>
    <s v="51 mins"/>
    <n v="781"/>
    <n v="0.2"/>
    <s v="Cash On Delivery"/>
    <x v="5"/>
    <n v="3"/>
    <s v="Shadowfax"/>
    <n v="21"/>
  </r>
  <r>
    <s v="ZOM-10384"/>
    <d v="2026-12-17T00:00:00"/>
    <s v="16-01-2024"/>
    <d v="1899-12-30T00:00:00"/>
    <s v="Chai Point"/>
    <x v="5"/>
    <s v="Fast Food, Desserts"/>
    <n v="18"/>
    <n v="4.4000000000000004"/>
    <s v="25mins"/>
    <n v="1939"/>
    <n v="0.1"/>
    <s v="Cash On Delivery"/>
    <x v="1"/>
    <n v="10"/>
    <s v="Rapido"/>
    <n v="28"/>
  </r>
  <r>
    <s v="ZOM-10385"/>
    <d v="2026-12-08T00:00:00"/>
    <s v="24-04-2024"/>
    <d v="1899-12-30T00:00:00"/>
    <s v="Paradise Biryani"/>
    <x v="0"/>
    <s v="Mughlai"/>
    <n v="21"/>
    <n v="3.8"/>
    <s v="29mins"/>
    <n v="1453"/>
    <n v="150"/>
    <s v="Wallet"/>
    <x v="3"/>
    <n v="10"/>
    <s v="Rapido"/>
    <n v="102"/>
  </r>
  <r>
    <s v="ZOM-10386"/>
    <d v="2026-05-14T00:00:00"/>
    <s v="26-03-2024"/>
    <d v="1899-12-30T00:00:00"/>
    <s v="Unknown"/>
    <x v="1"/>
    <s v="Chinese, Fast Food"/>
    <n v="22"/>
    <n v="3.5"/>
    <s v="63 mins"/>
    <n v="886"/>
    <n v="0.2"/>
    <s v="Unknown"/>
    <x v="1"/>
    <n v="1"/>
    <s v="Zomato Valet"/>
    <n v="187"/>
  </r>
  <r>
    <s v="ORD_116"/>
    <d v="2026-07-10T00:00:00"/>
    <s v="03-03-2024"/>
    <d v="1899-12-30T00:00:00"/>
    <s v="Kfc"/>
    <x v="7"/>
    <s v="Biryani"/>
    <n v="18"/>
    <n v="1.7"/>
    <s v="20mins"/>
    <n v="500"/>
    <n v="100"/>
    <s v="Credit Card"/>
    <x v="1"/>
    <n v="0"/>
    <s v="Rapido"/>
    <n v="203"/>
  </r>
  <r>
    <s v="ZOM-10389"/>
    <d v="2026-12-11T00:00:00"/>
    <s v="13-01-2024"/>
    <d v="1899-12-30T00:00:00"/>
    <s v="Burger King"/>
    <x v="0"/>
    <s v="Fast Food"/>
    <n v="30"/>
    <n v="4.0999999999999996"/>
    <s v="23mins"/>
    <n v="1071"/>
    <n v="50"/>
    <s v="Wallet"/>
    <x v="1"/>
    <n v="7"/>
    <s v="Dunzo"/>
    <n v="59"/>
  </r>
  <r>
    <s v="ZOM-10390"/>
    <d v="2026-02-06T00:00:00"/>
    <s v="15-05-2024"/>
    <d v="1899-12-30T00:00:00"/>
    <s v="Burger King"/>
    <x v="7"/>
    <s v="Desserts"/>
    <n v="29"/>
    <n v="1.9"/>
    <s v="58mins"/>
    <n v="1413"/>
    <n v="0.1"/>
    <s v="Wallet"/>
    <x v="2"/>
    <n v="9"/>
    <s v="Rapido"/>
    <n v="5"/>
  </r>
  <r>
    <s v="ZOM-10391"/>
    <d v="2026-05-01T00:00:00"/>
    <s v="12-05-2024"/>
    <d v="1899-12-30T00:00:00"/>
    <s v="Burger King"/>
    <x v="0"/>
    <s v="North Indian"/>
    <n v="40"/>
    <n v="3.1"/>
    <s v="30mins"/>
    <n v="1059"/>
    <n v="0.1"/>
    <s v="Upi"/>
    <x v="1"/>
    <n v="10"/>
    <s v="Zomato Valet"/>
    <n v="8"/>
  </r>
  <r>
    <s v="ZOM-10392"/>
    <d v="2026-01-20T00:00:00"/>
    <s v="04-14-2024"/>
    <d v="1899-12-30T01:11:00"/>
    <s v="Haldiram'S"/>
    <x v="3"/>
    <s v="Italian"/>
    <n v="18"/>
    <n v="1.8"/>
    <s v="15 mins"/>
    <n v="2049"/>
    <n v="0.5"/>
    <s v="Upi"/>
    <x v="1"/>
    <n v="8"/>
    <s v="Dunzo"/>
    <n v="117"/>
  </r>
  <r>
    <s v="ZOM-10393"/>
    <d v="2026-05-25T00:00:00"/>
    <s v="07-06-2024"/>
    <d v="1899-12-30T00:00:00"/>
    <s v="Kfc"/>
    <x v="10"/>
    <s v="Bakery"/>
    <n v="48"/>
    <n v="1.1000000000000001"/>
    <s v="41 mins"/>
    <n v="583"/>
    <n v="0.15"/>
    <s v="Net Banking"/>
    <x v="2"/>
    <n v="1"/>
    <s v="In-House"/>
    <n v="37"/>
  </r>
  <r>
    <s v="ZOM-10394"/>
    <d v="2026-05-27T00:00:00"/>
    <m/>
    <d v="1899-12-30T00:00:00"/>
    <s v="Kfc"/>
    <x v="0"/>
    <s v="Italian, North Indian"/>
    <n v="21"/>
    <n v="1.8"/>
    <s v="26mins"/>
    <n v="2067"/>
    <n v="0.5"/>
    <s v="Upi"/>
    <x v="3"/>
    <n v="1"/>
    <s v="Grab"/>
    <n v="109"/>
  </r>
  <r>
    <s v="ZOM-10395"/>
    <d v="2026-02-03T00:00:00"/>
    <s v="23-05-2024"/>
    <d v="1899-12-30T00:00:00"/>
    <s v="Chai Point"/>
    <x v="0"/>
    <s v="Street Food"/>
    <n v="60"/>
    <n v="3.9"/>
    <s v="67mins"/>
    <n v="230"/>
    <n v="0.1"/>
    <s v="Upi"/>
    <x v="4"/>
    <n v="10"/>
    <s v="In-House"/>
    <n v="109"/>
  </r>
  <r>
    <s v="ZOM-10396"/>
    <d v="2026-06-07T00:00:00"/>
    <s v="06-03-2024"/>
    <d v="1899-12-30T00:00:00"/>
    <s v="Subway"/>
    <x v="10"/>
    <s v="Biryani"/>
    <n v="61"/>
    <n v="4.9000000000000004"/>
    <s v="52mins"/>
    <n v="466"/>
    <n v="150"/>
    <s v="Net Banking"/>
    <x v="1"/>
    <n v="4"/>
    <s v="Shadowfax"/>
    <n v="197"/>
  </r>
  <r>
    <s v="ZOM-10397"/>
    <d v="2026-03-10T00:00:00"/>
    <s v="17-07-2024"/>
    <d v="1899-12-30T00:00:00"/>
    <s v="Wow! Momo"/>
    <x v="0"/>
    <s v="South Indian"/>
    <n v="29"/>
    <n v="2.2000000000000002"/>
    <s v="44mins"/>
    <n v="1358"/>
    <n v="120"/>
    <s v="Debit Card"/>
    <x v="1"/>
    <n v="1"/>
    <s v="Dunzo"/>
    <n v="41"/>
  </r>
  <r>
    <s v="ZOM-10398"/>
    <d v="2026-01-19T00:00:00"/>
    <s v="28-03-2024"/>
    <d v="1899-12-30T00:00:00"/>
    <s v="Barbeque Nation"/>
    <x v="5"/>
    <s v="Desserts, Chinese"/>
    <n v="18"/>
    <n v="2.7"/>
    <s v="33mins"/>
    <n v="1944"/>
    <n v="0.2"/>
    <s v="Upi"/>
    <x v="1"/>
    <n v="9"/>
    <s v="Dunzo"/>
    <n v="70"/>
  </r>
  <r>
    <s v="ZOM-10400"/>
    <d v="2026-10-29T00:00:00"/>
    <s v="10-03-2024"/>
    <d v="1899-12-30T00:00:00"/>
    <s v="Paradise Biryani"/>
    <x v="1"/>
    <s v="Italian"/>
    <n v="23"/>
    <n v="3"/>
    <s v="75mins"/>
    <n v="2316"/>
    <n v="120"/>
    <s v="Wallet"/>
    <x v="1"/>
    <n v="2"/>
    <s v="Shadowfax"/>
    <n v="51"/>
  </r>
  <r>
    <s v="ZOM-10401"/>
    <d v="2026-04-14T00:00:00"/>
    <s v="13-02-2024"/>
    <d v="1899-12-30T00:00:00"/>
    <s v="Subw@Y"/>
    <x v="4"/>
    <s v="Unknown"/>
    <n v="45"/>
    <n v="3.1"/>
    <s v="31mins"/>
    <n v="1233"/>
    <n v="100"/>
    <s v="Upi"/>
    <x v="1"/>
    <n v="3"/>
    <s v="Rapido"/>
    <n v="51"/>
  </r>
  <r>
    <s v="ZOM-10402"/>
    <d v="2026-03-29T00:00:00"/>
    <s v="11-03-2024"/>
    <d v="1899-12-30T00:00:00"/>
    <s v="Dominos Pizza"/>
    <x v="8"/>
    <s v="Mughlai"/>
    <n v="18"/>
    <n v="1.4"/>
    <s v="38mins"/>
    <n v="364"/>
    <n v="100"/>
    <s v="Credit Card"/>
    <x v="1"/>
    <n v="4"/>
    <s v="Rapido"/>
    <n v="90"/>
  </r>
  <r>
    <s v="ZOM-10403"/>
    <d v="2026-11-16T00:00:00"/>
    <s v="27-03-2024"/>
    <d v="1899-12-30T00:00:00"/>
    <s v="Paradise Biryani"/>
    <x v="10"/>
    <s v="South Indian"/>
    <n v="33"/>
    <n v="3.1"/>
    <s v="16mins"/>
    <n v="500"/>
    <n v="0"/>
    <s v="Wallet"/>
    <x v="2"/>
    <n v="6"/>
    <s v="Zomato Valet"/>
    <n v="68"/>
  </r>
  <r>
    <s v="ZOM-10404"/>
    <d v="2026-03-27T00:00:00"/>
    <s v="06-07-2024"/>
    <d v="1899-12-30T00:00:00"/>
    <s v="Barbeque Nation"/>
    <x v="1"/>
    <s v="Street Food"/>
    <n v="36"/>
    <n v="4.5"/>
    <s v="31mins"/>
    <n v="500"/>
    <n v="0.1"/>
    <s v="Net Banking"/>
    <x v="1"/>
    <n v="9"/>
    <s v="Dunzo"/>
    <n v="120"/>
  </r>
  <r>
    <s v="ZOM-10405"/>
    <d v="2026-09-01T00:00:00"/>
    <s v="17-01-2024"/>
    <d v="1899-12-30T00:00:00"/>
    <s v="Kfc"/>
    <x v="0"/>
    <s v="Fast Food"/>
    <n v="52"/>
    <n v="3.6"/>
    <s v="15 mins"/>
    <n v="1585"/>
    <n v="120"/>
    <s v="Upi"/>
    <x v="1"/>
    <n v="10"/>
    <s v="Rapido"/>
    <n v="157"/>
  </r>
  <r>
    <s v="ZOM-10406"/>
    <d v="2026-08-30T00:00:00"/>
    <s v="27-05-2024"/>
    <d v="1899-12-30T00:00:00"/>
    <s v="Unknown"/>
    <x v="8"/>
    <s v="Fast Food"/>
    <n v="19"/>
    <n v="4.5"/>
    <s v="64mins"/>
    <n v="1027"/>
    <n v="120"/>
    <s v="Unknown"/>
    <x v="1"/>
    <n v="6"/>
    <s v="Dunzo"/>
    <n v="93"/>
  </r>
  <r>
    <s v="ZOM-10407"/>
    <d v="2026-10-26T00:00:00"/>
    <s v="05-06-2024"/>
    <d v="1899-12-30T00:00:00"/>
    <s v="Dominos Pizza"/>
    <x v="5"/>
    <s v="Chinese"/>
    <n v="43"/>
    <n v="1.3"/>
    <s v="56mins"/>
    <n v="564"/>
    <n v="100"/>
    <s v="Credit Card"/>
    <x v="1"/>
    <n v="4"/>
    <s v="Dunzo"/>
    <n v="42"/>
  </r>
  <r>
    <s v="ZOM-10409"/>
    <d v="2026-01-12T00:00:00"/>
    <s v="25-02-2024"/>
    <d v="1899-12-30T00:00:00"/>
    <s v="Dominos Pizza"/>
    <x v="6"/>
    <s v="North Indian"/>
    <n v="59"/>
    <n v="2.1"/>
    <s v="26mins"/>
    <n v="204"/>
    <n v="120"/>
    <s v="Net Banking"/>
    <x v="1"/>
    <n v="8"/>
    <s v="Zomato Valet"/>
    <n v="199"/>
  </r>
  <r>
    <s v="ZOM-10410"/>
    <d v="2026-01-09T00:00:00"/>
    <s v="11-02-2024"/>
    <d v="1899-12-30T00:00:00"/>
    <s v="Wow! Momo"/>
    <x v="3"/>
    <s v="Mughlai"/>
    <n v="63"/>
    <n v="2.2999999999999998"/>
    <s v="50mins"/>
    <n v="1408"/>
    <n v="75"/>
    <s v="Debit Card"/>
    <x v="1"/>
    <n v="2"/>
    <s v="In-House"/>
    <n v="35"/>
  </r>
  <r>
    <s v="ZOM-10411"/>
    <d v="2026-04-19T00:00:00"/>
    <s v="03-19-2024"/>
    <d v="1899-12-30T12:42:00"/>
    <s v="Chai Point"/>
    <x v="9"/>
    <s v="North Indian"/>
    <n v="45"/>
    <n v="1.7"/>
    <s v="34 mins"/>
    <n v="797"/>
    <n v="100"/>
    <s v="Net Banking"/>
    <x v="3"/>
    <n v="5"/>
    <s v="In-House"/>
    <n v="37"/>
  </r>
  <r>
    <s v="ZOM-10412"/>
    <d v="2026-10-13T00:00:00"/>
    <s v="04-04-2024"/>
    <d v="1899-12-30T00:00:00"/>
    <s v="Haldiram'S"/>
    <x v="9"/>
    <s v="Chinese"/>
    <n v="57"/>
    <n v="2.5"/>
    <s v="15 mins"/>
    <n v="334"/>
    <n v="0.15"/>
    <s v="Cash Card"/>
    <x v="3"/>
    <n v="8"/>
    <s v="Shadowfax"/>
    <n v="78"/>
  </r>
  <r>
    <s v="ZOM-10413"/>
    <d v="2026-01-18T00:00:00"/>
    <s v="09-06-2024"/>
    <d v="1899-12-30T00:00:00"/>
    <s v="Subway"/>
    <x v="4"/>
    <s v="Mughlai"/>
    <n v="21"/>
    <n v="1.7"/>
    <s v="30mins"/>
    <n v="1656"/>
    <n v="50"/>
    <s v="Credit Card"/>
    <x v="1"/>
    <n v="1"/>
    <s v="Dunzo"/>
    <n v="235"/>
  </r>
  <r>
    <s v="ZOM-10414"/>
    <d v="2026-02-12T00:00:00"/>
    <s v="02-13-2024"/>
    <d v="1899-12-30T03:26:00"/>
    <s v="Kfc"/>
    <x v="8"/>
    <s v="Desserts"/>
    <n v="31"/>
    <n v="4.8"/>
    <s v="30mins"/>
    <n v="1284"/>
    <n v="100"/>
    <s v="Credit Card"/>
    <x v="1"/>
    <n v="8"/>
    <s v="Rapido"/>
    <n v="215"/>
  </r>
  <r>
    <s v="ZOM-10415"/>
    <d v="2026-06-25T00:00:00"/>
    <s v="01-01-2024"/>
    <d v="1899-12-30T00:00:00"/>
    <s v="Paradise Biryani"/>
    <x v="10"/>
    <s v="South Indian"/>
    <n v="53"/>
    <n v="3.1"/>
    <s v="16 mins"/>
    <n v="2053"/>
    <n v="0"/>
    <s v="Debit Card"/>
    <x v="6"/>
    <n v="9"/>
    <s v="Grab"/>
    <n v="212"/>
  </r>
  <r>
    <s v="ZOM-10000"/>
    <d v="2026-04-01T00:00:00"/>
    <s v="18-03-2024"/>
    <d v="1899-12-30T00:00:00"/>
    <s v="Faasos"/>
    <x v="0"/>
    <s v="Bakery"/>
    <n v="58"/>
    <n v="1.6"/>
    <s v="22 mins"/>
    <n v="2183"/>
    <n v="100"/>
    <s v="Cash On Delivery"/>
    <x v="1"/>
    <n v="3"/>
    <s v="Zomato Valet"/>
    <n v="67"/>
  </r>
  <r>
    <s v="ZOM-10418"/>
    <d v="2026-01-22T00:00:00"/>
    <s v="13-07-2024"/>
    <d v="1899-12-30T00:00:00"/>
    <s v="Dominos Pizza"/>
    <x v="6"/>
    <s v="Fast Food"/>
    <n v="24"/>
    <n v="4.0999999999999996"/>
    <s v="20 mins"/>
    <n v="797"/>
    <n v="150"/>
    <s v="Net Banking"/>
    <x v="2"/>
    <n v="3"/>
    <s v="Zomato Valet"/>
    <n v="151"/>
  </r>
  <r>
    <s v="ZOM-10419"/>
    <d v="2026-12-13T00:00:00"/>
    <m/>
    <d v="1899-12-30T00:00:00"/>
    <s v="Dominos Pizza"/>
    <x v="10"/>
    <s v="South Indian"/>
    <n v="40"/>
    <n v="3.2"/>
    <s v="31mins"/>
    <n v="500"/>
    <n v="150"/>
    <s v="Unknown"/>
    <x v="1"/>
    <n v="3"/>
    <s v="Grab"/>
    <n v="60"/>
  </r>
  <r>
    <s v="ZOM-10421"/>
    <d v="2026-02-07T00:00:00"/>
    <s v="04-03-2024"/>
    <d v="1899-12-30T00:00:00"/>
    <s v="H@Ldir@M'S"/>
    <x v="0"/>
    <s v="Street Food"/>
    <n v="44"/>
    <n v="1.4"/>
    <s v="26mins"/>
    <n v="1284"/>
    <n v="0"/>
    <s v="Upi"/>
    <x v="1"/>
    <n v="2"/>
    <s v="Dunzo"/>
    <m/>
  </r>
  <r>
    <s v="ZOM-10422"/>
    <d v="2026-05-04T00:00:00"/>
    <s v="28-04-2024"/>
    <d v="1899-12-30T00:00:00"/>
    <s v="Bikanervala"/>
    <x v="1"/>
    <s v="Unknown"/>
    <n v="29"/>
    <n v="4.4000000000000004"/>
    <s v="72mins"/>
    <n v="1134"/>
    <n v="0.1"/>
    <s v="Credit Card"/>
    <x v="3"/>
    <n v="10"/>
    <s v="Grab"/>
    <n v="230"/>
  </r>
  <r>
    <s v="ZOM-10423"/>
    <d v="2026-06-08T00:00:00"/>
    <s v="21-04-2024"/>
    <d v="1899-12-30T00:00:00"/>
    <s v="Chai Point"/>
    <x v="11"/>
    <s v="Biryani"/>
    <n v="55"/>
    <n v="2.5"/>
    <s v="22 mins"/>
    <n v="240"/>
    <n v="0"/>
    <s v="Unknown"/>
    <x v="2"/>
    <n v="2"/>
    <s v="In-House"/>
    <n v="153"/>
  </r>
  <r>
    <s v="ZOM-10424"/>
    <d v="2026-06-02T00:00:00"/>
    <s v="19-06-2024"/>
    <d v="1899-12-30T00:00:00"/>
    <s v="Unknown"/>
    <x v="10"/>
    <s v="Bakery"/>
    <n v="43"/>
    <n v="3.1"/>
    <s v="43mins"/>
    <n v="1662"/>
    <n v="150"/>
    <s v="Upi"/>
    <x v="2"/>
    <n v="3"/>
    <s v="Shadowfax"/>
    <n v="80"/>
  </r>
  <r>
    <s v="ZOM-10425"/>
    <d v="2026-07-08T00:00:00"/>
    <s v="14-07-2024"/>
    <d v="1899-12-30T00:00:00"/>
    <s v="Dominos Pizza"/>
    <x v="10"/>
    <s v="North Indian"/>
    <n v="60"/>
    <n v="1.9"/>
    <s v="44 mins"/>
    <n v="2071"/>
    <n v="0.1"/>
    <s v="Cash On Delivery"/>
    <x v="1"/>
    <n v="9"/>
    <s v="Zomato Valet"/>
    <n v="168"/>
  </r>
  <r>
    <s v="ZOM-10428"/>
    <d v="2026-11-11T00:00:00"/>
    <s v="22-05-2024"/>
    <d v="1899-12-30T00:00:00"/>
    <s v="Subway"/>
    <x v="7"/>
    <s v="Italian"/>
    <n v="33"/>
    <n v="4.7"/>
    <s v="49mins"/>
    <n v="1198"/>
    <n v="0"/>
    <s v="Upi"/>
    <x v="3"/>
    <n v="7"/>
    <s v="Dunzo"/>
    <n v="86"/>
  </r>
  <r>
    <s v="ZOM-10429"/>
    <d v="2026-04-10T00:00:00"/>
    <s v="16-05-2024"/>
    <d v="1899-12-30T00:00:00"/>
    <s v="Wow! Momo"/>
    <x v="5"/>
    <s v="Street Food"/>
    <n v="22"/>
    <n v="1.3"/>
    <s v="29mins"/>
    <n v="1516"/>
    <n v="75"/>
    <s v="Wallet"/>
    <x v="3"/>
    <n v="7"/>
    <s v="Zomato Valet"/>
    <n v="66"/>
  </r>
  <r>
    <s v="ZOM-10431"/>
    <d v="2026-11-05T00:00:00"/>
    <s v="08-06-2024"/>
    <d v="1899-12-30T00:00:00"/>
    <s v="Faasos"/>
    <x v="10"/>
    <s v="Italian"/>
    <n v="54"/>
    <n v="4.5999999999999996"/>
    <s v="36 mins"/>
    <n v="1520"/>
    <n v="0"/>
    <s v="Upi"/>
    <x v="3"/>
    <n v="6"/>
    <s v="Shadowfax"/>
    <n v="149"/>
  </r>
  <r>
    <s v="ZOM-10432"/>
    <d v="2026-02-20T00:00:00"/>
    <s v="23-06-2024"/>
    <d v="1899-12-30T00:00:00"/>
    <s v="Chai Point"/>
    <x v="3"/>
    <s v="South Indian"/>
    <n v="49"/>
    <n v="2.5"/>
    <s v="15 mins"/>
    <n v="1681"/>
    <n v="75"/>
    <s v="Net Banking"/>
    <x v="1"/>
    <n v="9"/>
    <s v="Rapido"/>
    <n v="64"/>
  </r>
  <r>
    <s v="ORD_150"/>
    <d v="2026-06-15T00:00:00"/>
    <s v="20-03-2024"/>
    <d v="1899-12-30T00:00:00"/>
    <s v="Kfc"/>
    <x v="1"/>
    <s v="Chinese"/>
    <n v="33"/>
    <n v="2.5"/>
    <s v="63mins"/>
    <n v="1984"/>
    <n v="0.5"/>
    <s v="Debit Card"/>
    <x v="2"/>
    <n v="1"/>
    <s v="In-House"/>
    <n v="202"/>
  </r>
  <r>
    <s v="ZOM-10434"/>
    <d v="2026-02-13T00:00:00"/>
    <s v="14-07-2024"/>
    <d v="1899-12-30T00:00:00"/>
    <s v="Paradise Biryani"/>
    <x v="10"/>
    <s v="South Indian"/>
    <n v="50"/>
    <n v="2"/>
    <s v="64mins"/>
    <n v="500"/>
    <n v="120"/>
    <s v="Upi"/>
    <x v="1"/>
    <n v="2"/>
    <s v="Shadowfax"/>
    <n v="38"/>
  </r>
  <r>
    <s v="ZOM-10435"/>
    <d v="2026-03-31T00:00:00"/>
    <s v="10-03-2024"/>
    <d v="1899-12-30T00:00:00"/>
    <s v="Behrouz Biryani"/>
    <x v="9"/>
    <s v="Chinese"/>
    <n v="32"/>
    <n v="3.8"/>
    <s v="21mins"/>
    <n v="1218"/>
    <n v="50"/>
    <s v="Debit Card"/>
    <x v="3"/>
    <n v="9"/>
    <s v="Dunzo"/>
    <n v="168"/>
  </r>
  <r>
    <s v="ZOM-10436"/>
    <d v="2026-02-22T00:00:00"/>
    <s v="19-04-2024"/>
    <d v="1899-12-30T00:00:00"/>
    <s v="Kfc"/>
    <x v="9"/>
    <s v="Mughlai"/>
    <n v="49"/>
    <n v="3.5"/>
    <s v="25mins"/>
    <n v="1193"/>
    <n v="0.15"/>
    <s v="Credit Card"/>
    <x v="0"/>
    <n v="2"/>
    <s v="Grab"/>
    <n v="99"/>
  </r>
  <r>
    <s v="ZOM-10437"/>
    <d v="2026-04-28T00:00:00"/>
    <s v="04-03-2024"/>
    <d v="1899-12-30T00:00:00"/>
    <s v="Behrouz Biryani"/>
    <x v="6"/>
    <s v="Biryani"/>
    <n v="18"/>
    <n v="2.5"/>
    <s v="28mins"/>
    <n v="1345"/>
    <n v="0.5"/>
    <s v="Net Banking"/>
    <x v="2"/>
    <n v="6"/>
    <s v="Dunzo"/>
    <n v="95"/>
  </r>
  <r>
    <s v="ZOM-10438"/>
    <d v="2026-09-01T00:00:00"/>
    <s v="05-01-2024"/>
    <d v="1899-12-30T20:34:00"/>
    <s v="Paradise Biryani"/>
    <x v="3"/>
    <s v="Mughlai"/>
    <n v="42"/>
    <n v="3.3"/>
    <s v="80mins"/>
    <n v="1968"/>
    <n v="120"/>
    <s v="Upi"/>
    <x v="3"/>
    <n v="3"/>
    <s v="Dunzo"/>
    <n v="50"/>
  </r>
  <r>
    <s v="ZOM-10439"/>
    <d v="2026-06-29T00:00:00"/>
    <s v="07-04-2024"/>
    <d v="1899-12-30T00:00:00"/>
    <s v="Barbeque Nation"/>
    <x v="4"/>
    <s v="Fast Food"/>
    <n v="43"/>
    <n v="1.6"/>
    <s v="41mins"/>
    <n v="2460"/>
    <n v="0"/>
    <s v="Wallet"/>
    <x v="1"/>
    <n v="3"/>
    <s v="Unknown"/>
    <n v="148"/>
  </r>
  <r>
    <s v="ORD_148"/>
    <d v="2026-01-25T00:00:00"/>
    <m/>
    <d v="1899-12-30T00:00:00"/>
    <s v="Burger King"/>
    <x v="12"/>
    <s v="Italian"/>
    <n v="18"/>
    <n v="2.6"/>
    <s v="26mins"/>
    <n v="1807"/>
    <n v="50"/>
    <s v="Unknown"/>
    <x v="1"/>
    <n v="10"/>
    <s v="Dunzo"/>
    <m/>
  </r>
  <r>
    <s v="ZOM-10443"/>
    <d v="2026-04-06T00:00:00"/>
    <s v="26-04-2024"/>
    <d v="1899-12-30T00:00:00"/>
    <s v="Wow! Momo"/>
    <x v="9"/>
    <s v="Bakery"/>
    <n v="39"/>
    <n v="4.9000000000000004"/>
    <s v="46 mins"/>
    <n v="1207"/>
    <n v="50"/>
    <s v="Cash On Delivery"/>
    <x v="1"/>
    <n v="3"/>
    <s v="Dunzo"/>
    <n v="53"/>
  </r>
  <r>
    <s v="ZOM-10446"/>
    <d v="2026-01-31T00:00:00"/>
    <s v="22-04-2024"/>
    <d v="1899-12-30T00:00:00"/>
    <s v="Barbeque Nation"/>
    <x v="7"/>
    <s v="Mughlai"/>
    <n v="50"/>
    <n v="2.2000000000000002"/>
    <s v="52mins"/>
    <n v="660"/>
    <n v="120"/>
    <s v="Cash On Delivery"/>
    <x v="1"/>
    <n v="8"/>
    <s v="Zomato Valet"/>
    <n v="237"/>
  </r>
  <r>
    <s v="ZOM-10447"/>
    <d v="2026-07-20T00:00:00"/>
    <s v="01-05-2024"/>
    <d v="1899-12-30T00:00:00"/>
    <s v="Wow! Momo"/>
    <x v="5"/>
    <s v="Bakery"/>
    <n v="31"/>
    <n v="4.0999999999999996"/>
    <s v="71mins"/>
    <n v="729"/>
    <n v="75"/>
    <s v="Credit Card"/>
    <x v="1"/>
    <n v="10"/>
    <s v="Rapido"/>
    <n v="3"/>
  </r>
  <r>
    <s v="ZOM-10448"/>
    <d v="2026-01-01T00:00:00"/>
    <s v="18-03-2024"/>
    <d v="1899-12-30T00:00:00"/>
    <s v="Dominos Pizza"/>
    <x v="13"/>
    <s v="Desserts"/>
    <n v="43"/>
    <n v="3.5"/>
    <s v="61mins"/>
    <n v="2407"/>
    <n v="150"/>
    <s v="Upi"/>
    <x v="2"/>
    <n v="1"/>
    <s v="In-House"/>
    <n v="3"/>
  </r>
  <r>
    <s v="ZOM-10449"/>
    <d v="2026-07-27T00:00:00"/>
    <s v="09-05-2024"/>
    <d v="1899-12-30T00:00:00"/>
    <s v="Unknown"/>
    <x v="3"/>
    <s v="Italian"/>
    <n v="18"/>
    <n v="2.5"/>
    <s v="67 mins"/>
    <n v="2309"/>
    <n v="150"/>
    <s v="Credit Card"/>
    <x v="3"/>
    <n v="10"/>
    <s v="Dunzo"/>
    <n v="28"/>
  </r>
  <r>
    <s v="ZOM-10450"/>
    <d v="2026-04-25T00:00:00"/>
    <s v="21-01-2024"/>
    <d v="1899-12-30T00:00:00"/>
    <s v="Dominos Pizza"/>
    <x v="10"/>
    <s v="North Indian, Mughlai"/>
    <n v="46"/>
    <n v="4.4000000000000004"/>
    <s v="21mins"/>
    <n v="2335"/>
    <n v="75"/>
    <s v="Unknown"/>
    <x v="3"/>
    <n v="7"/>
    <s v="Dunzo"/>
    <n v="240"/>
  </r>
  <r>
    <s v="ZOM-10000"/>
    <d v="2026-07-10T00:00:00"/>
    <s v="25-06-2024"/>
    <d v="1899-12-30T00:00:00"/>
    <s v="Burger King"/>
    <x v="8"/>
    <s v="South Indian"/>
    <n v="59"/>
    <n v="3.5"/>
    <s v="60mins"/>
    <n v="944"/>
    <n v="150"/>
    <s v="Net Banking"/>
    <x v="1"/>
    <n v="10"/>
    <s v="Unknown"/>
    <n v="74"/>
  </r>
  <r>
    <s v="ZOM-10452"/>
    <d v="2026-03-29T00:00:00"/>
    <s v="20-05-2024"/>
    <d v="1899-12-30T00:00:00"/>
    <s v="Subway"/>
    <x v="6"/>
    <s v="Fast Food"/>
    <n v="36"/>
    <n v="3.8"/>
    <s v="43mins"/>
    <n v="169"/>
    <n v="50"/>
    <s v="Debit Card"/>
    <x v="1"/>
    <n v="5"/>
    <s v="Shadowfax"/>
    <n v="45"/>
  </r>
  <r>
    <s v="ZOM-10453"/>
    <d v="2026-01-08T00:00:00"/>
    <s v="17-02-2024"/>
    <d v="1899-12-30T00:00:00"/>
    <s v="Behrouz Biryani"/>
    <x v="12"/>
    <s v="North Indian"/>
    <n v="18"/>
    <n v="3.5"/>
    <s v="67mins"/>
    <n v="1335"/>
    <n v="0.1"/>
    <s v="Upi"/>
    <x v="1"/>
    <n v="8"/>
    <s v="Dunzo"/>
    <n v="104"/>
  </r>
  <r>
    <s v="ZOM-10454"/>
    <d v="2026-01-29T00:00:00"/>
    <s v="17-02-2024"/>
    <d v="1899-12-30T00:00:00"/>
    <s v="Behrouz Biryani"/>
    <x v="6"/>
    <s v="North Indian"/>
    <n v="22"/>
    <n v="4.9000000000000004"/>
    <s v="31mins"/>
    <n v="123"/>
    <n v="0"/>
    <s v="Debit Card"/>
    <x v="1"/>
    <n v="2"/>
    <s v="In-House"/>
    <n v="24"/>
  </r>
  <r>
    <s v="ZOM-10455"/>
    <d v="2026-03-05T00:00:00"/>
    <s v="13-05-2024"/>
    <d v="1899-12-30T00:00:00"/>
    <s v="Unknown"/>
    <x v="3"/>
    <s v="Street Food"/>
    <n v="64"/>
    <n v="2.2999999999999998"/>
    <s v="75mins"/>
    <n v="519"/>
    <n v="0.6"/>
    <s v="Upi"/>
    <x v="3"/>
    <n v="4"/>
    <s v="Zomato Valet"/>
    <n v="231"/>
  </r>
  <r>
    <s v="ZOM-10456"/>
    <d v="2026-09-21T00:00:00"/>
    <s v="10-05-2024"/>
    <d v="1899-12-30T00:00:00"/>
    <s v="Burger King"/>
    <x v="1"/>
    <s v="Street Food"/>
    <n v="32"/>
    <n v="4.8"/>
    <s v="20 mins"/>
    <n v="780"/>
    <n v="0.15"/>
    <s v="Wallet"/>
    <x v="1"/>
    <n v="10"/>
    <s v="Rapido"/>
    <n v="142"/>
  </r>
  <r>
    <s v="ZOM-10457"/>
    <d v="2026-08-05T00:00:00"/>
    <s v="11-06-2024"/>
    <d v="1899-12-30T00:00:00"/>
    <s v="Burger King"/>
    <x v="1"/>
    <s v="South Indian"/>
    <n v="26"/>
    <n v="2.7"/>
    <s v="67mins"/>
    <n v="723"/>
    <n v="0"/>
    <s v="Debit Card"/>
    <x v="1"/>
    <n v="2"/>
    <s v="Rapido"/>
    <m/>
  </r>
  <r>
    <s v="ZOM-10458"/>
    <d v="2026-02-18T00:00:00"/>
    <s v="16-04-2024"/>
    <d v="1899-12-30T00:00:00"/>
    <s v="Faasos"/>
    <x v="10"/>
    <s v="Street Food"/>
    <n v="65"/>
    <n v="2.1"/>
    <s v="65mins"/>
    <n v="506"/>
    <n v="50"/>
    <s v="Upi"/>
    <x v="1"/>
    <n v="7"/>
    <s v="Grab"/>
    <n v="214"/>
  </r>
  <r>
    <s v="ZOM-10459"/>
    <d v="2026-07-15T00:00:00"/>
    <s v="22-01-2024"/>
    <d v="1899-12-30T00:00:00"/>
    <s v="Subway"/>
    <x v="5"/>
    <s v="Italian"/>
    <n v="63"/>
    <n v="2.7"/>
    <s v="15 mins"/>
    <n v="1660"/>
    <n v="50"/>
    <s v="Credit Card"/>
    <x v="1"/>
    <n v="7"/>
    <s v="In-House"/>
    <n v="33"/>
  </r>
  <r>
    <s v="ZOM-10460"/>
    <d v="2026-08-25T00:00:00"/>
    <s v="02-08-2024"/>
    <d v="1899-12-30T03:27:00"/>
    <s v="Wow! Momo"/>
    <x v="10"/>
    <s v="Italian"/>
    <n v="23"/>
    <n v="3.3"/>
    <s v="43mins"/>
    <n v="598"/>
    <n v="0.15"/>
    <s v="Wallet"/>
    <x v="3"/>
    <n v="4"/>
    <s v="Shadowfax"/>
    <m/>
  </r>
  <r>
    <s v="ZOM-10461"/>
    <d v="2026-02-06T00:00:00"/>
    <s v="29-06-2024"/>
    <d v="1899-12-30T00:00:00"/>
    <s v="Wow! Momo"/>
    <x v="5"/>
    <s v="Bakery"/>
    <n v="63"/>
    <n v="4.2"/>
    <s v="57mins"/>
    <n v="2374"/>
    <n v="0.2"/>
    <s v="Net Banking"/>
    <x v="1"/>
    <n v="7"/>
    <s v="Shadowfax"/>
    <n v="22"/>
  </r>
  <r>
    <s v="ZOM-10000"/>
    <d v="2026-12-02T00:00:00"/>
    <s v="27-06-2024"/>
    <d v="1899-12-30T00:00:00"/>
    <s v="Chai Point"/>
    <x v="7"/>
    <s v="Bakery"/>
    <n v="33"/>
    <n v="2.5"/>
    <s v="50mins"/>
    <n v="445"/>
    <n v="0"/>
    <s v="Debit Card"/>
    <x v="1"/>
    <n v="10"/>
    <s v="Shadowfax"/>
    <n v="231"/>
  </r>
  <r>
    <s v="ZOM-10463"/>
    <d v="2026-08-31T00:00:00"/>
    <s v="03-20-2024"/>
    <d v="1899-12-30T07:17:00"/>
    <s v="Bikanervala"/>
    <x v="12"/>
    <s v="Street Food"/>
    <n v="40"/>
    <n v="1.6"/>
    <s v="38 mins"/>
    <n v="1857"/>
    <n v="120"/>
    <s v="Debit Card"/>
    <x v="2"/>
    <n v="9"/>
    <s v="Grab"/>
    <n v="135"/>
  </r>
  <r>
    <s v="ZOM-10464"/>
    <d v="2026-04-15T00:00:00"/>
    <s v="13-06-2024"/>
    <d v="1899-12-30T00:00:00"/>
    <s v="Unknown"/>
    <x v="8"/>
    <s v="Fast Food"/>
    <n v="43"/>
    <n v="2.6"/>
    <s v="15 mins"/>
    <n v="385"/>
    <n v="0"/>
    <s v="Wallet"/>
    <x v="1"/>
    <n v="9"/>
    <s v="In-House"/>
    <n v="224"/>
  </r>
  <r>
    <s v="ZOM-10465"/>
    <d v="2026-10-23T00:00:00"/>
    <s v="17-01-2024"/>
    <d v="1899-12-30T00:00:00"/>
    <s v="P@R@Dise Biry@Ni"/>
    <x v="5"/>
    <s v="Chinese"/>
    <n v="28"/>
    <n v="1.8"/>
    <s v="54 mins"/>
    <n v="943"/>
    <n v="100"/>
    <s v="Credit Card"/>
    <x v="3"/>
    <n v="4"/>
    <s v="Dunzo"/>
    <n v="123"/>
  </r>
  <r>
    <s v="ZOM-10466"/>
    <d v="2026-04-02T00:00:00"/>
    <s v="01-03-2024"/>
    <d v="1899-12-30T00:00:00"/>
    <s v="Faasos"/>
    <x v="8"/>
    <s v="Mughlai"/>
    <n v="40"/>
    <n v="1.9"/>
    <s v="79mins"/>
    <n v="500"/>
    <n v="0.1"/>
    <s v="Net Banking"/>
    <x v="3"/>
    <n v="9"/>
    <s v="Shadowfax"/>
    <m/>
  </r>
  <r>
    <s v="ZOM-10467"/>
    <d v="2026-08-06T00:00:00"/>
    <s v="31-03-2024"/>
    <d v="1899-12-30T00:00:00"/>
    <s v="Wow! Momo"/>
    <x v="4"/>
    <s v="Italian"/>
    <n v="43"/>
    <n v="2.2999999999999998"/>
    <s v="31mins"/>
    <n v="465"/>
    <n v="150"/>
    <s v="Credit Card"/>
    <x v="1"/>
    <n v="3"/>
    <s v="Dunzo"/>
    <n v="164"/>
  </r>
  <r>
    <s v="ZOM-10468"/>
    <d v="2026-05-16T00:00:00"/>
    <s v="10-06-2024"/>
    <d v="1899-12-30T00:00:00"/>
    <s v="Kfc"/>
    <x v="3"/>
    <s v="Chinese"/>
    <n v="33"/>
    <n v="3.6"/>
    <s v="49mins"/>
    <n v="1064"/>
    <n v="0.15"/>
    <s v="Upi"/>
    <x v="2"/>
    <n v="1"/>
    <s v="In-House"/>
    <n v="22"/>
  </r>
  <r>
    <s v="ZOM-10469"/>
    <d v="2026-02-09T00:00:00"/>
    <s v="12-04-2024"/>
    <d v="1899-12-30T00:00:00"/>
    <s v="Behrouz Biryani"/>
    <x v="1"/>
    <s v="Fast Food"/>
    <n v="64"/>
    <n v="1.3"/>
    <s v="58mins"/>
    <n v="905"/>
    <n v="150"/>
    <s v="Upi"/>
    <x v="1"/>
    <n v="3"/>
    <s v="Zomato Valet"/>
    <n v="35"/>
  </r>
  <r>
    <s v="ZOM-10470"/>
    <d v="2026-01-09T00:00:00"/>
    <s v="01-04-2024"/>
    <d v="1899-12-30T02:25:00"/>
    <s v="Faasos"/>
    <x v="9"/>
    <s v="Italian"/>
    <n v="47"/>
    <n v="3.3"/>
    <s v="42mins"/>
    <n v="297"/>
    <n v="50"/>
    <s v="Upi"/>
    <x v="1"/>
    <n v="0"/>
    <s v="Dunzo"/>
    <n v="96"/>
  </r>
  <r>
    <s v="ZOM-10471"/>
    <d v="2026-09-19T00:00:00"/>
    <s v="12-06-2024"/>
    <d v="1899-12-30T00:00:00"/>
    <s v="Faasos"/>
    <x v="10"/>
    <s v="Unknown"/>
    <n v="64"/>
    <n v="3.5"/>
    <s v="22 mins"/>
    <n v="464"/>
    <n v="75"/>
    <s v="Upi"/>
    <x v="2"/>
    <n v="8"/>
    <s v="Zomato Valet"/>
    <n v="59"/>
  </r>
  <r>
    <s v="ZOM-10472"/>
    <d v="2026-04-26T00:00:00"/>
    <s v="19-06-2024"/>
    <d v="1899-12-30T00:00:00"/>
    <s v="Burger King"/>
    <x v="9"/>
    <s v="Italian, Desserts"/>
    <n v="18"/>
    <n v="2.4"/>
    <s v="75mins"/>
    <n v="594"/>
    <n v="0.2"/>
    <s v="Net Banking"/>
    <x v="1"/>
    <n v="3"/>
    <s v="Rapido"/>
    <n v="12"/>
  </r>
  <r>
    <s v="ZOM-10473"/>
    <d v="2026-03-25T00:00:00"/>
    <s v="15-02-2024"/>
    <d v="1899-12-30T00:00:00"/>
    <s v="Barbeque Nation"/>
    <x v="6"/>
    <s v="Street Food"/>
    <n v="43"/>
    <n v="2.1"/>
    <s v="46mins"/>
    <n v="831"/>
    <n v="0.2"/>
    <s v="Wallet"/>
    <x v="2"/>
    <n v="10"/>
    <s v="Shadowfax"/>
    <n v="153"/>
  </r>
  <r>
    <s v="ZOM-10474"/>
    <d v="2026-12-30T00:00:00"/>
    <s v="27-02-2024"/>
    <d v="1899-12-30T00:00:00"/>
    <s v="Subway"/>
    <x v="8"/>
    <s v="Street Food"/>
    <n v="54"/>
    <n v="3.1"/>
    <s v="49mins"/>
    <n v="357"/>
    <n v="120"/>
    <s v="Cash On Delivery"/>
    <x v="1"/>
    <n v="9"/>
    <s v="Dunzo"/>
    <n v="179"/>
  </r>
  <r>
    <s v="ZOM-10475"/>
    <d v="2026-09-19T00:00:00"/>
    <m/>
    <d v="1899-12-30T00:00:00"/>
    <s v="Unknown"/>
    <x v="5"/>
    <s v="South Indian"/>
    <n v="27"/>
    <n v="4.5"/>
    <s v="64 mins"/>
    <n v="393"/>
    <n v="100"/>
    <s v="Debit Card"/>
    <x v="1"/>
    <n v="1"/>
    <s v="Rapido"/>
    <n v="54"/>
  </r>
  <r>
    <s v="ZOM-10476"/>
    <d v="2026-07-09T00:00:00"/>
    <s v="29-06-2024"/>
    <d v="1899-12-30T00:00:00"/>
    <s v="Dominos Pizza"/>
    <x v="6"/>
    <s v="Chinese"/>
    <n v="60"/>
    <n v="1.1000000000000001"/>
    <s v="34 mins"/>
    <n v="1209"/>
    <n v="150"/>
    <s v="Unknown"/>
    <x v="3"/>
    <n v="7"/>
    <s v="Rapido"/>
    <n v="181"/>
  </r>
  <r>
    <s v="ZOM-10477"/>
    <d v="2026-02-24T00:00:00"/>
    <s v="06-02-2024"/>
    <d v="1899-12-30T00:00:00"/>
    <s v="Subway"/>
    <x v="9"/>
    <s v="Biryani"/>
    <n v="38"/>
    <n v="2.5"/>
    <s v="65 mins"/>
    <n v="2003"/>
    <n v="0"/>
    <s v="Credit Card"/>
    <x v="1"/>
    <n v="3"/>
    <s v="Shadowfax"/>
    <n v="29"/>
  </r>
  <r>
    <s v="ZOM-10000"/>
    <d v="2026-09-15T00:00:00"/>
    <s v="05-01-2024"/>
    <d v="1899-12-30T00:00:00"/>
    <s v="Chai Point"/>
    <x v="6"/>
    <s v="South Indian"/>
    <n v="18"/>
    <n v="2.7"/>
    <s v="59mins"/>
    <n v="1907"/>
    <n v="0"/>
    <s v="Credit Card"/>
    <x v="3"/>
    <n v="5"/>
    <s v="Grab"/>
    <n v="9"/>
  </r>
  <r>
    <s v="ZOM-10479"/>
    <d v="2026-08-16T00:00:00"/>
    <s v="18-05-2024"/>
    <d v="1899-12-30T00:00:00"/>
    <s v="Ch@I P0Int"/>
    <x v="1"/>
    <s v="Fast Food"/>
    <n v="64"/>
    <n v="4.3"/>
    <s v="74mins"/>
    <n v="1857"/>
    <n v="100"/>
    <s v="Wallet"/>
    <x v="1"/>
    <n v="3"/>
    <s v="Dunzo"/>
    <n v="99"/>
  </r>
  <r>
    <s v="ZOM-10480"/>
    <d v="2026-11-29T00:00:00"/>
    <s v="06-22-2024"/>
    <d v="1899-12-30T16:00:00"/>
    <s v="Kfc"/>
    <x v="0"/>
    <s v="Italian"/>
    <n v="64"/>
    <n v="4.8"/>
    <s v="39mins"/>
    <n v="1194"/>
    <n v="0"/>
    <s v="Credit Card"/>
    <x v="1"/>
    <n v="6"/>
    <s v="In-House"/>
    <m/>
  </r>
  <r>
    <s v="ZOM-10481"/>
    <d v="2026-08-01T00:00:00"/>
    <s v="19-01-2024"/>
    <d v="1899-12-30T00:00:00"/>
    <s v="Paradise Biryani"/>
    <x v="6"/>
    <s v="Bakery"/>
    <n v="25"/>
    <n v="1.7"/>
    <s v="46 mins"/>
    <n v="2370"/>
    <n v="0.6"/>
    <s v="Cash On Delivery"/>
    <x v="2"/>
    <n v="6"/>
    <s v="In-House"/>
    <n v="133"/>
  </r>
  <r>
    <s v="ZOM-10482"/>
    <d v="2026-05-07T00:00:00"/>
    <s v="07-07-2024"/>
    <d v="1899-12-30T00:03:00"/>
    <s v="Dominos Pizza"/>
    <x v="0"/>
    <s v="Bakery"/>
    <n v="18"/>
    <n v="4.4000000000000004"/>
    <s v="63mins"/>
    <n v="1943"/>
    <n v="0"/>
    <s v="Debit Card"/>
    <x v="1"/>
    <n v="4"/>
    <s v="Shadowfax"/>
    <n v="24"/>
  </r>
  <r>
    <s v="ZOM-10484"/>
    <d v="2026-10-20T00:00:00"/>
    <s v="01-07-2024"/>
    <d v="1899-12-30T22:03:00"/>
    <s v="Kfc"/>
    <x v="0"/>
    <s v="Chinese"/>
    <n v="27"/>
    <n v="4.3"/>
    <s v="62mins"/>
    <n v="1903"/>
    <n v="0"/>
    <s v="Wallet"/>
    <x v="1"/>
    <n v="1"/>
    <s v="Zomato Valet"/>
    <n v="28"/>
  </r>
  <r>
    <s v="ZOM-10487"/>
    <d v="2026-02-25T00:00:00"/>
    <s v="15-02-2024"/>
    <d v="1899-12-30T00:00:00"/>
    <s v="Wow! Momo"/>
    <x v="3"/>
    <s v="Bakery"/>
    <n v="46"/>
    <n v="3.8"/>
    <s v="44 mins"/>
    <n v="1920"/>
    <n v="50"/>
    <s v="Net Banking"/>
    <x v="1"/>
    <n v="4"/>
    <s v="Shadowfax"/>
    <n v="166"/>
  </r>
  <r>
    <s v="ZOM-10488"/>
    <d v="2026-04-01T00:00:00"/>
    <s v="18-05-2024"/>
    <d v="1899-12-30T00:00:00"/>
    <s v="Paradise Biryani"/>
    <x v="0"/>
    <s v="Fast Food"/>
    <n v="52"/>
    <n v="3.9"/>
    <s v="72 mins"/>
    <n v="565"/>
    <n v="0"/>
    <s v="Net Banking"/>
    <x v="1"/>
    <n v="2"/>
    <s v="Unknown"/>
    <n v="169"/>
  </r>
  <r>
    <s v="ZOM-10489"/>
    <d v="2026-03-01T00:00:00"/>
    <s v="11-06-2024"/>
    <d v="1899-12-30T00:00:00"/>
    <s v="Faasos"/>
    <x v="10"/>
    <s v="Street Food"/>
    <n v="52"/>
    <n v="3.2"/>
    <s v="78mins"/>
    <n v="544"/>
    <n v="150"/>
    <s v="Credit Card"/>
    <x v="1"/>
    <n v="6"/>
    <s v="Rapido"/>
    <n v="68"/>
  </r>
  <r>
    <s v="ZOM-10490"/>
    <d v="2026-12-10T00:00:00"/>
    <s v="11-02-2024"/>
    <d v="1899-12-30T00:00:00"/>
    <s v="Chai Point"/>
    <x v="5"/>
    <s v="Mughlai"/>
    <n v="55"/>
    <n v="2.2000000000000002"/>
    <s v="65mins"/>
    <n v="1273"/>
    <n v="120"/>
    <s v="Cash On Delivery"/>
    <x v="2"/>
    <n v="5"/>
    <s v="Zomato Valet"/>
    <n v="121"/>
  </r>
  <r>
    <s v="ZOM-10491"/>
    <d v="2026-02-20T00:00:00"/>
    <s v="03-03-2024"/>
    <d v="1899-12-30T00:00:00"/>
    <s v="Wow! Momo"/>
    <x v="8"/>
    <s v="Unknown"/>
    <n v="18"/>
    <n v="1.7"/>
    <s v="65mins"/>
    <n v="2204"/>
    <n v="0.1"/>
    <s v="Cash Card"/>
    <x v="1"/>
    <n v="9"/>
    <s v="Shadowfax"/>
    <n v="38"/>
  </r>
  <r>
    <s v="ZOM-10492"/>
    <d v="2026-05-02T00:00:00"/>
    <s v="18-05-2024"/>
    <d v="1899-12-30T00:00:00"/>
    <s v="Faasos"/>
    <x v="8"/>
    <s v="South Indian"/>
    <n v="18"/>
    <n v="2.8"/>
    <s v="16mins"/>
    <n v="232"/>
    <n v="150"/>
    <s v="Cash On Delivery"/>
    <x v="1"/>
    <n v="6"/>
    <s v="Grab"/>
    <n v="173"/>
  </r>
  <r>
    <s v="ZOM-10493"/>
    <d v="2026-04-27T00:00:00"/>
    <s v="16-03-2024"/>
    <d v="1899-12-30T00:00:00"/>
    <s v="Bik@Nerv@L@"/>
    <x v="9"/>
    <s v="Unknown"/>
    <n v="31"/>
    <n v="4.5999999999999996"/>
    <s v="29 mins"/>
    <n v="766"/>
    <n v="75"/>
    <s v="Credit Card"/>
    <x v="2"/>
    <n v="7"/>
    <s v="Dunzo"/>
    <n v="45"/>
  </r>
  <r>
    <s v="ZOM-10494"/>
    <d v="2026-03-13T00:00:00"/>
    <s v="29-03-2024"/>
    <d v="1899-12-30T00:00:00"/>
    <s v="Paradise Biryani"/>
    <x v="4"/>
    <s v="Chinese"/>
    <n v="19"/>
    <n v="2.2000000000000002"/>
    <s v="53mins"/>
    <n v="1408"/>
    <n v="0.6"/>
    <s v="Credit Card"/>
    <x v="3"/>
    <n v="2"/>
    <s v="Shadowfax"/>
    <n v="8"/>
  </r>
  <r>
    <s v="ZOM-10495"/>
    <d v="2026-06-09T00:00:00"/>
    <s v="01-15-2024"/>
    <d v="1899-12-30T00:06:00"/>
    <s v="Subway"/>
    <x v="1"/>
    <s v="Mughlai"/>
    <n v="64"/>
    <n v="2.4"/>
    <s v="56mins"/>
    <n v="1439"/>
    <n v="75"/>
    <s v="Credit Card"/>
    <x v="2"/>
    <n v="8"/>
    <s v="Dunzo"/>
    <n v="62"/>
  </r>
  <r>
    <s v="ZOM-10496"/>
    <d v="2026-12-29T00:00:00"/>
    <s v="02-04-2024"/>
    <d v="1899-12-30T00:00:00"/>
    <s v="Burger King"/>
    <x v="6"/>
    <s v="Street Food"/>
    <n v="47"/>
    <n v="3.3"/>
    <s v="73mins"/>
    <n v="595"/>
    <n v="50"/>
    <s v="Upi"/>
    <x v="3"/>
    <n v="2"/>
    <s v="In-House"/>
    <n v="92"/>
  </r>
  <r>
    <s v="ZOM-10497"/>
    <d v="2026-08-26T00:00:00"/>
    <s v="11-05-2024"/>
    <d v="1899-12-30T00:00:00"/>
    <s v="Barbeque Nation"/>
    <x v="8"/>
    <s v="Street Food"/>
    <n v="46"/>
    <n v="2.6"/>
    <s v="42mins"/>
    <n v="2325"/>
    <n v="120"/>
    <s v="Upi"/>
    <x v="1"/>
    <n v="7"/>
    <s v="Grab"/>
    <n v="165"/>
  </r>
  <r>
    <s v="ZOM-10498"/>
    <d v="2026-12-20T00:00:00"/>
    <s v="17-01-2024"/>
    <d v="1899-12-30T00:00:00"/>
    <s v="Subway"/>
    <x v="7"/>
    <s v="Bakery"/>
    <n v="52"/>
    <n v="2.4"/>
    <s v="16 mins"/>
    <n v="1384"/>
    <n v="150"/>
    <s v="Debit Card"/>
    <x v="1"/>
    <n v="5"/>
    <s v="Grab"/>
    <n v="176"/>
  </r>
  <r>
    <s v="ZOM-10499"/>
    <d v="2026-02-17T00:00:00"/>
    <s v="06-20-2024"/>
    <d v="1899-12-30T20:59:00"/>
    <s v="Chai Point"/>
    <x v="1"/>
    <s v="Street Food"/>
    <n v="29"/>
    <n v="2.8"/>
    <s v="24mins"/>
    <n v="2072"/>
    <n v="150"/>
    <s v="Net Banking"/>
    <x v="1"/>
    <n v="5"/>
    <s v="Dunzo"/>
    <n v="18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x v="0"/>
    <d v="2026-09-10T00:00:00"/>
    <s v="03-03-2024"/>
    <d v="1899-12-30T00:00:00"/>
    <s v="Haldiram'S"/>
    <s v="Delhi"/>
    <s v="Street Food"/>
    <n v="55"/>
    <n v="4.5"/>
    <s v="35mins"/>
    <n v="1782"/>
    <n v="0.2"/>
    <s v="Upi"/>
    <s v="Failed"/>
    <n v="7"/>
    <x v="0"/>
    <n v="124"/>
  </r>
  <r>
    <x v="1"/>
    <d v="2026-01-18T00:00:00"/>
    <s v="12-01-2024"/>
    <d v="1899-12-30T00:00:00"/>
    <s v="Burger King"/>
    <s v="Ahmedabad"/>
    <s v="Chinese"/>
    <n v="58"/>
    <n v="3.9"/>
    <s v="39 mins"/>
    <n v="762"/>
    <n v="50"/>
    <s v="Wallet"/>
    <s v="Delivered"/>
    <n v="10"/>
    <x v="1"/>
    <n v="51"/>
  </r>
  <r>
    <x v="2"/>
    <d v="2026-12-20T00:00:00"/>
    <s v="04-03-2024"/>
    <d v="1899-12-30T00:00:00"/>
    <s v="Behrouz Biryani"/>
    <s v="Bengaluru"/>
    <s v="Fast Food"/>
    <n v="42"/>
    <n v="2.9"/>
    <s v="16mins"/>
    <n v="1739"/>
    <n v="75"/>
    <s v="Wallet"/>
    <s v="Delivered"/>
    <n v="9"/>
    <x v="2"/>
    <n v="126"/>
  </r>
  <r>
    <x v="3"/>
    <d v="2026-05-08T00:00:00"/>
    <s v="21-05-2024"/>
    <d v="1899-12-30T00:00:00"/>
    <s v="Bikanervala"/>
    <s v="Chennai"/>
    <s v="Chinese"/>
    <n v="33"/>
    <n v="4.2"/>
    <s v="21 mins"/>
    <n v="1688"/>
    <n v="150"/>
    <s v="Upi"/>
    <s v="Delivered"/>
    <n v="4"/>
    <x v="2"/>
    <n v="19"/>
  </r>
  <r>
    <x v="4"/>
    <d v="2026-06-04T00:00:00"/>
    <s v="20-05-2024"/>
    <d v="1899-12-30T00:00:00"/>
    <s v="Wow! Momo"/>
    <s v="Bangalore"/>
    <s v="North Indian, Italian"/>
    <n v="47"/>
    <n v="3.8"/>
    <s v="77mins"/>
    <n v="488"/>
    <n v="120"/>
    <s v="Wallet"/>
    <s v="Delivered"/>
    <n v="1"/>
    <x v="3"/>
    <n v="116"/>
  </r>
  <r>
    <x v="5"/>
    <d v="2026-01-15T00:00:00"/>
    <s v="25-05-2024"/>
    <d v="1899-12-30T00:00:00"/>
    <s v="Bikanervala"/>
    <s v="Kolkata"/>
    <s v="Italian"/>
    <n v="22"/>
    <n v="2.5"/>
    <s v="27mins"/>
    <n v="294"/>
    <n v="0.2"/>
    <s v="Upi"/>
    <s v="Delivered"/>
    <n v="9"/>
    <x v="0"/>
    <n v="227"/>
  </r>
  <r>
    <x v="6"/>
    <d v="2026-07-10T00:00:00"/>
    <s v="28-01-2024"/>
    <d v="1899-12-30T00:00:00"/>
    <s v="Burger King"/>
    <s v="Kolkata"/>
    <s v="North Indian"/>
    <n v="18"/>
    <n v="3.5"/>
    <s v="71mins"/>
    <n v="1433"/>
    <n v="0"/>
    <s v="Upi"/>
    <s v="Delivered"/>
    <n v="3"/>
    <x v="0"/>
    <n v="183"/>
  </r>
  <r>
    <x v="7"/>
    <d v="2026-05-23T00:00:00"/>
    <s v="04-03-2024"/>
    <d v="1899-12-30T00:00:00"/>
    <s v="Wow! Momo"/>
    <s v="Hyderabad"/>
    <s v="Unknown"/>
    <n v="39"/>
    <n v="2.6"/>
    <s v="46mins"/>
    <n v="755"/>
    <n v="0.1"/>
    <s v="Cash On Delivery"/>
    <s v="Refunded"/>
    <n v="4"/>
    <x v="4"/>
    <n v="239"/>
  </r>
  <r>
    <x v="8"/>
    <d v="2026-03-06T00:00:00"/>
    <s v="17-05-2024"/>
    <d v="1899-12-30T00:00:00"/>
    <s v="Haldiram'S"/>
    <s v="Delhi"/>
    <s v="Desserts"/>
    <n v="30"/>
    <n v="3.8"/>
    <s v="15 mins"/>
    <n v="2323"/>
    <n v="150"/>
    <s v="Wallet"/>
    <s v="Delivered"/>
    <n v="5"/>
    <x v="3"/>
    <n v="53"/>
  </r>
  <r>
    <x v="9"/>
    <d v="2026-09-28T00:00:00"/>
    <s v="04-07-2024"/>
    <d v="1899-12-30T23:07:00"/>
    <s v="B@Rbeque N@Ti0N"/>
    <s v="Kolkata"/>
    <s v="Desserts"/>
    <n v="65"/>
    <n v="1.3"/>
    <s v="57mins"/>
    <n v="342"/>
    <n v="0.2"/>
    <s v="Cash Card"/>
    <s v="Delivered"/>
    <n v="10"/>
    <x v="2"/>
    <n v="52"/>
  </r>
  <r>
    <x v="10"/>
    <d v="2026-01-04T00:00:00"/>
    <s v="07-16-2024"/>
    <d v="1899-12-30T03:38:00"/>
    <s v="Dominos Pizza"/>
    <s v="Hyderabad"/>
    <s v="Mughlai"/>
    <n v="46"/>
    <n v="3.9"/>
    <s v="72mins"/>
    <n v="2255"/>
    <n v="75"/>
    <s v="Credit Card"/>
    <s v="Delivered"/>
    <n v="5"/>
    <x v="2"/>
    <n v="98"/>
  </r>
  <r>
    <x v="11"/>
    <d v="2026-05-04T00:00:00"/>
    <s v="29-06-2024"/>
    <d v="1899-12-30T00:00:00"/>
    <s v="Subway"/>
    <s v="Pune"/>
    <s v="Bakery, Desserts"/>
    <n v="42"/>
    <n v="4.8"/>
    <s v="43mins"/>
    <n v="1282"/>
    <n v="100"/>
    <s v="Debit Card"/>
    <s v="Delivered"/>
    <n v="7"/>
    <x v="3"/>
    <n v="132"/>
  </r>
  <r>
    <x v="12"/>
    <d v="2026-10-08T00:00:00"/>
    <s v="07-04-2024"/>
    <d v="1899-12-30T00:00:00"/>
    <s v="Kfc"/>
    <s v="Pune"/>
    <s v="Street Food"/>
    <n v="59"/>
    <n v="2.5"/>
    <s v="15 mins"/>
    <n v="709"/>
    <n v="50"/>
    <s v="Credit Card"/>
    <s v="Delivered"/>
    <n v="10"/>
    <x v="1"/>
    <n v="26"/>
  </r>
  <r>
    <x v="13"/>
    <d v="2026-10-15T00:00:00"/>
    <s v="27-05-2024"/>
    <d v="1899-12-30T00:00:00"/>
    <s v="Subway"/>
    <s v="Hyderabad"/>
    <s v="Bakery"/>
    <n v="18"/>
    <n v="3.6"/>
    <s v="56 mins"/>
    <n v="932"/>
    <n v="0"/>
    <s v="Cash On Delivery"/>
    <s v="Cancelled"/>
    <n v="5"/>
    <x v="3"/>
    <n v="80"/>
  </r>
  <r>
    <x v="14"/>
    <d v="2026-07-05T00:00:00"/>
    <s v="03-03-2024"/>
    <d v="1899-12-30T00:00:00"/>
    <s v="Paradise Biryani"/>
    <s v="Delhi"/>
    <s v="Desserts"/>
    <n v="35"/>
    <n v="3.1"/>
    <s v="30 mins"/>
    <n v="1834"/>
    <n v="150"/>
    <s v="Cash On Delivery"/>
    <s v="Delivered"/>
    <n v="10"/>
    <x v="5"/>
    <n v="60"/>
  </r>
  <r>
    <x v="15"/>
    <d v="2026-03-21T00:00:00"/>
    <s v="24-06-2024"/>
    <d v="1899-12-30T00:00:00"/>
    <s v="Chai Point"/>
    <s v="Jaipur"/>
    <s v="Chinese"/>
    <n v="55"/>
    <n v="2.2000000000000002"/>
    <s v="27mins"/>
    <n v="2375"/>
    <n v="0.1"/>
    <s v="Credit Card"/>
    <s v="Delivered"/>
    <n v="4"/>
    <x v="5"/>
    <n v="70"/>
  </r>
  <r>
    <x v="16"/>
    <d v="2026-05-13T00:00:00"/>
    <s v="06-09-2024"/>
    <d v="1899-12-30T20:07:00"/>
    <s v="Dominos Pizza"/>
    <s v="Bangalore"/>
    <s v="Bakery"/>
    <n v="43"/>
    <n v="3"/>
    <s v="25mins"/>
    <n v="1543"/>
    <n v="120"/>
    <s v="Unknown"/>
    <s v="Cancelled"/>
    <n v="1"/>
    <x v="1"/>
    <n v="172"/>
  </r>
  <r>
    <x v="17"/>
    <d v="2026-09-09T00:00:00"/>
    <s v="12-03-2024"/>
    <d v="1899-12-30T00:00:00"/>
    <s v="Subway"/>
    <s v="Chennai"/>
    <s v="Italian"/>
    <n v="53"/>
    <n v="2.5"/>
    <s v="31 mins"/>
    <n v="889"/>
    <n v="120"/>
    <s v="Upi"/>
    <s v="Cancelled"/>
    <n v="8"/>
    <x v="0"/>
    <n v="226"/>
  </r>
  <r>
    <x v="18"/>
    <d v="2026-04-02T00:00:00"/>
    <s v="06-10-2024"/>
    <d v="1899-12-30T20:46:00"/>
    <s v="Behrouz Biryani"/>
    <s v="Mumbai"/>
    <s v="Mughlai"/>
    <n v="48"/>
    <n v="2"/>
    <s v="64mins"/>
    <n v="574"/>
    <n v="50"/>
    <s v="Upi"/>
    <s v="Pending"/>
    <n v="10"/>
    <x v="1"/>
    <n v="98"/>
  </r>
  <r>
    <x v="19"/>
    <d v="2026-05-19T00:00:00"/>
    <s v="26-04-2024"/>
    <d v="1899-12-30T00:00:00"/>
    <s v="Behrouz Biryani"/>
    <s v="Chennai"/>
    <s v="Italian"/>
    <n v="20"/>
    <n v="4.9000000000000004"/>
    <s v="27mins"/>
    <n v="2201"/>
    <n v="100"/>
    <s v="Upi"/>
    <s v="Cancelled"/>
    <n v="10"/>
    <x v="1"/>
    <n v="28"/>
  </r>
  <r>
    <x v="20"/>
    <d v="2026-08-01T00:00:00"/>
    <s v="09-06-2024"/>
    <d v="1899-12-30T00:00:00"/>
    <s v="Bikanervala"/>
    <s v="Hyderabad"/>
    <s v="South Indian"/>
    <n v="18"/>
    <n v="2.2000000000000002"/>
    <s v="33mins"/>
    <n v="701"/>
    <n v="50"/>
    <s v="Credit Card"/>
    <s v="Cancelled"/>
    <n v="5"/>
    <x v="4"/>
    <n v="186"/>
  </r>
  <r>
    <x v="21"/>
    <d v="2026-05-02T00:00:00"/>
    <s v="23-04-2024"/>
    <d v="1899-12-30T00:00:00"/>
    <s v="Burger King"/>
    <s v="Hyderabad"/>
    <s v="Italian"/>
    <n v="60"/>
    <n v="1"/>
    <s v="21mins"/>
    <n v="2287"/>
    <n v="75"/>
    <s v="Credit Card"/>
    <s v="Delivered"/>
    <n v="3"/>
    <x v="1"/>
    <n v="67"/>
  </r>
  <r>
    <x v="22"/>
    <d v="2026-02-28T00:00:00"/>
    <s v="03-02-2024"/>
    <d v="1899-12-30T00:00:00"/>
    <s v="Kfc"/>
    <s v="Chennai"/>
    <s v="Biryani"/>
    <n v="39"/>
    <n v="2.9"/>
    <s v="63 mins"/>
    <n v="2420"/>
    <n v="100"/>
    <s v="Net Banking"/>
    <s v="Delivered"/>
    <n v="5"/>
    <x v="3"/>
    <n v="43"/>
  </r>
  <r>
    <x v="23"/>
    <d v="2026-09-25T00:00:00"/>
    <s v="23-05-2024"/>
    <d v="1899-12-30T00:00:00"/>
    <s v="Dominos Pizza"/>
    <s v="Pune"/>
    <s v="North Indian"/>
    <n v="26"/>
    <n v="2.5"/>
    <s v="68mins"/>
    <n v="1518"/>
    <n v="150"/>
    <s v="Upi"/>
    <s v="Refunded"/>
    <n v="4"/>
    <x v="5"/>
    <n v="100"/>
  </r>
  <r>
    <x v="24"/>
    <d v="2026-05-10T00:00:00"/>
    <s v="18-02-2024"/>
    <d v="1899-12-30T00:00:00"/>
    <s v="Paradise Biryani"/>
    <s v="Delhi"/>
    <s v="Bakery"/>
    <n v="32"/>
    <n v="1.6"/>
    <s v="15mins"/>
    <n v="780"/>
    <n v="120"/>
    <s v="Debit Card"/>
    <s v="Unknown"/>
    <n v="4"/>
    <x v="3"/>
    <n v="63"/>
  </r>
  <r>
    <x v="25"/>
    <d v="2026-10-28T00:00:00"/>
    <s v="05-01-2024"/>
    <d v="1899-12-30T15:18:00"/>
    <s v="Wow! Momo"/>
    <s v="Jaipur"/>
    <s v="Mughlai"/>
    <n v="46"/>
    <n v="1.3"/>
    <s v="23mins"/>
    <n v="420"/>
    <n v="150"/>
    <s v="Debit Card"/>
    <s v="Delivered"/>
    <n v="9"/>
    <x v="1"/>
    <n v="213"/>
  </r>
  <r>
    <x v="26"/>
    <d v="2026-08-09T00:00:00"/>
    <s v="05-07-2024"/>
    <d v="1899-12-30T00:00:00"/>
    <s v="Kfc"/>
    <s v="Mumbai"/>
    <s v="Desserts"/>
    <n v="39"/>
    <n v="2.6"/>
    <s v="69mins"/>
    <n v="2186"/>
    <n v="120"/>
    <s v="Debit Card"/>
    <s v="Delivered"/>
    <n v="6"/>
    <x v="0"/>
    <n v="186"/>
  </r>
  <r>
    <x v="27"/>
    <d v="2026-05-22T00:00:00"/>
    <s v="06-06-2024"/>
    <d v="1899-12-30T23:02:00"/>
    <s v="Bik@Nerv@L@"/>
    <s v="Kolkata"/>
    <s v="North Indian"/>
    <n v="65"/>
    <n v="1.1000000000000001"/>
    <s v="42mins"/>
    <n v="1015"/>
    <n v="0.2"/>
    <s v="Wallet"/>
    <s v="Delivered"/>
    <n v="2"/>
    <x v="5"/>
    <n v="120"/>
  </r>
  <r>
    <x v="28"/>
    <d v="2026-10-25T00:00:00"/>
    <s v="29-03-2024"/>
    <d v="1899-12-30T00:00:00"/>
    <s v="Faasos"/>
    <s v="Pune"/>
    <s v="Chinese"/>
    <n v="38"/>
    <n v="3"/>
    <s v="31mins"/>
    <n v="1025"/>
    <n v="150"/>
    <s v="Debit Card"/>
    <s v="Delivered"/>
    <n v="7"/>
    <x v="3"/>
    <n v="16"/>
  </r>
  <r>
    <x v="29"/>
    <d v="2026-10-06T00:00:00"/>
    <s v="07-06-2024"/>
    <d v="1899-12-30T00:00:00"/>
    <s v="Kfc"/>
    <s v="Jaipur"/>
    <s v="Chinese"/>
    <n v="50"/>
    <n v="4.0999999999999996"/>
    <s v="33mins"/>
    <n v="682"/>
    <n v="0.6"/>
    <s v="Credit Card"/>
    <s v="Delivered"/>
    <n v="10"/>
    <x v="1"/>
    <n v="205"/>
  </r>
  <r>
    <x v="30"/>
    <d v="2026-08-31T00:00:00"/>
    <s v="23-04-2024"/>
    <d v="1899-12-30T00:00:00"/>
    <s v="Burger King"/>
    <s v="Delhi"/>
    <s v="South Indian"/>
    <n v="65"/>
    <n v="2.8"/>
    <s v="39mins"/>
    <n v="885"/>
    <n v="0.1"/>
    <s v="Cash On Delivery"/>
    <s v="Delivered"/>
    <n v="8"/>
    <x v="4"/>
    <n v="40"/>
  </r>
  <r>
    <x v="31"/>
    <d v="2026-04-11T00:00:00"/>
    <s v="22-06-2024"/>
    <d v="1899-12-30T00:00:00"/>
    <s v="Faasos"/>
    <s v="Pune"/>
    <s v="Bakery"/>
    <n v="40"/>
    <n v="3.6"/>
    <s v="31mins"/>
    <n v="1536"/>
    <n v="0.5"/>
    <s v="Wallet"/>
    <s v="Delivered"/>
    <n v="1"/>
    <x v="5"/>
    <n v="33"/>
  </r>
  <r>
    <x v="32"/>
    <d v="2026-10-22T00:00:00"/>
    <s v="09-02-2024"/>
    <d v="1899-12-30T00:00:00"/>
    <s v="Haldiram'S"/>
    <s v="Chennai"/>
    <s v="Fast Food"/>
    <n v="28"/>
    <n v="1.2"/>
    <s v="45mins"/>
    <n v="2428"/>
    <n v="100"/>
    <s v="Credit Card"/>
    <s v="Delivered"/>
    <n v="10"/>
    <x v="4"/>
    <n v="46"/>
  </r>
  <r>
    <x v="33"/>
    <d v="2026-12-07T00:00:00"/>
    <s v="03-06-2024"/>
    <d v="1899-12-30T00:00:00"/>
    <s v="Bikanervala"/>
    <s v="Jaipur"/>
    <s v="Biryani"/>
    <n v="32"/>
    <n v="4.5"/>
    <s v="68mins"/>
    <n v="247"/>
    <n v="0.1"/>
    <s v="Debit Card"/>
    <s v="Refunded"/>
    <n v="8"/>
    <x v="1"/>
    <n v="75"/>
  </r>
  <r>
    <x v="34"/>
    <d v="2026-08-11T00:00:00"/>
    <s v="08-02-2024"/>
    <d v="1899-12-30T00:00:00"/>
    <s v="Chai Point"/>
    <s v="Delhi"/>
    <s v="South Indian"/>
    <n v="18"/>
    <n v="2"/>
    <s v="42 mins"/>
    <n v="124"/>
    <n v="50"/>
    <s v="Wallet"/>
    <s v="Delivered"/>
    <n v="1"/>
    <x v="4"/>
    <n v="48"/>
  </r>
  <r>
    <x v="35"/>
    <d v="2026-11-28T00:00:00"/>
    <s v="18-01-2024"/>
    <d v="1899-12-30T00:00:00"/>
    <s v="Faasos"/>
    <s v="Delhi"/>
    <s v="Mughlai"/>
    <n v="63"/>
    <n v="2.8"/>
    <s v="20mins"/>
    <n v="2003"/>
    <n v="0.2"/>
    <s v="Net Banking"/>
    <s v="Delivered"/>
    <n v="1"/>
    <x v="1"/>
    <n v="41"/>
  </r>
  <r>
    <x v="36"/>
    <d v="2026-01-14T00:00:00"/>
    <s v="08-04-2024"/>
    <d v="1899-12-30T00:00:00"/>
    <s v="Paradise Biryani"/>
    <s v="Mumbai"/>
    <s v="Bakery"/>
    <n v="38"/>
    <n v="2.2000000000000002"/>
    <s v="69mins"/>
    <n v="517"/>
    <n v="150"/>
    <s v="Debit Card"/>
    <s v="Delivered"/>
    <n v="3"/>
    <x v="0"/>
    <m/>
  </r>
  <r>
    <x v="37"/>
    <d v="2026-03-29T00:00:00"/>
    <s v="03-04-2024"/>
    <d v="1899-12-30T00:00:00"/>
    <s v="Unknown"/>
    <s v="Bangalore"/>
    <s v="South Indian"/>
    <n v="33"/>
    <n v="1.1000000000000001"/>
    <s v="48 mins"/>
    <n v="1041"/>
    <n v="0.2"/>
    <s v="Wallet"/>
    <s v="Delivered"/>
    <n v="3"/>
    <x v="1"/>
    <n v="145"/>
  </r>
  <r>
    <x v="38"/>
    <d v="2026-09-17T00:00:00"/>
    <s v="17-01-2024"/>
    <d v="1899-12-30T00:00:00"/>
    <s v="Burger King"/>
    <s v="Chennai"/>
    <s v="Fast Food"/>
    <n v="47"/>
    <n v="3.2"/>
    <s v="26mins"/>
    <n v="276"/>
    <n v="100"/>
    <s v="Net Banking"/>
    <s v="Cancelled"/>
    <n v="9"/>
    <x v="5"/>
    <n v="102"/>
  </r>
  <r>
    <x v="39"/>
    <d v="2026-12-10T00:00:00"/>
    <s v="08-05-2024"/>
    <d v="1899-12-30T00:00:00"/>
    <s v="Wow! Momo"/>
    <s v="Chennai"/>
    <s v="South Indian"/>
    <n v="37"/>
    <n v="1.4"/>
    <s v="34mins"/>
    <n v="527"/>
    <n v="75"/>
    <s v="Net Banking"/>
    <s v="Delivered"/>
    <n v="10"/>
    <x v="6"/>
    <n v="213"/>
  </r>
  <r>
    <x v="40"/>
    <d v="2026-01-04T00:00:00"/>
    <s v="03-03-2024"/>
    <d v="1899-12-30T00:00:00"/>
    <s v="Haldiram'S"/>
    <s v="Chennai"/>
    <s v="Desserts"/>
    <n v="38"/>
    <n v="1.5"/>
    <s v="33mins"/>
    <n v="350"/>
    <n v="0.6"/>
    <s v="Cash On Delivery"/>
    <s v="Refunded"/>
    <n v="3"/>
    <x v="4"/>
    <n v="210"/>
  </r>
  <r>
    <x v="41"/>
    <d v="2026-05-02T00:00:00"/>
    <s v="27-04-2024"/>
    <d v="1899-12-30T00:00:00"/>
    <s v="Unknown"/>
    <s v="Kolkata"/>
    <s v="Mughlai, South Indian"/>
    <n v="34"/>
    <n v="4.0999999999999996"/>
    <s v="66mins"/>
    <n v="242"/>
    <n v="0.2"/>
    <s v="Upi"/>
    <s v="Delivered"/>
    <n v="7"/>
    <x v="5"/>
    <n v="230"/>
  </r>
  <r>
    <x v="42"/>
    <d v="2026-01-22T00:00:00"/>
    <s v="08-05-2024"/>
    <d v="1899-12-30T00:00:00"/>
    <s v="Barbeque Nation"/>
    <s v="Jaipur"/>
    <s v="Italian"/>
    <n v="50"/>
    <n v="3.8"/>
    <s v="17mins"/>
    <n v="997"/>
    <n v="120"/>
    <s v="Debit Card"/>
    <s v="Delivered"/>
    <n v="10"/>
    <x v="3"/>
    <n v="79"/>
  </r>
  <r>
    <x v="43"/>
    <d v="2026-08-04T00:00:00"/>
    <s v="07-04-2024"/>
    <d v="1899-12-30T00:00:00"/>
    <s v="Unknown"/>
    <s v="Mumbai"/>
    <s v="Italian"/>
    <n v="65"/>
    <n v="3.8"/>
    <s v="56mins"/>
    <n v="2496"/>
    <n v="0.15"/>
    <s v="Cash On Delivery"/>
    <s v="Refunded"/>
    <n v="9"/>
    <x v="5"/>
    <n v="18"/>
  </r>
  <r>
    <x v="44"/>
    <d v="2026-01-09T00:00:00"/>
    <s v="22-03-2024"/>
    <d v="1899-12-30T00:00:00"/>
    <s v="Behrouz Biryani"/>
    <s v="Pune"/>
    <s v="Biryani"/>
    <n v="59"/>
    <n v="2.9"/>
    <s v="49 mins"/>
    <n v="765"/>
    <n v="0.1"/>
    <s v="Net Banking"/>
    <s v="Delivered"/>
    <n v="6"/>
    <x v="1"/>
    <n v="35"/>
  </r>
  <r>
    <x v="45"/>
    <d v="2026-10-30T00:00:00"/>
    <s v="16-06-2024"/>
    <d v="1899-12-30T00:00:00"/>
    <s v="Dominos Pizza"/>
    <s v="Mumbai"/>
    <s v="North Indian"/>
    <n v="20"/>
    <n v="2.6"/>
    <s v="52mins"/>
    <n v="500"/>
    <n v="0"/>
    <s v="Debit Card"/>
    <s v="Delivered"/>
    <n v="5"/>
    <x v="2"/>
    <n v="161"/>
  </r>
  <r>
    <x v="46"/>
    <d v="2026-06-10T00:00:00"/>
    <s v="03-16-2024"/>
    <d v="1899-12-30T19:22:00"/>
    <s v="Dominos Pizza"/>
    <s v="Jaipur"/>
    <s v="Fast Food"/>
    <n v="46"/>
    <n v="4.8"/>
    <s v="16mins"/>
    <n v="742"/>
    <n v="0.1"/>
    <s v="Cash On Delivery"/>
    <s v="Refunded"/>
    <n v="6"/>
    <x v="3"/>
    <n v="78"/>
  </r>
  <r>
    <x v="47"/>
    <d v="2026-08-12T00:00:00"/>
    <s v="28-06-2024"/>
    <d v="1899-12-30T00:00:00"/>
    <s v="Wow! Momo"/>
    <s v="Lucknow"/>
    <s v="Desserts"/>
    <n v="50"/>
    <n v="3.1"/>
    <s v="69 mins"/>
    <n v="1358"/>
    <n v="0.6"/>
    <s v="Cash On Delivery"/>
    <s v="Delivered"/>
    <n v="9"/>
    <x v="4"/>
    <n v="73"/>
  </r>
  <r>
    <x v="3"/>
    <d v="2026-03-12T00:00:00"/>
    <s v="25-02-2024"/>
    <d v="1899-12-30T00:00:00"/>
    <s v="Subway"/>
    <s v="Mumbai"/>
    <s v="Fast Food"/>
    <n v="44"/>
    <n v="4.5999999999999996"/>
    <s v="63mins"/>
    <n v="1014"/>
    <n v="120"/>
    <s v="Credit Card"/>
    <s v="Delivered"/>
    <n v="1"/>
    <x v="0"/>
    <n v="157"/>
  </r>
  <r>
    <x v="48"/>
    <d v="2026-12-30T00:00:00"/>
    <s v="27-04-2024"/>
    <d v="1899-12-30T00:00:00"/>
    <s v="Dominos Pizza"/>
    <s v="Pune"/>
    <s v="Chinese"/>
    <n v="63"/>
    <n v="2"/>
    <s v="15 mins"/>
    <n v="1165"/>
    <n v="0"/>
    <s v="Credit Card"/>
    <s v="Delivered"/>
    <n v="6"/>
    <x v="2"/>
    <n v="138"/>
  </r>
  <r>
    <x v="49"/>
    <d v="2026-10-20T00:00:00"/>
    <s v="05-31-2024"/>
    <d v="1899-12-30T05:58:00"/>
    <s v="Subway"/>
    <s v="Pune"/>
    <s v="Fast Food"/>
    <n v="32"/>
    <n v="3.8"/>
    <s v="22mins"/>
    <n v="1458"/>
    <n v="50"/>
    <s v="Cash On Delivery"/>
    <s v="Delivered"/>
    <n v="4"/>
    <x v="0"/>
    <n v="119"/>
  </r>
  <r>
    <x v="50"/>
    <d v="2026-11-26T00:00:00"/>
    <s v="04-07-2024"/>
    <d v="1899-12-30T00:00:00"/>
    <s v="Paradise Biryani"/>
    <s v="Hyderabad"/>
    <s v="Mughlai"/>
    <n v="33"/>
    <n v="4.0999999999999996"/>
    <s v="60mins"/>
    <n v="854"/>
    <n v="100"/>
    <s v="Upi"/>
    <s v="Refunded"/>
    <n v="10"/>
    <x v="2"/>
    <n v="103"/>
  </r>
  <r>
    <x v="51"/>
    <d v="2026-03-31T00:00:00"/>
    <s v="20-02-2024"/>
    <d v="1899-12-30T00:00:00"/>
    <s v="Chai Point"/>
    <s v="Kolkata"/>
    <s v="Mughlai"/>
    <n v="52"/>
    <n v="4.7"/>
    <s v="22mins"/>
    <n v="1367"/>
    <n v="0"/>
    <s v="Wallet"/>
    <s v="Cancelled"/>
    <n v="1"/>
    <x v="2"/>
    <n v="124"/>
  </r>
  <r>
    <x v="52"/>
    <d v="2026-07-14T00:00:00"/>
    <m/>
    <d v="1899-12-30T00:00:00"/>
    <s v="Wow! Momo"/>
    <s v="Jaipur"/>
    <s v="Italian"/>
    <n v="27"/>
    <n v="3.5"/>
    <s v="60mins"/>
    <n v="756"/>
    <n v="0.5"/>
    <s v="Cash On Delivery"/>
    <s v="Delivered"/>
    <n v="2"/>
    <x v="4"/>
    <m/>
  </r>
  <r>
    <x v="53"/>
    <d v="2026-11-30T00:00:00"/>
    <s v="03-28-2024"/>
    <d v="1899-12-30T20:39:00"/>
    <s v="Chai Point"/>
    <s v="Kolkata"/>
    <s v="Street Food"/>
    <n v="23"/>
    <n v="2.2000000000000002"/>
    <s v="19 mins"/>
    <n v="315"/>
    <n v="150"/>
    <s v="Credit Card"/>
    <s v="Delivered"/>
    <n v="2"/>
    <x v="2"/>
    <n v="104"/>
  </r>
  <r>
    <x v="54"/>
    <d v="2026-11-18T00:00:00"/>
    <s v="21-05-2024"/>
    <d v="1899-12-30T00:00:00"/>
    <s v="Kfc"/>
    <s v="Mumbai"/>
    <s v="Chinese"/>
    <n v="37"/>
    <n v="1.6"/>
    <s v="32 mins"/>
    <n v="1122"/>
    <n v="0"/>
    <s v="Debit Card"/>
    <s v="Delivered"/>
    <n v="7"/>
    <x v="5"/>
    <n v="205"/>
  </r>
  <r>
    <x v="55"/>
    <d v="2026-11-02T00:00:00"/>
    <s v="15-06-2024"/>
    <d v="1899-12-30T00:00:00"/>
    <s v="Kfc"/>
    <s v="Pune"/>
    <s v="Mughlai"/>
    <n v="43"/>
    <n v="4.7"/>
    <s v="49 mins"/>
    <n v="548"/>
    <n v="0"/>
    <s v="Wallet"/>
    <s v="Refunded"/>
    <n v="7"/>
    <x v="1"/>
    <n v="0"/>
  </r>
  <r>
    <x v="56"/>
    <d v="2026-03-12T00:00:00"/>
    <s v="19-01-2024"/>
    <d v="1899-12-30T00:00:00"/>
    <s v="Paradise Biryani"/>
    <s v="Pune"/>
    <s v="Street Food"/>
    <n v="60"/>
    <n v="3.6"/>
    <s v="15 mins"/>
    <n v="2461"/>
    <n v="0.2"/>
    <s v="Cash On Delivery"/>
    <s v="Delivered"/>
    <n v="6"/>
    <x v="4"/>
    <n v="148"/>
  </r>
  <r>
    <x v="57"/>
    <d v="2026-04-25T00:00:00"/>
    <s v="16-03-2024"/>
    <d v="1899-12-30T00:00:00"/>
    <s v="Haldiram'S"/>
    <s v="Ahmedabad"/>
    <s v="South Indian"/>
    <n v="63"/>
    <n v="4.4000000000000004"/>
    <s v="36mins"/>
    <n v="2333"/>
    <n v="120"/>
    <s v="Credit Card"/>
    <s v="Delivered"/>
    <n v="7"/>
    <x v="0"/>
    <n v="68"/>
  </r>
  <r>
    <x v="3"/>
    <d v="2026-02-15T00:00:00"/>
    <s v="24-02-2024"/>
    <d v="1899-12-30T00:00:00"/>
    <s v="Behrouz Biryani"/>
    <s v="Jaipur"/>
    <s v="Biryani"/>
    <n v="42"/>
    <n v="3.3"/>
    <s v="73mins"/>
    <n v="1589"/>
    <n v="75"/>
    <s v="Net Banking"/>
    <s v="Cancelled"/>
    <n v="9"/>
    <x v="4"/>
    <n v="47"/>
  </r>
  <r>
    <x v="58"/>
    <d v="2026-03-05T00:00:00"/>
    <s v="14-06-2024"/>
    <d v="1899-12-30T00:00:00"/>
    <s v="Paradise Biryani"/>
    <s v="Chennai"/>
    <s v="Italian"/>
    <n v="44"/>
    <n v="2.8"/>
    <s v="51 mins"/>
    <n v="193"/>
    <n v="0.2"/>
    <s v="Credit Card"/>
    <s v="Delivered"/>
    <n v="9"/>
    <x v="5"/>
    <n v="171"/>
  </r>
  <r>
    <x v="59"/>
    <d v="2026-10-13T00:00:00"/>
    <s v="07-07-2024"/>
    <d v="1899-12-30T22:18:00"/>
    <s v="Burger King"/>
    <s v="Mumbai"/>
    <s v="Chinese"/>
    <n v="57"/>
    <n v="1.7"/>
    <s v="28 mins"/>
    <n v="2056"/>
    <n v="120"/>
    <s v="Debit Card"/>
    <s v="Refunded"/>
    <n v="2"/>
    <x v="2"/>
    <n v="223"/>
  </r>
  <r>
    <x v="60"/>
    <d v="2026-02-19T00:00:00"/>
    <s v="03-02-2024"/>
    <d v="1899-12-30T00:00:00"/>
    <s v="Kfc"/>
    <s v="Lucknow"/>
    <s v="South Indian"/>
    <n v="35"/>
    <n v="4.5"/>
    <s v="77mins"/>
    <n v="500"/>
    <n v="150"/>
    <s v="Upi"/>
    <s v="Refunded"/>
    <n v="7"/>
    <x v="2"/>
    <n v="14"/>
  </r>
  <r>
    <x v="61"/>
    <d v="2026-02-20T00:00:00"/>
    <s v="03-28-2024"/>
    <d v="1899-12-30T23:17:00"/>
    <s v="Bikanervala"/>
    <s v="Bangalore"/>
    <s v="Italian"/>
    <n v="28"/>
    <n v="4.5"/>
    <s v="38 mins"/>
    <n v="716"/>
    <n v="50"/>
    <s v="Upi"/>
    <s v="Cancelled"/>
    <n v="4"/>
    <x v="4"/>
    <n v="91"/>
  </r>
  <r>
    <x v="62"/>
    <d v="2026-08-27T00:00:00"/>
    <s v="22-03-2024"/>
    <d v="1899-12-30T00:00:00"/>
    <s v="Chai Point"/>
    <s v="Jaipur"/>
    <s v="Mughlai"/>
    <n v="47"/>
    <n v="2.5"/>
    <s v="51 mins"/>
    <n v="1987"/>
    <n v="0.2"/>
    <s v="Net Banking"/>
    <s v="Delivered"/>
    <n v="0"/>
    <x v="6"/>
    <n v="99"/>
  </r>
  <r>
    <x v="46"/>
    <d v="2026-09-16T00:00:00"/>
    <s v="01-01-2024"/>
    <d v="1899-12-30T00:00:00"/>
    <s v="Behrouz Biryani"/>
    <s v="Ahmedabad"/>
    <s v="Biryani"/>
    <n v="62"/>
    <n v="2.8"/>
    <s v="27mins"/>
    <n v="1323"/>
    <n v="0.6"/>
    <s v="Net Banking"/>
    <s v="Refunded"/>
    <n v="6"/>
    <x v="5"/>
    <n v="231"/>
  </r>
  <r>
    <x v="63"/>
    <d v="2026-09-29T00:00:00"/>
    <s v="28-01-2024"/>
    <d v="1899-12-30T00:00:00"/>
    <s v="Kfc"/>
    <s v="Kolkata"/>
    <s v="Biryani"/>
    <n v="38"/>
    <n v="3.8"/>
    <s v="65mins"/>
    <n v="1342"/>
    <n v="0.15"/>
    <s v="Upi"/>
    <s v="Delivered"/>
    <n v="3"/>
    <x v="6"/>
    <n v="194"/>
  </r>
  <r>
    <x v="64"/>
    <d v="2026-08-16T00:00:00"/>
    <s v="05-04-2024"/>
    <d v="1899-12-30T00:00:00"/>
    <s v="H@Ldir@M'S"/>
    <s v="Mumbai"/>
    <s v="South Indian"/>
    <n v="18"/>
    <n v="1.7"/>
    <s v="65mins"/>
    <n v="1301"/>
    <n v="75"/>
    <s v="Credit Card"/>
    <s v="Cancelled"/>
    <n v="5"/>
    <x v="4"/>
    <n v="60"/>
  </r>
  <r>
    <x v="65"/>
    <d v="2026-01-16T00:00:00"/>
    <s v="05-14-2024"/>
    <d v="1899-12-30T08:30:00"/>
    <s v="Wow! Momo"/>
    <s v="Jaipur"/>
    <s v="Desserts"/>
    <n v="35"/>
    <n v="2.5"/>
    <s v="60mins"/>
    <n v="1945"/>
    <n v="0"/>
    <s v="Credit Card"/>
    <s v="Delivered"/>
    <n v="7"/>
    <x v="5"/>
    <n v="23"/>
  </r>
  <r>
    <x v="66"/>
    <d v="2026-01-21T00:00:00"/>
    <m/>
    <d v="1899-12-30T00:00:00"/>
    <s v="Behrouz Biryani"/>
    <s v="Ahmedabad"/>
    <s v="North Indian"/>
    <n v="18"/>
    <n v="1.8"/>
    <s v="60 mins"/>
    <n v="542"/>
    <n v="0"/>
    <s v="Upi"/>
    <s v="Delivered"/>
    <n v="6"/>
    <x v="1"/>
    <n v="47"/>
  </r>
  <r>
    <x v="67"/>
    <d v="2026-07-02T00:00:00"/>
    <s v="21-04-2024"/>
    <d v="1899-12-30T00:00:00"/>
    <s v="Faasos"/>
    <s v="Lucknow"/>
    <s v="Fast Food"/>
    <n v="18"/>
    <n v="4.8"/>
    <s v="19mins"/>
    <n v="553"/>
    <n v="120"/>
    <s v="Credit Card"/>
    <s v="Refunded"/>
    <n v="3"/>
    <x v="1"/>
    <n v="154"/>
  </r>
  <r>
    <x v="68"/>
    <d v="2026-02-08T00:00:00"/>
    <s v="08-03-2024"/>
    <d v="1899-12-30T00:00:00"/>
    <s v="Haldiram'S"/>
    <s v="Ahmedabad"/>
    <s v="Mughlai"/>
    <n v="54"/>
    <n v="3.7"/>
    <s v="19 mins"/>
    <n v="500"/>
    <n v="0"/>
    <s v="Debit Card"/>
    <s v="Delivered"/>
    <n v="2"/>
    <x v="5"/>
    <m/>
  </r>
  <r>
    <x v="69"/>
    <d v="2026-11-27T00:00:00"/>
    <s v="21-04-2024"/>
    <d v="1899-12-30T00:00:00"/>
    <s v="Kfc"/>
    <s v="Jaipur"/>
    <s v="North Indian"/>
    <n v="18"/>
    <n v="2.2000000000000002"/>
    <s v="76mins"/>
    <n v="500"/>
    <n v="0.2"/>
    <s v="Upi"/>
    <s v="Delivered"/>
    <n v="9"/>
    <x v="4"/>
    <n v="42"/>
  </r>
  <r>
    <x v="70"/>
    <d v="2026-05-25T00:00:00"/>
    <s v="27-02-2024"/>
    <d v="1899-12-30T00:00:00"/>
    <s v="Barbeque Nation"/>
    <s v="Jaipur"/>
    <s v="North Indian"/>
    <n v="48"/>
    <n v="1.9"/>
    <s v="65mins"/>
    <n v="2269"/>
    <n v="120"/>
    <s v="Net Banking"/>
    <s v="Delivered"/>
    <n v="4"/>
    <x v="6"/>
    <n v="54"/>
  </r>
  <r>
    <x v="71"/>
    <d v="2026-02-13T00:00:00"/>
    <s v="07-02-2024"/>
    <d v="1899-12-30T00:00:00"/>
    <s v="Behrouz Biryani"/>
    <s v="Pune"/>
    <s v="North Indian"/>
    <n v="44"/>
    <n v="3.3"/>
    <s v="27mins"/>
    <n v="2321"/>
    <n v="0.2"/>
    <s v="Net Banking"/>
    <s v="Delivered"/>
    <n v="7"/>
    <x v="2"/>
    <n v="53"/>
  </r>
  <r>
    <x v="72"/>
    <d v="2026-10-20T00:00:00"/>
    <s v="13-01-2024"/>
    <d v="1899-12-30T00:00:00"/>
    <s v="Unknown"/>
    <s v="Kolkata"/>
    <s v="South Indian"/>
    <n v="38"/>
    <n v="2.7"/>
    <s v="39mins"/>
    <n v="1171"/>
    <n v="100"/>
    <s v="Net Banking"/>
    <s v="Cancelled"/>
    <n v="9"/>
    <x v="6"/>
    <n v="16"/>
  </r>
  <r>
    <x v="73"/>
    <d v="2026-10-15T00:00:00"/>
    <s v="26-04-2024"/>
    <d v="1899-12-30T00:00:00"/>
    <s v="Behrouz Biryani"/>
    <s v="Mumbai"/>
    <s v="Mughlai"/>
    <n v="28"/>
    <n v="2"/>
    <s v="26mins"/>
    <n v="798"/>
    <n v="0.6"/>
    <s v="Credit Card"/>
    <s v="Refunded"/>
    <n v="1"/>
    <x v="4"/>
    <m/>
  </r>
  <r>
    <x v="74"/>
    <d v="2026-03-21T00:00:00"/>
    <s v="19-03-2024"/>
    <d v="1899-12-30T00:00:00"/>
    <s v="Subway"/>
    <s v="Jaipur"/>
    <s v="Street Food"/>
    <n v="56"/>
    <n v="2.2000000000000002"/>
    <s v="19 mins"/>
    <n v="920"/>
    <n v="0.2"/>
    <s v="Debit Card"/>
    <s v="Cancelled"/>
    <n v="10"/>
    <x v="4"/>
    <n v="158"/>
  </r>
  <r>
    <x v="75"/>
    <d v="2026-05-31T00:00:00"/>
    <s v="17-04-2024"/>
    <d v="1899-12-30T00:00:00"/>
    <s v="Bikanervala"/>
    <s v="Hyderabad"/>
    <s v="Desserts"/>
    <n v="29"/>
    <n v="2.9"/>
    <s v="38mins"/>
    <n v="2374"/>
    <n v="50"/>
    <s v="Debit Card"/>
    <s v="Refunded"/>
    <n v="2"/>
    <x v="4"/>
    <n v="112"/>
  </r>
  <r>
    <x v="76"/>
    <d v="2026-07-04T00:00:00"/>
    <s v="31-01-2024"/>
    <d v="1899-12-30T00:00:00"/>
    <s v="Burger King"/>
    <s v="Chennai"/>
    <s v="Mughlai"/>
    <n v="39"/>
    <n v="1.7"/>
    <s v="15mins"/>
    <n v="1196"/>
    <n v="120"/>
    <s v="Credit Card"/>
    <s v="Delivered"/>
    <n v="8"/>
    <x v="6"/>
    <n v="96"/>
  </r>
  <r>
    <x v="77"/>
    <d v="2026-08-07T00:00:00"/>
    <s v="12-07-2024"/>
    <d v="1899-12-30T00:00:00"/>
    <s v="Unknown"/>
    <s v="Hyderabad"/>
    <s v="South Indian"/>
    <n v="37"/>
    <n v="2.8"/>
    <s v="58mins"/>
    <n v="1152"/>
    <n v="0.5"/>
    <s v="Debit Card"/>
    <s v="Unknown"/>
    <n v="3"/>
    <x v="2"/>
    <n v="24"/>
  </r>
  <r>
    <x v="78"/>
    <d v="2026-04-03T00:00:00"/>
    <s v="03-06-2024"/>
    <d v="1899-12-30T18:15:00"/>
    <s v="Ch@I P0Int"/>
    <s v="Mumbai"/>
    <s v="Mughlai"/>
    <n v="18"/>
    <n v="1.4"/>
    <s v="32mins"/>
    <n v="1117"/>
    <n v="120"/>
    <s v="Upi"/>
    <s v="Delivered"/>
    <n v="4"/>
    <x v="5"/>
    <n v="67"/>
  </r>
  <r>
    <x v="79"/>
    <d v="2026-08-12T00:00:00"/>
    <m/>
    <d v="1899-12-30T00:00:00"/>
    <s v="Faasos"/>
    <s v="Mumbai"/>
    <s v="South Indian"/>
    <n v="34"/>
    <n v="1.4"/>
    <s v="17 mins"/>
    <n v="2148"/>
    <n v="100"/>
    <s v="Wallet"/>
    <s v="Delivered"/>
    <n v="6"/>
    <x v="4"/>
    <n v="162"/>
  </r>
  <r>
    <x v="80"/>
    <d v="2026-07-12T00:00:00"/>
    <s v="12-04-2024"/>
    <d v="1899-12-30T00:00:00"/>
    <s v="Subway"/>
    <s v="Bangalore"/>
    <s v="Fast Food"/>
    <n v="46"/>
    <n v="2.5"/>
    <s v="18mins"/>
    <n v="2173"/>
    <n v="50"/>
    <s v="Cash On Delivery"/>
    <s v="Delivered"/>
    <n v="0"/>
    <x v="1"/>
    <n v="159"/>
  </r>
  <r>
    <x v="81"/>
    <d v="2026-03-17T00:00:00"/>
    <s v="05-12-2024"/>
    <d v="1899-12-30T17:51:00"/>
    <s v="Chai Point"/>
    <s v="Pune"/>
    <s v="Bakery"/>
    <n v="49"/>
    <n v="1.3"/>
    <s v="45mins"/>
    <n v="908"/>
    <n v="120"/>
    <s v="Wallet"/>
    <s v="Delivered"/>
    <n v="8"/>
    <x v="5"/>
    <n v="136"/>
  </r>
  <r>
    <x v="82"/>
    <d v="2026-11-30T00:00:00"/>
    <s v="01-01-2024"/>
    <d v="1899-12-30T03:06:00"/>
    <s v="Chai Point"/>
    <s v="Ahmedabad"/>
    <s v="Chinese"/>
    <n v="63"/>
    <n v="3.9"/>
    <s v="63 mins"/>
    <n v="500"/>
    <n v="0.2"/>
    <s v="Net Banking"/>
    <s v="Cancelled"/>
    <n v="7"/>
    <x v="0"/>
    <n v="40"/>
  </r>
  <r>
    <x v="83"/>
    <d v="2026-06-18T00:00:00"/>
    <s v="18-02-2024"/>
    <d v="1899-12-30T00:00:00"/>
    <s v="Unknown"/>
    <s v="Lucknow"/>
    <s v="Bakery"/>
    <n v="21"/>
    <n v="2.7"/>
    <s v="80mins"/>
    <n v="1979"/>
    <n v="50"/>
    <s v="Wallet"/>
    <s v="Delivered"/>
    <n v="10"/>
    <x v="1"/>
    <n v="238"/>
  </r>
  <r>
    <x v="84"/>
    <d v="2026-11-20T00:00:00"/>
    <s v="04-15-2024"/>
    <d v="1899-12-30T20:33:00"/>
    <s v="Behrouz Biryani"/>
    <s v="Jaipur"/>
    <s v="Biryani"/>
    <n v="29"/>
    <n v="3.8"/>
    <s v="29mins"/>
    <n v="1931"/>
    <n v="150"/>
    <s v="Wallet"/>
    <s v="Refunded"/>
    <n v="0"/>
    <x v="6"/>
    <n v="32"/>
  </r>
  <r>
    <x v="85"/>
    <d v="2026-11-21T00:00:00"/>
    <s v="02-11-2024"/>
    <d v="1899-12-30T09:46:00"/>
    <s v="Barbeque Nation"/>
    <s v="Delhi"/>
    <s v="Street Food"/>
    <n v="62"/>
    <n v="3.7"/>
    <s v="64mins"/>
    <n v="1111"/>
    <n v="120"/>
    <s v="Unknown"/>
    <s v="Refunded"/>
    <n v="8"/>
    <x v="2"/>
    <n v="134"/>
  </r>
  <r>
    <x v="86"/>
    <d v="2026-06-21T00:00:00"/>
    <s v="17-07-2024"/>
    <d v="1899-12-30T00:00:00"/>
    <s v="Barbeque Nation"/>
    <s v="Jaipur"/>
    <s v="Biryani"/>
    <n v="39"/>
    <n v="4.7"/>
    <s v="15 mins"/>
    <n v="2330"/>
    <n v="150"/>
    <s v="Net Banking"/>
    <s v="Delivered"/>
    <n v="4"/>
    <x v="2"/>
    <n v="27"/>
  </r>
  <r>
    <x v="87"/>
    <d v="2026-09-24T00:00:00"/>
    <s v="24-02-2024"/>
    <d v="1899-12-30T00:00:00"/>
    <s v="Kfc"/>
    <s v="Jaipur"/>
    <s v="Desserts"/>
    <n v="20"/>
    <n v="2.2999999999999998"/>
    <s v="29mins"/>
    <n v="1038"/>
    <n v="0.6"/>
    <s v="Debit Card"/>
    <s v="Refunded"/>
    <n v="2"/>
    <x v="2"/>
    <n v="96"/>
  </r>
  <r>
    <x v="88"/>
    <d v="2026-02-05T00:00:00"/>
    <s v="24-02-2024"/>
    <d v="1899-12-30T00:00:00"/>
    <s v="Dominos Pizza"/>
    <s v="Mumbai"/>
    <s v="Unknown"/>
    <n v="29"/>
    <n v="3.2"/>
    <s v="44mins"/>
    <n v="2288"/>
    <n v="100"/>
    <s v="Cash On Delivery"/>
    <s v="Delivered"/>
    <n v="10"/>
    <x v="0"/>
    <n v="226"/>
  </r>
  <r>
    <x v="89"/>
    <d v="2026-04-21T00:00:00"/>
    <s v="01-30-2024"/>
    <d v="1899-12-30T06:11:00"/>
    <s v="Chai Point"/>
    <s v="Ahmedabad"/>
    <s v="South Indian"/>
    <n v="40"/>
    <n v="3.6"/>
    <s v="54 mins"/>
    <n v="286"/>
    <n v="75"/>
    <s v="Net Banking"/>
    <s v="Delivered"/>
    <n v="1"/>
    <x v="5"/>
    <n v="164"/>
  </r>
  <r>
    <x v="90"/>
    <d v="2026-03-23T00:00:00"/>
    <s v="06-07-2024"/>
    <d v="1899-12-30T00:00:00"/>
    <s v="Paradise Biryani"/>
    <s v="Lucknow"/>
    <s v="Street Food"/>
    <n v="19"/>
    <n v="3.5"/>
    <s v="66mins"/>
    <n v="1951"/>
    <n v="0"/>
    <s v="Debit Card"/>
    <s v="Cancelled"/>
    <n v="5"/>
    <x v="2"/>
    <n v="51"/>
  </r>
  <r>
    <x v="91"/>
    <d v="2026-01-12T00:00:00"/>
    <s v="06-06-2024"/>
    <d v="1899-12-30T05:39:00"/>
    <s v="Barbeque Nation"/>
    <s v="Bangalore"/>
    <s v="Chinese"/>
    <n v="60"/>
    <n v="4.5999999999999996"/>
    <s v="75mins"/>
    <n v="2305"/>
    <n v="0"/>
    <s v="Wallet"/>
    <s v="Refunded"/>
    <n v="3"/>
    <x v="4"/>
    <n v="136"/>
  </r>
  <r>
    <x v="92"/>
    <d v="2026-07-21T00:00:00"/>
    <s v="27-02-2024"/>
    <d v="1899-12-30T00:00:00"/>
    <s v="Kfc"/>
    <s v="Bangalore"/>
    <s v="Biryani"/>
    <n v="25"/>
    <n v="2.7"/>
    <s v="29mins"/>
    <n v="1266"/>
    <n v="0.15"/>
    <s v="Wallet"/>
    <s v="Delivered"/>
    <n v="9"/>
    <x v="0"/>
    <n v="25"/>
  </r>
  <r>
    <x v="93"/>
    <d v="2026-10-16T00:00:00"/>
    <s v="31-01-2024"/>
    <d v="1899-12-30T00:00:00"/>
    <s v="Barbeque Nation"/>
    <s v="Pune"/>
    <s v="Street Food"/>
    <n v="40"/>
    <n v="4"/>
    <s v="27mins"/>
    <n v="1133"/>
    <n v="0"/>
    <s v="Debit Card"/>
    <s v="Delivered"/>
    <n v="2"/>
    <x v="6"/>
    <n v="136"/>
  </r>
  <r>
    <x v="94"/>
    <d v="2026-01-01T00:00:00"/>
    <s v="02-09-2024"/>
    <d v="1899-12-30T14:32:00"/>
    <s v="Burger King"/>
    <s v="Pune"/>
    <s v="Mughlai"/>
    <n v="54"/>
    <n v="3.8"/>
    <s v="30mins"/>
    <n v="1900"/>
    <n v="50"/>
    <s v="Upi"/>
    <s v="Delivered"/>
    <n v="7"/>
    <x v="6"/>
    <n v="50"/>
  </r>
  <r>
    <x v="95"/>
    <d v="2026-09-03T00:00:00"/>
    <s v="17-01-2024"/>
    <d v="1899-12-30T00:00:00"/>
    <s v="Haldiram'S"/>
    <s v="Jaipur"/>
    <s v="Fast Food"/>
    <n v="51"/>
    <n v="1.1000000000000001"/>
    <s v="44mins"/>
    <n v="1584"/>
    <n v="0.1"/>
    <s v="Credit Card"/>
    <s v="Delivered"/>
    <n v="0"/>
    <x v="1"/>
    <n v="14"/>
  </r>
  <r>
    <x v="96"/>
    <d v="2026-05-27T00:00:00"/>
    <s v="03-11-2024"/>
    <d v="1899-12-30T07:43:00"/>
    <s v="Dominos Pizza"/>
    <s v="Bangalore"/>
    <s v="Biryani"/>
    <n v="52"/>
    <n v="3.3"/>
    <s v="63mins"/>
    <n v="1460"/>
    <n v="100"/>
    <s v="Wallet"/>
    <s v="Delivered"/>
    <n v="4"/>
    <x v="1"/>
    <n v="56"/>
  </r>
  <r>
    <x v="97"/>
    <d v="2026-10-28T00:00:00"/>
    <s v="08-03-2024"/>
    <d v="1899-12-30T00:00:00"/>
    <s v="Subway"/>
    <s v="Ahmedabad"/>
    <s v="Fast Food"/>
    <n v="30"/>
    <n v="2"/>
    <s v="44mins"/>
    <n v="603"/>
    <n v="50"/>
    <s v="Upi"/>
    <s v="Delivered"/>
    <n v="1"/>
    <x v="4"/>
    <n v="216"/>
  </r>
  <r>
    <x v="98"/>
    <d v="2026-11-03T00:00:00"/>
    <s v="16-02-2024"/>
    <d v="1899-12-30T00:00:00"/>
    <s v="Dominos Pizza"/>
    <s v="Unknown"/>
    <s v="Desserts"/>
    <n v="62"/>
    <n v="2.2999999999999998"/>
    <s v="15 mins"/>
    <n v="1724"/>
    <n v="0.2"/>
    <s v="Net Banking"/>
    <s v="Refunded"/>
    <n v="8"/>
    <x v="4"/>
    <n v="43"/>
  </r>
  <r>
    <x v="99"/>
    <d v="2026-08-22T00:00:00"/>
    <s v="02-03-2024"/>
    <d v="1899-12-30T19:39:00"/>
    <s v="Haldiram'S"/>
    <s v="Hyderabad"/>
    <s v="North Indian"/>
    <n v="51"/>
    <n v="2.2999999999999998"/>
    <s v="47mins"/>
    <n v="1458"/>
    <n v="0.15"/>
    <s v="Upi"/>
    <s v="Delivered"/>
    <n v="9"/>
    <x v="3"/>
    <n v="73"/>
  </r>
  <r>
    <x v="3"/>
    <d v="2026-04-19T00:00:00"/>
    <s v="07-05-2024"/>
    <d v="1899-12-30T08:00:00"/>
    <s v="Behrouz Biryani"/>
    <s v="Mumbai"/>
    <s v="Unknown"/>
    <n v="23"/>
    <n v="3.5"/>
    <s v="74 mins"/>
    <n v="2227"/>
    <n v="0.2"/>
    <s v="Cash On Delivery"/>
    <s v="Delivered"/>
    <n v="8"/>
    <x v="4"/>
    <n v="10"/>
  </r>
  <r>
    <x v="100"/>
    <d v="2026-05-01T00:00:00"/>
    <s v="15-02-2024"/>
    <d v="1899-12-30T00:00:00"/>
    <s v="Faasos"/>
    <s v="Jaipur"/>
    <s v="South Indian"/>
    <n v="18"/>
    <n v="4"/>
    <s v="33 mins"/>
    <n v="500"/>
    <n v="100"/>
    <s v="Unknown"/>
    <s v="Delivered"/>
    <n v="9"/>
    <x v="5"/>
    <n v="64"/>
  </r>
  <r>
    <x v="101"/>
    <d v="2026-09-29T00:00:00"/>
    <s v="06-04-2024"/>
    <d v="1899-12-30T00:00:00"/>
    <s v="Subway"/>
    <s v="Kolkata"/>
    <s v="Italian, Fast Food"/>
    <n v="58"/>
    <n v="2.8"/>
    <s v="77mins"/>
    <n v="500"/>
    <n v="0"/>
    <s v="Unknown"/>
    <s v="Delivered"/>
    <n v="1"/>
    <x v="2"/>
    <n v="8"/>
  </r>
  <r>
    <x v="102"/>
    <d v="2026-08-01T00:00:00"/>
    <s v="04-05-2024"/>
    <d v="1899-12-30T15:49:00"/>
    <s v="Bikanervala"/>
    <s v="Pune"/>
    <s v="Biryani"/>
    <n v="33"/>
    <n v="4.9000000000000004"/>
    <s v="17 mins"/>
    <n v="594"/>
    <n v="0"/>
    <s v="Wallet"/>
    <s v="Refunded"/>
    <n v="9"/>
    <x v="3"/>
    <n v="19"/>
  </r>
  <r>
    <x v="103"/>
    <d v="2026-01-09T00:00:00"/>
    <s v="01-29-2024"/>
    <d v="1899-12-30T08:03:00"/>
    <s v="Unknown"/>
    <s v="Kolkata"/>
    <s v="North Indian"/>
    <n v="23"/>
    <n v="3"/>
    <s v="58mins"/>
    <n v="2335"/>
    <n v="0"/>
    <s v="Debit Card"/>
    <s v="Cancelled"/>
    <n v="6"/>
    <x v="4"/>
    <n v="45"/>
  </r>
  <r>
    <x v="104"/>
    <d v="2026-09-26T00:00:00"/>
    <s v="22-04-2024"/>
    <d v="1899-12-30T00:00:00"/>
    <s v="Behrouz Biryani"/>
    <s v="Ahmedabad"/>
    <s v="Street Food"/>
    <n v="52"/>
    <n v="1"/>
    <s v="63mins"/>
    <n v="1866"/>
    <n v="75"/>
    <s v="Net Banking"/>
    <s v="Delivered"/>
    <n v="9"/>
    <x v="2"/>
    <n v="132"/>
  </r>
  <r>
    <x v="105"/>
    <d v="2026-01-10T00:00:00"/>
    <s v="03-02-2024"/>
    <d v="1899-12-30T00:00:00"/>
    <s v="Dominos Pizza"/>
    <s v="Pune"/>
    <s v="Biryani"/>
    <n v="18"/>
    <n v="3.6"/>
    <s v="25mins"/>
    <n v="1234"/>
    <n v="0.5"/>
    <s v="Debit Card"/>
    <s v="Delivered"/>
    <n v="4"/>
    <x v="3"/>
    <n v="95"/>
  </r>
  <r>
    <x v="106"/>
    <d v="2026-09-14T00:00:00"/>
    <s v="09-06-2024"/>
    <d v="1899-12-30T00:00:00"/>
    <s v="Wow! Momo"/>
    <s v="Ahmedabad"/>
    <s v="Fast Food"/>
    <n v="56"/>
    <n v="2.4"/>
    <s v="56mins"/>
    <n v="2131"/>
    <n v="150"/>
    <s v="Debit Card"/>
    <s v="Delivered"/>
    <n v="8"/>
    <x v="6"/>
    <n v="69"/>
  </r>
  <r>
    <x v="3"/>
    <d v="2026-12-07T00:00:00"/>
    <m/>
    <d v="1899-12-30T00:00:00"/>
    <s v="Dominos Pizza"/>
    <s v="Kolkata"/>
    <s v="Bakery, Desserts"/>
    <n v="34"/>
    <n v="3.3"/>
    <s v="66 mins"/>
    <n v="835"/>
    <n v="50"/>
    <s v="Wallet"/>
    <s v="Delivered"/>
    <n v="2"/>
    <x v="3"/>
    <n v="187"/>
  </r>
  <r>
    <x v="107"/>
    <d v="2026-11-19T00:00:00"/>
    <s v="26-03-2024"/>
    <d v="1899-12-30T00:00:00"/>
    <s v="Subway"/>
    <s v="Lucknow"/>
    <s v="North Indian, Street Food"/>
    <n v="38"/>
    <n v="1.9"/>
    <s v="61 mins"/>
    <n v="2494"/>
    <n v="120"/>
    <s v="Net Banking"/>
    <s v="Cancelled"/>
    <n v="1"/>
    <x v="3"/>
    <n v="86"/>
  </r>
  <r>
    <x v="108"/>
    <d v="2026-01-17T00:00:00"/>
    <s v="23-05-2024"/>
    <d v="1899-12-30T00:00:00"/>
    <s v="Faasos"/>
    <s v="Hyderabad"/>
    <s v="Bakery"/>
    <n v="38"/>
    <n v="3.6"/>
    <s v="36mins"/>
    <n v="2471"/>
    <n v="100"/>
    <s v="Net Banking"/>
    <s v="Cancelled"/>
    <n v="2"/>
    <x v="0"/>
    <n v="125"/>
  </r>
  <r>
    <x v="109"/>
    <d v="2026-06-02T00:00:00"/>
    <s v="20-03-2024"/>
    <d v="1899-12-30T00:00:00"/>
    <s v="Wow! Momo"/>
    <s v="Hyderabad"/>
    <s v="Street Food"/>
    <n v="59"/>
    <n v="4.7"/>
    <s v="30mins"/>
    <n v="558"/>
    <n v="0.1"/>
    <s v="Debit Card"/>
    <s v="Delivered"/>
    <n v="5"/>
    <x v="2"/>
    <n v="19"/>
  </r>
  <r>
    <x v="110"/>
    <d v="2026-11-12T00:00:00"/>
    <s v="25-05-2024"/>
    <d v="1899-12-30T00:00:00"/>
    <s v="Dominos Pizza"/>
    <s v="Ahmedabad"/>
    <s v="Desserts"/>
    <n v="32"/>
    <n v="2.5"/>
    <s v="16mins"/>
    <n v="2323"/>
    <n v="0.15"/>
    <s v="Credit Card"/>
    <s v="Delivered"/>
    <n v="4"/>
    <x v="4"/>
    <n v="163"/>
  </r>
  <r>
    <x v="111"/>
    <d v="2026-06-21T00:00:00"/>
    <s v="09-07-2024"/>
    <d v="1899-12-30T00:00:00"/>
    <s v="Wow! Momo"/>
    <s v="Bombay"/>
    <s v="Chinese"/>
    <n v="51"/>
    <n v="4.9000000000000004"/>
    <s v="43 mins"/>
    <n v="1067"/>
    <n v="100"/>
    <s v="Credit Card"/>
    <s v="Delivered"/>
    <n v="2"/>
    <x v="1"/>
    <n v="113"/>
  </r>
  <r>
    <x v="112"/>
    <d v="2026-06-25T00:00:00"/>
    <m/>
    <d v="1899-12-30T00:00:00"/>
    <s v="Paradise Biryani"/>
    <s v="Kolkata"/>
    <s v="Fast Food"/>
    <n v="41"/>
    <n v="3.8"/>
    <s v="80mins"/>
    <n v="1577"/>
    <n v="0"/>
    <s v="Credit Card"/>
    <s v="Cancelled"/>
    <n v="1"/>
    <x v="4"/>
    <n v="237"/>
  </r>
  <r>
    <x v="113"/>
    <d v="2026-10-29T00:00:00"/>
    <s v="02-21-2024"/>
    <d v="1899-12-30T00:07:00"/>
    <s v="Unknown"/>
    <s v="Ahmedabad"/>
    <s v="Mughlai"/>
    <n v="23"/>
    <n v="1"/>
    <s v="50mins"/>
    <n v="1595"/>
    <n v="0"/>
    <s v="Cash Card"/>
    <s v="Delivered"/>
    <n v="2"/>
    <x v="0"/>
    <n v="27"/>
  </r>
  <r>
    <x v="114"/>
    <d v="2026-08-04T00:00:00"/>
    <s v="26-05-2024"/>
    <d v="1899-12-30T00:00:00"/>
    <s v="Paradise Biryani"/>
    <s v="Kolkata"/>
    <s v="Italian, Mughlai"/>
    <n v="62"/>
    <n v="2.2999999999999998"/>
    <s v="41mins"/>
    <n v="1776"/>
    <n v="0.6"/>
    <s v="Upi"/>
    <s v="Refunded"/>
    <n v="10"/>
    <x v="3"/>
    <n v="106"/>
  </r>
  <r>
    <x v="115"/>
    <d v="2026-04-14T00:00:00"/>
    <s v="16-02-2024"/>
    <d v="1899-12-30T00:00:00"/>
    <s v="Burger King"/>
    <s v="Mumbai"/>
    <s v="Italian"/>
    <n v="18"/>
    <n v="3.8"/>
    <s v="23mins"/>
    <n v="852"/>
    <n v="0.1"/>
    <s v="Upi"/>
    <s v="Delivered"/>
    <n v="6"/>
    <x v="1"/>
    <n v="68"/>
  </r>
  <r>
    <x v="116"/>
    <d v="2026-12-07T00:00:00"/>
    <s v="17-05-2024"/>
    <d v="1899-12-30T00:00:00"/>
    <s v="Subway"/>
    <s v="Lucknow"/>
    <s v="Chinese"/>
    <n v="22"/>
    <n v="2.1"/>
    <s v="15 mins"/>
    <n v="2461"/>
    <n v="120"/>
    <s v="Net Banking"/>
    <s v="Refunded"/>
    <n v="0"/>
    <x v="4"/>
    <n v="43"/>
  </r>
  <r>
    <x v="117"/>
    <d v="2026-12-20T00:00:00"/>
    <s v="14-02-2024"/>
    <d v="1899-12-30T00:00:00"/>
    <s v="Bik@Nerv@L@"/>
    <s v="Ahmedabad"/>
    <s v="Mughlai"/>
    <n v="24"/>
    <n v="4.8"/>
    <s v="31mins"/>
    <n v="500"/>
    <n v="0.6"/>
    <s v="Unknown"/>
    <s v="Delivered"/>
    <n v="8"/>
    <x v="0"/>
    <m/>
  </r>
  <r>
    <x v="118"/>
    <d v="2026-07-05T00:00:00"/>
    <s v="23-02-2024"/>
    <d v="1899-12-30T00:00:00"/>
    <s v="Burger King"/>
    <s v="Bangalore"/>
    <s v="Street Food"/>
    <n v="27"/>
    <n v="4.2"/>
    <s v="36mins"/>
    <n v="290"/>
    <n v="0.5"/>
    <s v="Upi"/>
    <s v="Delivered"/>
    <n v="10"/>
    <x v="3"/>
    <n v="67"/>
  </r>
  <r>
    <x v="119"/>
    <d v="2026-01-04T00:00:00"/>
    <s v="13-07-2024"/>
    <d v="1899-12-30T00:00:00"/>
    <s v="Haldiram'S"/>
    <s v="Ahmedabad"/>
    <s v="Mughlai"/>
    <n v="34"/>
    <n v="2.6"/>
    <s v="57mins"/>
    <n v="1997"/>
    <n v="0"/>
    <s v="Upi"/>
    <s v="Cancelled"/>
    <n v="9"/>
    <x v="0"/>
    <n v="45"/>
  </r>
  <r>
    <x v="120"/>
    <d v="2026-09-13T00:00:00"/>
    <s v="28-04-2024"/>
    <d v="1899-12-30T00:00:00"/>
    <s v="Dominos Pizza"/>
    <s v="Chennai"/>
    <s v="Italian"/>
    <n v="60"/>
    <n v="4.7"/>
    <s v="77mins"/>
    <n v="392"/>
    <n v="0.1"/>
    <s v="Cash On Delivery"/>
    <s v="Delivered"/>
    <n v="6"/>
    <x v="4"/>
    <n v="8"/>
  </r>
  <r>
    <x v="121"/>
    <d v="2026-06-25T00:00:00"/>
    <s v="01-01-2024"/>
    <d v="1899-12-30T05:00:00"/>
    <s v="Paradise Biryani"/>
    <s v="Chennai"/>
    <s v="Italian"/>
    <n v="57"/>
    <n v="2.6"/>
    <s v="33 mins"/>
    <n v="269"/>
    <n v="0"/>
    <s v="Wallet"/>
    <s v="Refunded"/>
    <n v="7"/>
    <x v="1"/>
    <n v="46"/>
  </r>
  <r>
    <x v="122"/>
    <d v="2026-01-30T00:00:00"/>
    <s v="18-02-2024"/>
    <d v="1899-12-30T00:00:00"/>
    <s v="Kfc"/>
    <s v="Unknown"/>
    <s v="North Indian"/>
    <n v="26"/>
    <n v="3.6"/>
    <s v="73mins"/>
    <n v="2247"/>
    <n v="120"/>
    <s v="Credit Card"/>
    <s v="Delivered"/>
    <n v="10"/>
    <x v="4"/>
    <n v="86"/>
  </r>
  <r>
    <x v="123"/>
    <d v="2026-04-09T00:00:00"/>
    <s v="10-01-2024"/>
    <d v="1899-12-30T00:00:00"/>
    <s v="Kfc"/>
    <s v="Jaipur"/>
    <s v="Mughlai"/>
    <n v="58"/>
    <n v="4.8"/>
    <s v="55 mins"/>
    <n v="1403"/>
    <n v="75"/>
    <s v="Net Banking"/>
    <s v="Delivered"/>
    <n v="5"/>
    <x v="5"/>
    <n v="117"/>
  </r>
  <r>
    <x v="124"/>
    <d v="2026-08-02T00:00:00"/>
    <s v="10-06-2024"/>
    <d v="1899-12-30T00:00:00"/>
    <s v="Chai Point"/>
    <s v="Kolkata"/>
    <s v="Biryani"/>
    <n v="65"/>
    <n v="1.7"/>
    <s v="34mins"/>
    <n v="1689"/>
    <n v="0.15"/>
    <s v="Cod"/>
    <s v="Delivered"/>
    <n v="8"/>
    <x v="4"/>
    <n v="65"/>
  </r>
  <r>
    <x v="125"/>
    <d v="2026-02-15T00:00:00"/>
    <s v="03-29-2024"/>
    <d v="1899-12-30T01:51:00"/>
    <s v="Haldiram'S"/>
    <s v="Jaipur"/>
    <s v="Biryani"/>
    <n v="46"/>
    <n v="2.2999999999999998"/>
    <s v="20mins"/>
    <n v="352"/>
    <n v="0.5"/>
    <s v="Net Banking"/>
    <s v="Refunded"/>
    <n v="8"/>
    <x v="1"/>
    <n v="114"/>
  </r>
  <r>
    <x v="126"/>
    <d v="2026-11-16T00:00:00"/>
    <s v="16-02-2024"/>
    <d v="1899-12-30T00:00:00"/>
    <s v="Unknown"/>
    <s v="Unknown"/>
    <s v="South Indian"/>
    <n v="34"/>
    <n v="1.1000000000000001"/>
    <s v="75 mins"/>
    <n v="1534"/>
    <n v="0.6"/>
    <s v="Wallet"/>
    <s v="Delivered"/>
    <n v="10"/>
    <x v="2"/>
    <n v="4"/>
  </r>
  <r>
    <x v="127"/>
    <d v="2026-05-24T00:00:00"/>
    <s v="03-11-2024"/>
    <d v="1899-12-30T14:34:00"/>
    <s v="Faasos"/>
    <s v="Delhi"/>
    <s v="Biryani, Chinese"/>
    <n v="29"/>
    <n v="1.4"/>
    <s v="70mins"/>
    <n v="640"/>
    <n v="150"/>
    <s v="Debit Card"/>
    <s v="Failed"/>
    <n v="1"/>
    <x v="0"/>
    <n v="151"/>
  </r>
  <r>
    <x v="128"/>
    <d v="2026-03-12T00:00:00"/>
    <s v="16-07-2024"/>
    <d v="1899-12-30T00:00:00"/>
    <s v="Subway"/>
    <s v="Delhi"/>
    <s v="South Indian"/>
    <n v="43"/>
    <n v="2.5"/>
    <s v="26mins"/>
    <n v="990"/>
    <n v="0.5"/>
    <s v="Debit Card"/>
    <s v="Delivered"/>
    <n v="2"/>
    <x v="1"/>
    <n v="212"/>
  </r>
  <r>
    <x v="129"/>
    <d v="2026-03-09T00:00:00"/>
    <s v="03-07-2024"/>
    <d v="1899-12-30T00:00:00"/>
    <s v="Subway"/>
    <s v="Ahmedabad"/>
    <s v="Desserts"/>
    <n v="59"/>
    <n v="2.8"/>
    <s v="34mins"/>
    <n v="1884"/>
    <n v="0"/>
    <s v="Wallet"/>
    <s v="Delivered"/>
    <n v="3"/>
    <x v="6"/>
    <n v="21"/>
  </r>
  <r>
    <x v="130"/>
    <d v="2026-03-14T00:00:00"/>
    <s v="31-05-2024"/>
    <d v="1899-12-30T00:00:00"/>
    <s v="Haldiram'S"/>
    <s v="Hyderabad"/>
    <s v="Italian"/>
    <n v="31"/>
    <n v="3.4"/>
    <s v="30mins"/>
    <n v="772"/>
    <n v="0.2"/>
    <s v="Net Banking"/>
    <s v="Cancelled"/>
    <n v="3"/>
    <x v="0"/>
    <n v="78"/>
  </r>
  <r>
    <x v="131"/>
    <d v="2026-10-22T00:00:00"/>
    <s v="03-13-2024"/>
    <d v="1899-12-30T14:12:00"/>
    <s v="Paradise Biryani"/>
    <s v="Pune"/>
    <s v="Bakery"/>
    <n v="37"/>
    <n v="1"/>
    <s v="22 mins"/>
    <n v="2468"/>
    <n v="120"/>
    <s v="Net Banking"/>
    <s v="Refunded"/>
    <n v="8"/>
    <x v="4"/>
    <n v="66"/>
  </r>
  <r>
    <x v="132"/>
    <d v="2026-05-26T00:00:00"/>
    <s v="10-03-2024"/>
    <d v="1899-12-30T00:00:00"/>
    <s v="Bikanervala"/>
    <s v="Ahmedabad"/>
    <s v="Biryani"/>
    <n v="28"/>
    <n v="3.2"/>
    <s v="41 mins"/>
    <n v="2160"/>
    <n v="120"/>
    <s v="Cash On Delivery"/>
    <s v="Cancelled"/>
    <n v="10"/>
    <x v="2"/>
    <m/>
  </r>
  <r>
    <x v="133"/>
    <d v="2026-03-31T00:00:00"/>
    <s v="09-05-2024"/>
    <d v="1899-12-30T00:00:00"/>
    <s v="Subway"/>
    <s v="Hyderabad"/>
    <s v="Italian"/>
    <n v="23"/>
    <n v="2.5"/>
    <s v="35mins"/>
    <n v="1794"/>
    <n v="0"/>
    <s v="Cash On Delivery"/>
    <s v="Cancelled"/>
    <n v="1"/>
    <x v="1"/>
    <m/>
  </r>
  <r>
    <x v="134"/>
    <d v="2026-11-25T00:00:00"/>
    <s v="05-06-2024"/>
    <d v="1899-12-30T00:00:00"/>
    <s v="Dominos Pizza"/>
    <s v="Delhi"/>
    <s v="North Indian"/>
    <n v="29"/>
    <n v="3.8"/>
    <s v="41mins"/>
    <n v="449"/>
    <n v="150"/>
    <s v="Cash On Delivery"/>
    <s v="Cancelled"/>
    <n v="5"/>
    <x v="3"/>
    <n v="59"/>
  </r>
  <r>
    <x v="135"/>
    <d v="2026-09-26T00:00:00"/>
    <s v="02-01-2024"/>
    <d v="1899-12-30T16:02:00"/>
    <s v="Faasos"/>
    <s v="Mumbai"/>
    <s v="Italian"/>
    <n v="35"/>
    <n v="1.6"/>
    <s v="28 mins"/>
    <n v="1359"/>
    <n v="0.6"/>
    <s v="Credit Card"/>
    <s v="Delivered"/>
    <n v="4"/>
    <x v="3"/>
    <n v="33"/>
  </r>
  <r>
    <x v="136"/>
    <d v="2026-10-02T00:00:00"/>
    <s v="27-04-2024"/>
    <d v="1899-12-30T00:00:00"/>
    <s v="Behrouz Biryani"/>
    <s v="Kolkata"/>
    <s v="Fast Food"/>
    <n v="25"/>
    <n v="4.5999999999999996"/>
    <s v="50 mins"/>
    <n v="500"/>
    <n v="50"/>
    <s v="Cash On Delivery"/>
    <s v="Cancelled"/>
    <n v="5"/>
    <x v="6"/>
    <n v="98"/>
  </r>
  <r>
    <x v="137"/>
    <d v="2026-03-24T00:00:00"/>
    <s v="23-01-2024"/>
    <d v="1899-12-30T00:00:00"/>
    <s v="Burger King"/>
    <s v="Bangalore"/>
    <s v="Mughlai"/>
    <n v="53"/>
    <n v="1.9"/>
    <s v="34mins"/>
    <n v="745"/>
    <n v="100"/>
    <s v="Upi"/>
    <s v="Delivered"/>
    <n v="0"/>
    <x v="5"/>
    <n v="118"/>
  </r>
  <r>
    <x v="138"/>
    <d v="2026-03-07T00:00:00"/>
    <s v="03-07-2024"/>
    <d v="1899-12-30T21:26:00"/>
    <s v="Behr0Uz Biry@Ni"/>
    <s v="Kolkata"/>
    <s v="Desserts"/>
    <n v="41"/>
    <n v="4.5999999999999996"/>
    <s v="52mins"/>
    <n v="814"/>
    <n v="0"/>
    <s v="Credit Card"/>
    <s v="Cancelled"/>
    <n v="5"/>
    <x v="5"/>
    <n v="48"/>
  </r>
  <r>
    <x v="139"/>
    <d v="2026-11-29T00:00:00"/>
    <s v="03-13-2024"/>
    <d v="1899-12-30T12:43:00"/>
    <s v="Subway"/>
    <s v="Hyderabad"/>
    <s v="Street Food"/>
    <n v="44"/>
    <n v="1.3"/>
    <s v="17mins"/>
    <n v="1261"/>
    <n v="0.5"/>
    <s v="Net Banking"/>
    <s v="Unknown"/>
    <n v="4"/>
    <x v="2"/>
    <n v="5"/>
  </r>
  <r>
    <x v="140"/>
    <d v="2026-08-18T00:00:00"/>
    <s v="05-05-2024"/>
    <d v="1899-12-30T00:00:00"/>
    <s v="Paradise Biryani"/>
    <s v="Lucknow"/>
    <s v="Fast Food"/>
    <n v="43"/>
    <n v="4.4000000000000004"/>
    <s v="50mins"/>
    <n v="1940"/>
    <n v="150"/>
    <s v="Cash On Delivery"/>
    <s v="Delivered"/>
    <n v="2"/>
    <x v="5"/>
    <m/>
  </r>
  <r>
    <x v="141"/>
    <d v="2026-03-21T00:00:00"/>
    <m/>
    <d v="1899-12-30T00:00:00"/>
    <s v="Barbeque Nation"/>
    <s v="Mumbai"/>
    <s v="Mughlai"/>
    <n v="34"/>
    <n v="4.2"/>
    <s v="17mins"/>
    <n v="500"/>
    <n v="0"/>
    <s v="Cash On Delivery"/>
    <s v="Delivered"/>
    <n v="5"/>
    <x v="1"/>
    <n v="23"/>
  </r>
  <r>
    <x v="142"/>
    <d v="2026-06-21T00:00:00"/>
    <s v="05-05-2024"/>
    <d v="1899-12-30T00:00:00"/>
    <s v="Wow! Momo"/>
    <s v="Pune"/>
    <s v="Desserts"/>
    <n v="26"/>
    <n v="2.4"/>
    <s v="18mins"/>
    <n v="1941"/>
    <n v="0.5"/>
    <s v="Debit Card"/>
    <s v="Cancelled"/>
    <n v="2"/>
    <x v="5"/>
    <m/>
  </r>
  <r>
    <x v="143"/>
    <d v="2026-02-09T00:00:00"/>
    <s v="02-23-2024"/>
    <d v="1899-12-30T11:51:00"/>
    <s v="Faasos"/>
    <s v="Chennai"/>
    <s v="Mughlai"/>
    <n v="51"/>
    <n v="3.3"/>
    <s v="67 mins"/>
    <n v="1886"/>
    <n v="120"/>
    <s v="Net Banking"/>
    <s v="Delivered"/>
    <n v="3"/>
    <x v="1"/>
    <n v="64"/>
  </r>
  <r>
    <x v="144"/>
    <d v="2026-01-11T00:00:00"/>
    <s v="22-02-2024"/>
    <d v="1899-12-30T00:00:00"/>
    <s v="Burger King"/>
    <s v="Mumbai"/>
    <s v="Biryani"/>
    <n v="20"/>
    <n v="2.1"/>
    <s v="15 mins"/>
    <n v="1999"/>
    <n v="150"/>
    <s v="Upi"/>
    <s v="Delivered"/>
    <n v="7"/>
    <x v="5"/>
    <n v="51"/>
  </r>
  <r>
    <x v="145"/>
    <d v="2026-01-05T00:00:00"/>
    <s v="26-05-2024"/>
    <d v="1899-12-30T00:00:00"/>
    <s v="Wow! Momo"/>
    <s v="Ahmedabad"/>
    <s v="Desserts"/>
    <n v="33"/>
    <n v="1.9"/>
    <s v="28 mins"/>
    <n v="2428"/>
    <n v="0.6"/>
    <s v="Upi"/>
    <s v="Refunded"/>
    <n v="5"/>
    <x v="2"/>
    <m/>
  </r>
  <r>
    <x v="146"/>
    <d v="2026-05-22T00:00:00"/>
    <s v="07-08-2024"/>
    <d v="1899-12-30T22:36:00"/>
    <s v="Bikanervala"/>
    <s v="Kolkata"/>
    <s v="South Indian"/>
    <n v="18"/>
    <n v="4.7"/>
    <s v="53mins"/>
    <n v="335"/>
    <n v="0.15"/>
    <s v="Credit Card"/>
    <s v="Delivered"/>
    <n v="8"/>
    <x v="4"/>
    <n v="30"/>
  </r>
  <r>
    <x v="147"/>
    <d v="2026-07-06T00:00:00"/>
    <s v="11-02-2024"/>
    <d v="1899-12-30T00:00:00"/>
    <s v="Kfc"/>
    <s v="Delhi"/>
    <s v="Mughlai"/>
    <n v="38"/>
    <n v="1.4"/>
    <s v="60 mins"/>
    <n v="2428"/>
    <n v="120"/>
    <s v="Wallet"/>
    <s v="Cancelled"/>
    <n v="5"/>
    <x v="2"/>
    <n v="50"/>
  </r>
  <r>
    <x v="148"/>
    <d v="2026-03-23T00:00:00"/>
    <s v="06-01-2024"/>
    <d v="1899-12-30T00:00:00"/>
    <s v="Faasos"/>
    <s v="Kolkata"/>
    <s v="Italian"/>
    <n v="54"/>
    <n v="3.9"/>
    <s v="73mins"/>
    <n v="2089"/>
    <n v="0.15"/>
    <s v="Credit Card"/>
    <s v="Delivered"/>
    <n v="4"/>
    <x v="5"/>
    <n v="20"/>
  </r>
  <r>
    <x v="3"/>
    <d v="2026-05-19T00:00:00"/>
    <s v="03-08-2024"/>
    <d v="1899-12-30T08:02:00"/>
    <s v="D0Min0S Pizz@"/>
    <s v="Bangalore"/>
    <s v="Chinese"/>
    <n v="24"/>
    <n v="1.2"/>
    <s v="75mins"/>
    <n v="2282"/>
    <n v="120"/>
    <s v="Wallet"/>
    <s v="Refunded"/>
    <n v="6"/>
    <x v="2"/>
    <n v="112"/>
  </r>
  <r>
    <x v="149"/>
    <d v="2026-10-31T00:00:00"/>
    <s v="29-04-2024"/>
    <d v="1899-12-30T00:00:00"/>
    <s v="Behrouz Biryani"/>
    <s v="Bangalore"/>
    <s v="Desserts"/>
    <n v="34"/>
    <n v="2.7"/>
    <s v="62 mins"/>
    <n v="2487"/>
    <n v="0.5"/>
    <s v="Upi"/>
    <s v="Delivered"/>
    <n v="8"/>
    <x v="0"/>
    <n v="105"/>
  </r>
  <r>
    <x v="150"/>
    <d v="2026-07-15T00:00:00"/>
    <s v="07-02-2024"/>
    <d v="1899-12-30T00:00:00"/>
    <s v="Dominos Pizza"/>
    <s v="Kolkata"/>
    <s v="North Indian"/>
    <n v="49"/>
    <n v="4.5"/>
    <s v="15 mins"/>
    <n v="1742"/>
    <n v="0.6"/>
    <s v="Upi"/>
    <s v="Delivered"/>
    <n v="1"/>
    <x v="5"/>
    <n v="234"/>
  </r>
  <r>
    <x v="151"/>
    <d v="2026-07-03T00:00:00"/>
    <s v="25-05-2024"/>
    <d v="1899-12-30T00:00:00"/>
    <s v="Bikanervala"/>
    <s v="Jaipur"/>
    <s v="Fast Food"/>
    <n v="18"/>
    <n v="2.6"/>
    <s v="34mins"/>
    <n v="407"/>
    <n v="75"/>
    <s v="Wallet"/>
    <s v="Refunded"/>
    <n v="8"/>
    <x v="5"/>
    <n v="170"/>
  </r>
  <r>
    <x v="152"/>
    <d v="2026-11-04T00:00:00"/>
    <s v="10-04-2024"/>
    <d v="1899-12-30T00:00:00"/>
    <s v="Behrouz Biryani"/>
    <s v="Lucknow"/>
    <s v="Fast Food, Bakery"/>
    <n v="61"/>
    <n v="3.1"/>
    <s v="15 mins"/>
    <n v="398"/>
    <n v="150"/>
    <s v="Cash On Delivery"/>
    <s v="Delivered"/>
    <n v="7"/>
    <x v="5"/>
    <n v="17"/>
  </r>
  <r>
    <x v="153"/>
    <d v="2026-12-10T00:00:00"/>
    <s v="07-01-2024"/>
    <d v="1899-12-30T00:00:00"/>
    <s v="Barbeque Nation"/>
    <s v="Hyderabad"/>
    <s v="Unknown"/>
    <n v="27"/>
    <n v="2.8"/>
    <s v="17mins"/>
    <n v="2166"/>
    <n v="0.6"/>
    <s v="Cash On Delivery"/>
    <s v="Delivered"/>
    <n v="10"/>
    <x v="1"/>
    <n v="81"/>
  </r>
  <r>
    <x v="154"/>
    <d v="2026-03-19T00:00:00"/>
    <s v="22-06-2024"/>
    <d v="1899-12-30T00:00:00"/>
    <s v="Bikanervala"/>
    <s v="Pune"/>
    <s v="Desserts"/>
    <n v="48"/>
    <n v="1.9"/>
    <s v="73 mins"/>
    <n v="1750"/>
    <n v="150"/>
    <s v="Wallet"/>
    <s v="Delivered"/>
    <n v="6"/>
    <x v="4"/>
    <n v="125"/>
  </r>
  <r>
    <x v="155"/>
    <d v="2026-10-28T00:00:00"/>
    <s v="03-02-2024"/>
    <d v="1899-12-30T00:00:00"/>
    <s v="Chai Point"/>
    <s v="Hyderabad"/>
    <s v="North Indian"/>
    <n v="50"/>
    <n v="2.5"/>
    <s v="42 mins"/>
    <n v="391"/>
    <n v="100"/>
    <s v="Debit Card"/>
    <s v="Delivered"/>
    <n v="9"/>
    <x v="3"/>
    <n v="226"/>
  </r>
  <r>
    <x v="156"/>
    <d v="2026-12-30T00:00:00"/>
    <s v="01-29-2024"/>
    <d v="1899-12-30T03:36:00"/>
    <s v="Chai Point"/>
    <s v="Mumbai"/>
    <s v="Desserts"/>
    <n v="64"/>
    <n v="1.6"/>
    <s v="32mins"/>
    <n v="413"/>
    <n v="0"/>
    <s v="Credit Card"/>
    <s v="Cancelled"/>
    <n v="6"/>
    <x v="1"/>
    <n v="169"/>
  </r>
  <r>
    <x v="157"/>
    <d v="2026-04-18T00:00:00"/>
    <s v="05-19-2024"/>
    <d v="1899-12-30T21:18:00"/>
    <s v="Faasos"/>
    <s v="Hyderabad"/>
    <s v="Italian"/>
    <n v="36"/>
    <n v="3"/>
    <s v="58mins"/>
    <n v="1922"/>
    <n v="0"/>
    <s v="Net Banking"/>
    <s v="Delivered"/>
    <n v="6"/>
    <x v="5"/>
    <n v="64"/>
  </r>
  <r>
    <x v="158"/>
    <d v="2026-01-19T00:00:00"/>
    <s v="07-07-2024"/>
    <d v="1899-12-30T00:00:00"/>
    <s v="Dominos Pizza"/>
    <s v="Jaipur"/>
    <s v="Bakery"/>
    <n v="38"/>
    <n v="1.8"/>
    <s v="73mins"/>
    <n v="353"/>
    <n v="0"/>
    <s v="Upi"/>
    <s v="Delivered"/>
    <n v="9"/>
    <x v="3"/>
    <n v="113"/>
  </r>
  <r>
    <x v="159"/>
    <d v="2026-04-27T00:00:00"/>
    <s v="05-05-2024"/>
    <d v="1899-12-30T00:00:00"/>
    <s v="Barbeque Nation"/>
    <s v="Jaipur"/>
    <s v="Unknown"/>
    <n v="53"/>
    <n v="4.8"/>
    <s v="67mins"/>
    <n v="383"/>
    <n v="0.6"/>
    <s v="Credit Card"/>
    <s v="Refunded"/>
    <n v="10"/>
    <x v="6"/>
    <n v="215"/>
  </r>
  <r>
    <x v="160"/>
    <d v="2026-09-10T00:00:00"/>
    <s v="05-05-2024"/>
    <d v="1899-12-30T00:00:00"/>
    <s v="Kfc"/>
    <s v="Kolkata"/>
    <s v="Mughlai"/>
    <n v="58"/>
    <n v="2.8"/>
    <s v="56mins"/>
    <n v="333"/>
    <n v="100"/>
    <s v="Cash Card"/>
    <s v="Delivered"/>
    <n v="1"/>
    <x v="3"/>
    <n v="22"/>
  </r>
  <r>
    <x v="161"/>
    <d v="2026-01-25T00:00:00"/>
    <s v="06-02-2024"/>
    <d v="1899-12-30T00:00:00"/>
    <s v="Barbeque Nation"/>
    <s v="Ahmedabad"/>
    <s v="Bakery"/>
    <n v="48"/>
    <n v="2"/>
    <s v="59mins"/>
    <n v="2125"/>
    <n v="75"/>
    <s v="Upi"/>
    <s v="Delivered"/>
    <n v="9"/>
    <x v="5"/>
    <n v="87"/>
  </r>
  <r>
    <x v="162"/>
    <d v="2026-01-16T00:00:00"/>
    <s v="11-06-2024"/>
    <d v="1899-12-30T00:00:00"/>
    <s v="Behrouz Biryani"/>
    <s v="Ahmedabad"/>
    <s v="Fast Food, Mughlai"/>
    <n v="18"/>
    <n v="2.5"/>
    <s v="50 mins"/>
    <n v="2251"/>
    <n v="120"/>
    <s v="Upi"/>
    <s v="Delivered"/>
    <n v="2"/>
    <x v="5"/>
    <n v="118"/>
  </r>
  <r>
    <x v="163"/>
    <d v="2026-09-08T00:00:00"/>
    <s v="03-01-2024"/>
    <d v="1899-12-30T00:00:00"/>
    <s v="Dominos Pizza"/>
    <s v="Kolkata"/>
    <s v="Bakery"/>
    <n v="41"/>
    <n v="2.5"/>
    <s v="41mins"/>
    <n v="137"/>
    <n v="0"/>
    <s v="Debit Card"/>
    <s v="Delivered"/>
    <n v="10"/>
    <x v="2"/>
    <n v="228"/>
  </r>
  <r>
    <x v="164"/>
    <d v="2026-05-27T00:00:00"/>
    <s v="11-03-2024"/>
    <d v="1899-12-30T00:00:00"/>
    <s v="Bikanervala"/>
    <s v="Jaipur"/>
    <s v="Italian"/>
    <n v="45"/>
    <n v="2.6"/>
    <s v="48 mins"/>
    <n v="1230"/>
    <n v="150"/>
    <s v="Credit Card"/>
    <s v="Unknown"/>
    <n v="2"/>
    <x v="3"/>
    <n v="6"/>
  </r>
  <r>
    <x v="165"/>
    <d v="2026-10-12T00:00:00"/>
    <s v="20-02-2024"/>
    <d v="1899-12-30T00:00:00"/>
    <s v="Haldiram'S"/>
    <s v="Delhi"/>
    <s v="Biryani"/>
    <n v="39"/>
    <n v="1.9"/>
    <s v="53 mins"/>
    <n v="1595"/>
    <n v="120"/>
    <s v="Upi"/>
    <s v="Refunded"/>
    <n v="1"/>
    <x v="4"/>
    <n v="63"/>
  </r>
  <r>
    <x v="166"/>
    <d v="2026-06-16T00:00:00"/>
    <s v="07-04-2024"/>
    <d v="1899-12-30T00:00:00"/>
    <s v="Subw@Y"/>
    <s v="Pune"/>
    <s v="South Indian"/>
    <n v="39"/>
    <n v="1.4"/>
    <s v="15 mins"/>
    <n v="1818"/>
    <n v="120"/>
    <s v="Credit Card"/>
    <s v="Delivered"/>
    <n v="1"/>
    <x v="2"/>
    <n v="237"/>
  </r>
  <r>
    <x v="167"/>
    <d v="2026-06-24T00:00:00"/>
    <s v="17-07-2024"/>
    <d v="1899-12-30T00:00:00"/>
    <s v="Burger King"/>
    <s v="Bangalore"/>
    <s v="North Indian"/>
    <n v="22"/>
    <n v="3.7"/>
    <s v="74mins"/>
    <n v="1547"/>
    <n v="75"/>
    <s v="Net Banking"/>
    <s v="Delivered"/>
    <n v="4"/>
    <x v="4"/>
    <n v="162"/>
  </r>
  <r>
    <x v="168"/>
    <d v="2026-12-24T00:00:00"/>
    <s v="22-02-2024"/>
    <d v="1899-12-30T00:00:00"/>
    <s v="Bikanervala"/>
    <s v="Mumbai"/>
    <s v="Desserts, Chinese"/>
    <n v="32"/>
    <n v="3.9"/>
    <s v="46mins"/>
    <n v="500"/>
    <n v="0"/>
    <s v="Upi"/>
    <s v="Delivered"/>
    <n v="6"/>
    <x v="5"/>
    <n v="242"/>
  </r>
  <r>
    <x v="169"/>
    <d v="2026-01-26T00:00:00"/>
    <s v="17-01-2024"/>
    <d v="1899-12-30T00:00:00"/>
    <s v="Barbeque Nation"/>
    <s v="Lucknow"/>
    <s v="Bakery"/>
    <n v="33"/>
    <n v="2.5"/>
    <s v="31mins"/>
    <n v="2147"/>
    <n v="50"/>
    <s v="Wallet"/>
    <s v="Delivered"/>
    <n v="9"/>
    <x v="5"/>
    <n v="26"/>
  </r>
  <r>
    <x v="170"/>
    <d v="2026-12-09T00:00:00"/>
    <s v="11-03-2024"/>
    <d v="1899-12-30T00:00:00"/>
    <s v="Haldiram'S"/>
    <s v="Kolkata"/>
    <s v="Biryani"/>
    <n v="63"/>
    <n v="4.5999999999999996"/>
    <s v="15 mins"/>
    <n v="833"/>
    <n v="100"/>
    <s v="Cod"/>
    <s v="Delivered"/>
    <n v="4"/>
    <x v="2"/>
    <n v="3"/>
  </r>
  <r>
    <x v="171"/>
    <d v="2026-03-03T00:00:00"/>
    <s v="04-28-2024"/>
    <d v="1899-12-30T11:37:00"/>
    <s v="Kfc"/>
    <s v="Ahmedabad"/>
    <s v="Bakery"/>
    <n v="60"/>
    <n v="2.4"/>
    <s v="66mins"/>
    <n v="1936"/>
    <n v="0.6"/>
    <s v="Upi"/>
    <s v="Cancelled"/>
    <n v="10"/>
    <x v="3"/>
    <n v="46"/>
  </r>
  <r>
    <x v="172"/>
    <d v="2026-05-24T00:00:00"/>
    <s v="01-05-2024"/>
    <d v="1899-12-30T00:00:00"/>
    <s v="Paradise Biryani"/>
    <s v="Unknown"/>
    <s v="Bakery"/>
    <n v="36"/>
    <n v="2.2000000000000002"/>
    <s v="73mins"/>
    <n v="257"/>
    <n v="0.5"/>
    <s v="Cash On Delivery"/>
    <s v="Delivered"/>
    <n v="4"/>
    <x v="2"/>
    <n v="190"/>
  </r>
  <r>
    <x v="173"/>
    <d v="2026-09-13T00:00:00"/>
    <s v="20-03-2024"/>
    <d v="1899-12-30T00:00:00"/>
    <s v="Behrouz Biryani"/>
    <s v="Bangalore"/>
    <s v="Chinese"/>
    <n v="54"/>
    <n v="2.5"/>
    <s v="56 mins"/>
    <n v="2217"/>
    <n v="150"/>
    <s v="Debit Card"/>
    <s v="Delivered"/>
    <n v="8"/>
    <x v="4"/>
    <n v="108"/>
  </r>
  <r>
    <x v="174"/>
    <d v="2026-11-14T00:00:00"/>
    <s v="03-27-2024"/>
    <d v="1899-12-30T06:33:00"/>
    <s v="Haldiram'S"/>
    <s v="Bangalore"/>
    <s v="Street Food"/>
    <n v="31"/>
    <n v="2.6"/>
    <s v="44mins"/>
    <n v="629"/>
    <n v="0.5"/>
    <s v="Wallet"/>
    <s v="Delivered"/>
    <n v="1"/>
    <x v="0"/>
    <n v="173"/>
  </r>
  <r>
    <x v="175"/>
    <d v="2026-09-29T00:00:00"/>
    <s v="25-05-2024"/>
    <d v="1899-12-30T00:00:00"/>
    <s v="Haldiram'S"/>
    <s v="Bangalore"/>
    <s v="Desserts"/>
    <n v="18"/>
    <n v="2.8"/>
    <s v="44mins"/>
    <n v="1318"/>
    <n v="0"/>
    <s v="Upi"/>
    <s v="Delivered"/>
    <n v="6"/>
    <x v="4"/>
    <m/>
  </r>
  <r>
    <x v="176"/>
    <d v="2026-03-09T00:00:00"/>
    <s v="23-04-2024"/>
    <d v="1899-12-30T00:00:00"/>
    <s v="Kfc"/>
    <s v="Kolkata"/>
    <s v="Desserts"/>
    <n v="33"/>
    <n v="3.8"/>
    <s v="70 mins"/>
    <n v="1028"/>
    <n v="0"/>
    <s v="Upi"/>
    <s v="Cancelled"/>
    <n v="9"/>
    <x v="2"/>
    <n v="159"/>
  </r>
  <r>
    <x v="177"/>
    <d v="2026-10-06T00:00:00"/>
    <s v="15-02-2024"/>
    <d v="1899-12-30T00:00:00"/>
    <s v="Burger King"/>
    <s v="Ahmedabad"/>
    <s v="Fast Food"/>
    <n v="27"/>
    <n v="4.2"/>
    <s v="15 mins"/>
    <n v="1028"/>
    <n v="75"/>
    <s v="Net Banking"/>
    <s v="Delivered"/>
    <n v="10"/>
    <x v="4"/>
    <n v="75"/>
  </r>
  <r>
    <x v="178"/>
    <d v="2026-07-13T00:00:00"/>
    <s v="05-07-2024"/>
    <d v="1899-12-30T00:00:00"/>
    <s v="Subway"/>
    <s v="Lucknow"/>
    <s v="South Indian"/>
    <n v="34"/>
    <n v="4"/>
    <s v="77mins"/>
    <n v="1631"/>
    <n v="0"/>
    <s v="Cash On Delivery"/>
    <s v="Delivered"/>
    <n v="1"/>
    <x v="1"/>
    <n v="120"/>
  </r>
  <r>
    <x v="179"/>
    <d v="2026-02-19T00:00:00"/>
    <s v="06-16-2024"/>
    <d v="1899-12-30T09:50:00"/>
    <s v="Barbeque Nation"/>
    <s v="Jaipur"/>
    <s v="Fast Food"/>
    <n v="44"/>
    <n v="4.7"/>
    <s v="55 mins"/>
    <n v="515"/>
    <n v="0.2"/>
    <s v="Upi"/>
    <s v="Unknown"/>
    <n v="1"/>
    <x v="1"/>
    <n v="48"/>
  </r>
  <r>
    <x v="3"/>
    <d v="2026-04-18T00:00:00"/>
    <s v="03-06-2024"/>
    <d v="1899-12-30T00:00:00"/>
    <s v="Burger King"/>
    <s v="Chennai"/>
    <s v="Chinese"/>
    <n v="40"/>
    <n v="4.2"/>
    <s v="15 mins"/>
    <n v="2192"/>
    <n v="50"/>
    <s v="Upi"/>
    <s v="Cancelled"/>
    <n v="8"/>
    <x v="3"/>
    <n v="245"/>
  </r>
  <r>
    <x v="180"/>
    <d v="2026-05-24T00:00:00"/>
    <s v="01-12-2024"/>
    <d v="1899-12-30T11:06:00"/>
    <s v="Dominos Pizza"/>
    <s v="Pune"/>
    <s v="South Indian"/>
    <n v="51"/>
    <n v="4.0999999999999996"/>
    <s v="19mins"/>
    <n v="424"/>
    <n v="0.6"/>
    <s v="Cash On Delivery"/>
    <s v="Delivered"/>
    <n v="2"/>
    <x v="0"/>
    <n v="27"/>
  </r>
  <r>
    <x v="181"/>
    <d v="2026-09-21T00:00:00"/>
    <s v="02-26-2024"/>
    <d v="1899-12-30T08:47:00"/>
    <s v="Faasos"/>
    <s v="Mumbai"/>
    <s v="Bakery"/>
    <n v="63"/>
    <n v="3.9"/>
    <s v="70mins"/>
    <n v="2044"/>
    <n v="0.1"/>
    <s v="Upi"/>
    <s v="Delivered"/>
    <n v="7"/>
    <x v="3"/>
    <n v="115"/>
  </r>
  <r>
    <x v="182"/>
    <d v="2026-12-18T00:00:00"/>
    <s v="07-16-2024"/>
    <d v="1899-12-30T12:27:00"/>
    <s v="Barbeque Nation"/>
    <s v="Jaipur"/>
    <s v="Biryani"/>
    <n v="27"/>
    <n v="4.4000000000000004"/>
    <s v="19mins"/>
    <n v="1545"/>
    <n v="0"/>
    <s v="Debit Card"/>
    <s v="Cancelled"/>
    <n v="6"/>
    <x v="2"/>
    <n v="162"/>
  </r>
  <r>
    <x v="183"/>
    <d v="2026-04-02T00:00:00"/>
    <s v="17-07-2024"/>
    <d v="1899-12-30T00:00:00"/>
    <s v="Behrouz Biryani"/>
    <s v="Delhi"/>
    <s v="Desserts"/>
    <n v="62"/>
    <n v="3.8"/>
    <s v="27mins"/>
    <n v="432"/>
    <n v="0"/>
    <s v="Wallet"/>
    <s v="Delivered"/>
    <n v="4"/>
    <x v="1"/>
    <n v="40"/>
  </r>
  <r>
    <x v="184"/>
    <d v="2026-04-20T00:00:00"/>
    <s v="07-02-2024"/>
    <d v="1899-12-30T00:00:00"/>
    <s v="Subway"/>
    <s v="Ahmedabad"/>
    <s v="Street Food"/>
    <n v="43"/>
    <n v="1.5"/>
    <s v="53mins"/>
    <n v="1757"/>
    <n v="100"/>
    <s v="Wallet"/>
    <s v="Delivered"/>
    <n v="8"/>
    <x v="6"/>
    <n v="42"/>
  </r>
  <r>
    <x v="185"/>
    <d v="2026-11-18T00:00:00"/>
    <s v="27-02-2024"/>
    <d v="1899-12-30T00:00:00"/>
    <s v="Chai Point"/>
    <s v="Pune"/>
    <s v="Bakery"/>
    <n v="52"/>
    <n v="4.3"/>
    <s v="15 mins"/>
    <n v="1443"/>
    <n v="100"/>
    <s v="Upi"/>
    <s v="Delivered"/>
    <n v="2"/>
    <x v="2"/>
    <n v="78"/>
  </r>
  <r>
    <x v="186"/>
    <d v="2026-11-18T00:00:00"/>
    <s v="22-02-2024"/>
    <d v="1899-12-30T00:00:00"/>
    <s v="Wow! Momo"/>
    <s v="Kolkata"/>
    <s v="North Indian, Street Food"/>
    <n v="36"/>
    <n v="2.8"/>
    <s v="55mins"/>
    <n v="1364"/>
    <n v="0.6"/>
    <s v="Net Banking"/>
    <s v="Cancelled"/>
    <n v="4"/>
    <x v="2"/>
    <n v="38"/>
  </r>
  <r>
    <x v="187"/>
    <d v="2026-12-16T00:00:00"/>
    <s v="29-04-2024"/>
    <d v="1899-12-30T00:00:00"/>
    <s v="Subway"/>
    <s v="Mumbai"/>
    <s v="South Indian, Chinese"/>
    <n v="28"/>
    <n v="1.3"/>
    <s v="78mins"/>
    <n v="500"/>
    <n v="150"/>
    <s v="Net Banking"/>
    <s v="Delivered"/>
    <n v="1"/>
    <x v="1"/>
    <n v="34"/>
  </r>
  <r>
    <x v="188"/>
    <d v="2026-10-06T00:00:00"/>
    <s v="05-15-2024"/>
    <d v="1899-12-30T23:20:00"/>
    <s v="Chai Point"/>
    <s v="Hyderabad"/>
    <s v="Desserts"/>
    <n v="25"/>
    <n v="3.7"/>
    <s v="30mins"/>
    <n v="810"/>
    <n v="0.1"/>
    <s v="Wallet"/>
    <s v="Failed"/>
    <n v="8"/>
    <x v="0"/>
    <n v="28"/>
  </r>
  <r>
    <x v="3"/>
    <d v="2026-05-22T00:00:00"/>
    <s v="03-07-2024"/>
    <d v="1899-12-30T00:00:00"/>
    <s v="Bikanervala"/>
    <s v="Bangalore"/>
    <s v="Biryani"/>
    <n v="29"/>
    <n v="2.1"/>
    <s v="71mins"/>
    <n v="505"/>
    <n v="75"/>
    <s v="Wallet"/>
    <s v="Delivered"/>
    <n v="0"/>
    <x v="1"/>
    <n v="140"/>
  </r>
  <r>
    <x v="189"/>
    <d v="2026-01-03T00:00:00"/>
    <s v="23-06-2024"/>
    <d v="1899-12-30T00:00:00"/>
    <s v="Subway"/>
    <s v="Mumbai"/>
    <s v="Desserts"/>
    <n v="39"/>
    <n v="3.4"/>
    <s v="15 mins"/>
    <n v="1263"/>
    <n v="0"/>
    <s v="Cash On Delivery"/>
    <s v="Cancelled"/>
    <n v="4"/>
    <x v="1"/>
    <n v="153"/>
  </r>
  <r>
    <x v="190"/>
    <d v="2026-05-01T00:00:00"/>
    <s v="16-02-2024"/>
    <d v="1899-12-30T00:00:00"/>
    <s v="Chai Point"/>
    <s v="Kolkata"/>
    <s v="Bakery"/>
    <n v="62"/>
    <n v="1.9"/>
    <s v="76mins"/>
    <n v="266"/>
    <n v="0"/>
    <s v="Upi"/>
    <s v="Delivered"/>
    <n v="1"/>
    <x v="0"/>
    <n v="14"/>
  </r>
  <r>
    <x v="191"/>
    <d v="2026-09-08T00:00:00"/>
    <s v="05-03-2024"/>
    <d v="1899-12-30T00:00:00"/>
    <s v="Burger King"/>
    <s v="Bangalore"/>
    <s v="Bakery"/>
    <n v="42"/>
    <n v="1.4"/>
    <s v="30mins"/>
    <n v="218"/>
    <n v="50"/>
    <s v="Credit Card"/>
    <s v="Delivered"/>
    <n v="4"/>
    <x v="3"/>
    <n v="17"/>
  </r>
  <r>
    <x v="192"/>
    <d v="2026-03-28T00:00:00"/>
    <s v="23-05-2024"/>
    <d v="1899-12-30T00:00:00"/>
    <s v="Paradise Biryani"/>
    <s v="Jaipur"/>
    <s v="Bakery"/>
    <n v="21"/>
    <n v="3.8"/>
    <s v="65mins"/>
    <n v="1298"/>
    <n v="0"/>
    <s v="Credit Card"/>
    <s v="Delivered"/>
    <n v="3"/>
    <x v="3"/>
    <n v="210"/>
  </r>
  <r>
    <x v="193"/>
    <d v="2026-02-21T00:00:00"/>
    <s v="14-05-2024"/>
    <d v="1899-12-30T00:00:00"/>
    <s v="Dominos Pizza"/>
    <s v="Jaipur"/>
    <s v="Fast Food"/>
    <n v="21"/>
    <n v="2"/>
    <s v="29mins"/>
    <n v="123"/>
    <n v="75"/>
    <s v="Debit Card"/>
    <s v="Cancelled"/>
    <n v="1"/>
    <x v="1"/>
    <n v="8"/>
  </r>
  <r>
    <x v="194"/>
    <d v="2026-09-21T00:00:00"/>
    <s v="17-05-2024"/>
    <d v="1899-12-30T00:00:00"/>
    <s v="Chai Point"/>
    <s v="Lucknow"/>
    <s v="Biryani"/>
    <n v="46"/>
    <n v="3.9"/>
    <s v="76mins"/>
    <n v="343"/>
    <n v="0.15"/>
    <s v="Credit Card"/>
    <s v="Unknown"/>
    <n v="3"/>
    <x v="4"/>
    <n v="33"/>
  </r>
  <r>
    <x v="195"/>
    <d v="2026-03-22T00:00:00"/>
    <s v="04-13-2024"/>
    <d v="1899-12-30T03:25:00"/>
    <s v="Barbeque Nation"/>
    <s v="Delhi"/>
    <s v="North Indian"/>
    <n v="56"/>
    <n v="2.5"/>
    <s v="28mins"/>
    <n v="1411"/>
    <n v="0"/>
    <s v="Credit Card"/>
    <s v="Cancelled"/>
    <n v="9"/>
    <x v="1"/>
    <m/>
  </r>
  <r>
    <x v="196"/>
    <d v="2026-07-08T00:00:00"/>
    <s v="07-01-2024"/>
    <d v="1899-12-30T02:36:00"/>
    <s v="Barbeque Nation"/>
    <s v="Ahmedabad"/>
    <s v="Biryani"/>
    <n v="40"/>
    <n v="2.7"/>
    <s v="67mins"/>
    <n v="1552"/>
    <n v="0.15"/>
    <s v="Cash On Delivery"/>
    <s v="Delivered"/>
    <n v="7"/>
    <x v="3"/>
    <n v="167"/>
  </r>
  <r>
    <x v="129"/>
    <d v="2026-10-10T00:00:00"/>
    <s v="02-04-2024"/>
    <d v="1899-12-30T00:00:00"/>
    <s v="Barbeque Nation"/>
    <s v="Bangalore"/>
    <s v="Italian"/>
    <n v="62"/>
    <n v="2.5"/>
    <s v="15 mins"/>
    <n v="2416"/>
    <n v="150"/>
    <s v="Net Banking"/>
    <s v="Delivered"/>
    <n v="1"/>
    <x v="3"/>
    <n v="173"/>
  </r>
  <r>
    <x v="197"/>
    <d v="2026-06-10T00:00:00"/>
    <s v="17-03-2024"/>
    <d v="1899-12-30T00:00:00"/>
    <s v="Kfc"/>
    <s v="Bombay"/>
    <s v="Fast Food, Italian"/>
    <n v="47"/>
    <n v="4.3"/>
    <s v="79mins"/>
    <n v="848"/>
    <n v="75"/>
    <s v="Upi"/>
    <s v="Cancelled"/>
    <n v="9"/>
    <x v="3"/>
    <n v="75"/>
  </r>
  <r>
    <x v="198"/>
    <d v="2026-09-27T00:00:00"/>
    <s v="12-02-2024"/>
    <d v="1899-12-30T00:00:00"/>
    <s v="Faasos"/>
    <s v="Unknown"/>
    <s v="Biryani"/>
    <n v="18"/>
    <n v="1.8"/>
    <s v="74 mins"/>
    <n v="197"/>
    <n v="120"/>
    <s v="Upi"/>
    <s v="Refunded"/>
    <n v="5"/>
    <x v="4"/>
    <n v="49"/>
  </r>
  <r>
    <x v="199"/>
    <d v="2026-07-05T00:00:00"/>
    <s v="25-03-2024"/>
    <d v="1899-12-30T00:00:00"/>
    <s v="Wow! Momo"/>
    <s v="Pune"/>
    <s v="Fast Food"/>
    <n v="63"/>
    <n v="1.9"/>
    <s v="33mins"/>
    <n v="1950"/>
    <n v="120"/>
    <s v="Wallet"/>
    <s v="Delivered"/>
    <n v="7"/>
    <x v="0"/>
    <n v="48"/>
  </r>
  <r>
    <x v="200"/>
    <d v="2026-11-14T00:00:00"/>
    <s v="02-09-2024"/>
    <d v="1899-12-30T19:21:00"/>
    <s v="Paradise Biryani"/>
    <s v="Kolkata"/>
    <s v="South Indian"/>
    <n v="22"/>
    <n v="2.5"/>
    <s v="26 mins"/>
    <n v="1811"/>
    <n v="75"/>
    <s v="Cash On Delivery"/>
    <s v="Delivered"/>
    <n v="7"/>
    <x v="3"/>
    <n v="41"/>
  </r>
  <r>
    <x v="201"/>
    <d v="2026-07-27T00:00:00"/>
    <s v="23-06-2024"/>
    <d v="1899-12-30T00:00:00"/>
    <s v="Burger King"/>
    <s v="Delhi"/>
    <s v="North Indian"/>
    <n v="22"/>
    <n v="4.5"/>
    <s v="59mins"/>
    <n v="1229"/>
    <n v="100"/>
    <s v="Upi"/>
    <s v="Delivered"/>
    <n v="6"/>
    <x v="5"/>
    <n v="152"/>
  </r>
  <r>
    <x v="202"/>
    <d v="2026-12-26T00:00:00"/>
    <s v="04-30-2024"/>
    <d v="1899-12-30T04:58:00"/>
    <s v="Kfc"/>
    <s v="Chennai"/>
    <s v="Chinese"/>
    <n v="58"/>
    <n v="1.6"/>
    <s v="25mins"/>
    <n v="830"/>
    <n v="120"/>
    <s v="Credit Card"/>
    <s v="Delivered"/>
    <n v="5"/>
    <x v="2"/>
    <n v="79"/>
  </r>
  <r>
    <x v="203"/>
    <d v="2026-01-22T00:00:00"/>
    <s v="21-04-2024"/>
    <d v="1899-12-30T00:00:00"/>
    <s v="Chai Point"/>
    <s v="Lucknow"/>
    <s v="Fast Food"/>
    <n v="65"/>
    <n v="1.1000000000000001"/>
    <s v="33mins"/>
    <n v="1309"/>
    <n v="150"/>
    <s v="Cash On Delivery"/>
    <s v="Cancelled"/>
    <n v="1"/>
    <x v="2"/>
    <n v="150"/>
  </r>
  <r>
    <x v="204"/>
    <d v="2026-05-16T00:00:00"/>
    <s v="23-02-2024"/>
    <d v="1899-12-30T00:00:00"/>
    <s v="Chai Point"/>
    <s v="Kolkata"/>
    <s v="Mughlai"/>
    <n v="39"/>
    <n v="1.7"/>
    <s v="37mins"/>
    <n v="1436"/>
    <n v="75"/>
    <s v="Wallet"/>
    <s v="Delivered"/>
    <n v="2"/>
    <x v="0"/>
    <n v="228"/>
  </r>
  <r>
    <x v="205"/>
    <d v="2026-07-31T00:00:00"/>
    <s v="05-19-2024"/>
    <d v="1899-12-30T03:24:00"/>
    <s v="Wow! Momo"/>
    <s v="Pune"/>
    <s v="South Indian"/>
    <n v="47"/>
    <n v="4.3"/>
    <s v="65mins"/>
    <n v="138"/>
    <n v="0.2"/>
    <s v="Debit Card"/>
    <s v="Failed"/>
    <n v="0"/>
    <x v="0"/>
    <n v="190"/>
  </r>
  <r>
    <x v="206"/>
    <d v="2026-04-22T00:00:00"/>
    <s v="26-05-2024"/>
    <d v="1899-12-30T00:00:00"/>
    <s v="Subway"/>
    <s v="Lucknow"/>
    <s v="Fast Food"/>
    <n v="63"/>
    <n v="3"/>
    <s v="65mins"/>
    <n v="2126"/>
    <n v="0.6"/>
    <s v="Credit Card"/>
    <s v="Unknown"/>
    <n v="3"/>
    <x v="0"/>
    <n v="241"/>
  </r>
  <r>
    <x v="3"/>
    <d v="2026-12-01T00:00:00"/>
    <s v="06-07-2024"/>
    <d v="1899-12-30T00:00:00"/>
    <s v="Faasos"/>
    <s v="Kolkata"/>
    <s v="Italian"/>
    <n v="58"/>
    <n v="2.5"/>
    <s v="28mins"/>
    <n v="384"/>
    <n v="0.15"/>
    <s v="Debit Card"/>
    <s v="Refunded"/>
    <n v="1"/>
    <x v="4"/>
    <n v="55"/>
  </r>
  <r>
    <x v="207"/>
    <d v="2026-09-23T00:00:00"/>
    <s v="25-04-2024"/>
    <d v="1899-12-30T00:00:00"/>
    <s v="Bikanervala"/>
    <s v="Mumbai"/>
    <s v="Bakery, Street Food"/>
    <n v="25"/>
    <n v="1.1000000000000001"/>
    <s v="15 mins"/>
    <n v="1338"/>
    <n v="0"/>
    <s v="Unknown"/>
    <s v="Cancelled"/>
    <n v="5"/>
    <x v="5"/>
    <n v="35"/>
  </r>
  <r>
    <x v="208"/>
    <d v="2026-08-05T00:00:00"/>
    <s v="06-05-2024"/>
    <d v="1899-12-30T00:00:00"/>
    <s v="Subway"/>
    <s v="Kolkata"/>
    <s v="Bakery"/>
    <n v="46"/>
    <n v="4"/>
    <s v="28mins"/>
    <n v="1565"/>
    <n v="75"/>
    <s v="Wallet"/>
    <s v="Delivered"/>
    <n v="9"/>
    <x v="5"/>
    <n v="187"/>
  </r>
  <r>
    <x v="209"/>
    <d v="2026-11-20T00:00:00"/>
    <s v="25-02-2024"/>
    <d v="1899-12-30T00:00:00"/>
    <s v="B@Rbeque N@Ti0N"/>
    <s v="Chennai"/>
    <s v="Chinese"/>
    <n v="24"/>
    <n v="3.9"/>
    <s v="24mins"/>
    <n v="1486"/>
    <n v="100"/>
    <s v="Debit Card"/>
    <s v="Delivered"/>
    <n v="2"/>
    <x v="4"/>
    <n v="46"/>
  </r>
  <r>
    <x v="210"/>
    <d v="2026-11-24T00:00:00"/>
    <s v="27-05-2024"/>
    <d v="1899-12-30T00:00:00"/>
    <s v="Burger King"/>
    <s v="Jaipur"/>
    <s v="North Indian, Italian"/>
    <n v="35"/>
    <n v="2.4"/>
    <s v="64 mins"/>
    <n v="865"/>
    <n v="0.5"/>
    <s v="Cash On Delivery"/>
    <s v="Refunded"/>
    <n v="1"/>
    <x v="2"/>
    <n v="147"/>
  </r>
  <r>
    <x v="211"/>
    <d v="2026-07-06T00:00:00"/>
    <s v="04-04-2024"/>
    <d v="1899-12-30T00:00:00"/>
    <s v="Behrouz Biryani"/>
    <s v="Kolkata"/>
    <s v="Italian"/>
    <n v="26"/>
    <n v="1.6"/>
    <s v="67mins"/>
    <n v="1636"/>
    <n v="50"/>
    <s v="Net Banking"/>
    <s v="Delivered"/>
    <n v="2"/>
    <x v="5"/>
    <n v="138"/>
  </r>
  <r>
    <x v="212"/>
    <d v="2026-08-18T00:00:00"/>
    <s v="06-05-2024"/>
    <d v="1899-12-30T00:00:00"/>
    <s v="Faasos"/>
    <s v="Hyderabad"/>
    <s v="Desserts"/>
    <n v="50"/>
    <n v="1.5"/>
    <s v="64mins"/>
    <n v="2441"/>
    <n v="100"/>
    <s v="Credit Card"/>
    <s v="Delivered"/>
    <n v="2"/>
    <x v="6"/>
    <n v="72"/>
  </r>
  <r>
    <x v="213"/>
    <d v="2026-10-16T00:00:00"/>
    <s v="02-22-2024"/>
    <d v="1899-12-30T05:50:00"/>
    <s v="Kfc"/>
    <s v="Bangalore"/>
    <s v="Biryani"/>
    <n v="28"/>
    <n v="4.5999999999999996"/>
    <s v="15 mins"/>
    <n v="1705"/>
    <n v="0"/>
    <s v="Debit Card"/>
    <s v="Delivered"/>
    <n v="8"/>
    <x v="2"/>
    <n v="74"/>
  </r>
  <r>
    <x v="214"/>
    <d v="2026-02-22T00:00:00"/>
    <s v="05-08-2024"/>
    <d v="1899-12-30T05:42:00"/>
    <s v="Haldiram'S"/>
    <s v="Chennai"/>
    <s v="Desserts"/>
    <n v="51"/>
    <n v="4.4000000000000004"/>
    <s v="76mins"/>
    <n v="388"/>
    <n v="0"/>
    <s v="Credit Card"/>
    <s v="Failed"/>
    <n v="2"/>
    <x v="2"/>
    <n v="44"/>
  </r>
  <r>
    <x v="215"/>
    <d v="2026-10-30T00:00:00"/>
    <s v="25-04-2024"/>
    <d v="1899-12-30T00:00:00"/>
    <s v="Faasos"/>
    <s v="Kolkata"/>
    <s v="Street Food"/>
    <n v="54"/>
    <n v="4.2"/>
    <s v="16mins"/>
    <n v="1307"/>
    <n v="50"/>
    <s v="Net Banking"/>
    <s v="Refunded"/>
    <n v="8"/>
    <x v="0"/>
    <n v="39"/>
  </r>
  <r>
    <x v="216"/>
    <d v="2026-09-21T00:00:00"/>
    <s v="19-05-2024"/>
    <d v="1899-12-30T00:00:00"/>
    <s v="Subway"/>
    <s v="Chennai"/>
    <s v="Italian"/>
    <n v="23"/>
    <n v="3.5"/>
    <s v="46mins"/>
    <n v="1501"/>
    <n v="120"/>
    <s v="Debit Card"/>
    <s v="Delivered"/>
    <n v="1"/>
    <x v="0"/>
    <n v="134"/>
  </r>
  <r>
    <x v="217"/>
    <d v="2026-12-27T00:00:00"/>
    <s v="03-05-2024"/>
    <d v="1899-12-30T00:00:00"/>
    <s v="Haldiram'S"/>
    <s v="Hyderabad"/>
    <s v="Fast Food"/>
    <n v="37"/>
    <n v="4.7"/>
    <s v="40mins"/>
    <n v="500"/>
    <n v="0"/>
    <s v="Net Banking"/>
    <s v="Delivered"/>
    <n v="7"/>
    <x v="4"/>
    <n v="198"/>
  </r>
  <r>
    <x v="218"/>
    <d v="2026-12-14T00:00:00"/>
    <s v="17-06-2024"/>
    <d v="1899-12-30T00:00:00"/>
    <s v="Barbeque Nation"/>
    <s v="Bangalore"/>
    <s v="Mughlai"/>
    <n v="60"/>
    <n v="2.5"/>
    <s v="74mins"/>
    <n v="1112"/>
    <n v="0"/>
    <s v="Cash On Delivery"/>
    <s v="Delivered"/>
    <n v="1"/>
    <x v="5"/>
    <n v="159"/>
  </r>
  <r>
    <x v="219"/>
    <d v="2026-09-25T00:00:00"/>
    <s v="08-05-2024"/>
    <d v="1899-12-30T00:00:00"/>
    <s v="Behrouz Biryani"/>
    <s v="Lucknow"/>
    <s v="Biryani"/>
    <n v="59"/>
    <n v="4.9000000000000004"/>
    <s v="38mins"/>
    <n v="1491"/>
    <n v="120"/>
    <s v="Debit Card"/>
    <s v="Refunded"/>
    <n v="1"/>
    <x v="1"/>
    <n v="45"/>
  </r>
  <r>
    <x v="220"/>
    <d v="2026-09-08T00:00:00"/>
    <s v="01-02-2024"/>
    <d v="1899-12-30T12:16:00"/>
    <s v="Chai Point"/>
    <s v="Jaipur"/>
    <s v="Mughlai"/>
    <n v="22"/>
    <n v="3.5"/>
    <s v="25mins"/>
    <n v="423"/>
    <n v="0.5"/>
    <s v="Cash Card"/>
    <s v="Refunded"/>
    <n v="2"/>
    <x v="2"/>
    <n v="110"/>
  </r>
  <r>
    <x v="221"/>
    <d v="2026-07-02T00:00:00"/>
    <s v="30-03-2024"/>
    <d v="1899-12-30T00:00:00"/>
    <s v="Unknown"/>
    <s v="Unknown"/>
    <s v="Chinese"/>
    <n v="53"/>
    <n v="2.5"/>
    <s v="31mins"/>
    <n v="1143"/>
    <n v="0.5"/>
    <s v="Upi"/>
    <s v="Cancelled"/>
    <n v="2"/>
    <x v="6"/>
    <n v="56"/>
  </r>
  <r>
    <x v="222"/>
    <d v="2026-02-15T00:00:00"/>
    <s v="12-01-2024"/>
    <d v="1899-12-30T00:00:00"/>
    <s v="Dominos Pizza"/>
    <s v="Bangalore"/>
    <s v="Chinese"/>
    <n v="60"/>
    <n v="2"/>
    <s v="78mins"/>
    <n v="1799"/>
    <n v="50"/>
    <s v="Cash On Delivery"/>
    <s v="Refunded"/>
    <n v="6"/>
    <x v="1"/>
    <n v="34"/>
  </r>
  <r>
    <x v="223"/>
    <d v="2026-12-09T00:00:00"/>
    <s v="27-03-2024"/>
    <d v="1899-12-30T00:00:00"/>
    <s v="Chai Point"/>
    <s v="Lucknow"/>
    <s v="North Indian"/>
    <n v="36"/>
    <n v="4.8"/>
    <s v="48mins"/>
    <n v="507"/>
    <n v="50"/>
    <s v="Credit Card"/>
    <s v="Refunded"/>
    <n v="6"/>
    <x v="3"/>
    <n v="39"/>
  </r>
  <r>
    <x v="224"/>
    <d v="2026-03-31T00:00:00"/>
    <s v="04-06-2024"/>
    <d v="1899-12-30T00:00:00"/>
    <s v="Chai Point"/>
    <s v="Delhi"/>
    <s v="Mughlai"/>
    <n v="23"/>
    <n v="3.4"/>
    <s v="23mins"/>
    <n v="1168"/>
    <n v="75"/>
    <s v="Cash On Delivery"/>
    <s v="Delivered"/>
    <n v="3"/>
    <x v="1"/>
    <n v="25"/>
  </r>
  <r>
    <x v="225"/>
    <d v="2026-10-12T00:00:00"/>
    <m/>
    <d v="1899-12-30T00:00:00"/>
    <s v="Kfc"/>
    <s v="Mumbai"/>
    <s v="Chinese"/>
    <n v="22"/>
    <n v="4.5"/>
    <s v="35 mins"/>
    <n v="1565"/>
    <n v="150"/>
    <s v="Debit Card"/>
    <s v="Cancelled"/>
    <n v="10"/>
    <x v="0"/>
    <n v="23"/>
  </r>
  <r>
    <x v="226"/>
    <d v="2026-03-22T00:00:00"/>
    <s v="01-07-2024"/>
    <d v="1899-12-30T00:00:00"/>
    <s v="Subway"/>
    <s v="Pune"/>
    <s v="Chinese"/>
    <n v="52"/>
    <n v="4.4000000000000004"/>
    <s v="21mins"/>
    <n v="1565"/>
    <n v="75"/>
    <s v="Debit Card"/>
    <s v="Refunded"/>
    <n v="8"/>
    <x v="5"/>
    <n v="0"/>
  </r>
  <r>
    <x v="227"/>
    <d v="2026-03-26T00:00:00"/>
    <s v="31-03-2024"/>
    <d v="1899-12-30T00:00:00"/>
    <s v="Kfc"/>
    <s v="Lucknow"/>
    <s v="Chinese"/>
    <n v="34"/>
    <n v="2.4"/>
    <s v="41 mins"/>
    <n v="1122"/>
    <n v="150"/>
    <s v="Cash Card"/>
    <s v="Delivered"/>
    <n v="8"/>
    <x v="1"/>
    <m/>
  </r>
  <r>
    <x v="228"/>
    <d v="2026-03-24T00:00:00"/>
    <s v="11-05-2024"/>
    <d v="1899-12-30T00:00:00"/>
    <s v="Subway"/>
    <s v="Mumbai"/>
    <s v="Bakery"/>
    <n v="40"/>
    <n v="4.5999999999999996"/>
    <s v="70mins"/>
    <n v="809"/>
    <n v="0.15"/>
    <s v="Wallet"/>
    <s v="Pending"/>
    <n v="8"/>
    <x v="4"/>
    <n v="158"/>
  </r>
  <r>
    <x v="229"/>
    <d v="2026-03-10T00:00:00"/>
    <s v="05-18-2024"/>
    <d v="1899-12-30T18:21:00"/>
    <s v="Bikanervala"/>
    <s v="Lucknow"/>
    <s v="Mughlai"/>
    <n v="46"/>
    <n v="3"/>
    <s v="23 mins"/>
    <n v="2484"/>
    <n v="0.2"/>
    <s v="Upi"/>
    <s v="Cancelled"/>
    <n v="9"/>
    <x v="1"/>
    <n v="24"/>
  </r>
  <r>
    <x v="230"/>
    <d v="2026-06-11T00:00:00"/>
    <s v="13-05-2024"/>
    <d v="1899-12-30T00:00:00"/>
    <s v="Wow! Momo"/>
    <s v="Delhi"/>
    <s v="Chinese"/>
    <n v="64"/>
    <n v="1.5"/>
    <s v="26mins"/>
    <n v="2383"/>
    <n v="0"/>
    <s v="Cash On Delivery"/>
    <s v="Cancelled"/>
    <n v="10"/>
    <x v="2"/>
    <n v="137"/>
  </r>
  <r>
    <x v="231"/>
    <d v="2026-06-08T00:00:00"/>
    <s v="15-03-2024"/>
    <d v="1899-12-30T00:00:00"/>
    <s v="Faasos"/>
    <s v="Mumbai"/>
    <s v="Italian"/>
    <n v="47"/>
    <n v="3.6"/>
    <s v="65mins"/>
    <n v="1797"/>
    <n v="100"/>
    <s v="Net Banking"/>
    <s v="Delivered"/>
    <n v="9"/>
    <x v="5"/>
    <n v="49"/>
  </r>
  <r>
    <x v="232"/>
    <d v="2026-06-21T00:00:00"/>
    <s v="03-09-2024"/>
    <d v="1899-12-30T16:34:00"/>
    <s v="Kfc"/>
    <s v="Hyderabad"/>
    <s v="South Indian"/>
    <n v="19"/>
    <n v="1.1000000000000001"/>
    <s v="57mins"/>
    <n v="2291"/>
    <n v="150"/>
    <s v="Upi"/>
    <s v="Cancelled"/>
    <n v="5"/>
    <x v="2"/>
    <n v="9"/>
  </r>
  <r>
    <x v="129"/>
    <d v="2026-04-30T00:00:00"/>
    <s v="12-07-2024"/>
    <d v="1899-12-30T00:00:00"/>
    <s v="Subway"/>
    <s v="Delhi"/>
    <s v="Biryani"/>
    <n v="65"/>
    <n v="4.4000000000000004"/>
    <s v="47 mins"/>
    <n v="1839"/>
    <n v="0"/>
    <s v="Wallet"/>
    <s v="Delivered"/>
    <n v="5"/>
    <x v="5"/>
    <n v="20"/>
  </r>
  <r>
    <x v="233"/>
    <d v="2026-02-11T00:00:00"/>
    <s v="03-07-2024"/>
    <d v="1899-12-30T00:00:00"/>
    <s v="Kfc"/>
    <s v="Jaipur"/>
    <s v="Desserts"/>
    <n v="65"/>
    <n v="4.4000000000000004"/>
    <s v="48 mins"/>
    <n v="1822"/>
    <n v="0.15"/>
    <s v="Cash Card"/>
    <s v="Cancelled"/>
    <n v="2"/>
    <x v="0"/>
    <n v="58"/>
  </r>
  <r>
    <x v="234"/>
    <d v="2026-05-07T00:00:00"/>
    <s v="04-01-2024"/>
    <d v="1899-12-30T00:00:00"/>
    <s v="Subway"/>
    <s v="Kolkata"/>
    <s v="Bakery"/>
    <n v="24"/>
    <n v="3.1"/>
    <s v="64mins"/>
    <n v="906"/>
    <n v="75"/>
    <s v="Wallet"/>
    <s v="Unknown"/>
    <n v="4"/>
    <x v="0"/>
    <n v="33"/>
  </r>
  <r>
    <x v="3"/>
    <d v="2026-08-25T00:00:00"/>
    <s v="20-01-2024"/>
    <d v="1899-12-30T00:00:00"/>
    <s v="Paradise Biryani"/>
    <s v="Hyderabad"/>
    <s v="Mughlai"/>
    <n v="56"/>
    <n v="4.8"/>
    <s v="50mins"/>
    <n v="1813"/>
    <n v="100"/>
    <s v="Wallet"/>
    <s v="Delivered"/>
    <n v="8"/>
    <x v="1"/>
    <n v="124"/>
  </r>
  <r>
    <x v="235"/>
    <d v="2026-01-23T00:00:00"/>
    <s v="03-02-2024"/>
    <d v="1899-12-30T00:00:00"/>
    <s v="Haldiram'S"/>
    <s v="Jaipur"/>
    <s v="North Indian"/>
    <n v="28"/>
    <n v="3.3"/>
    <s v="16mins"/>
    <n v="2358"/>
    <n v="150"/>
    <s v="Upi"/>
    <s v="Refunded"/>
    <n v="4"/>
    <x v="1"/>
    <n v="166"/>
  </r>
  <r>
    <x v="3"/>
    <d v="2026-09-11T00:00:00"/>
    <s v="11-03-2024"/>
    <d v="1899-12-30T00:00:00"/>
    <s v="Kfc"/>
    <s v="Mumbai"/>
    <s v="Fast Food"/>
    <n v="18"/>
    <n v="2.5"/>
    <s v="61 mins"/>
    <n v="2365"/>
    <n v="50"/>
    <s v="Wallet"/>
    <s v="Refunded"/>
    <n v="4"/>
    <x v="2"/>
    <n v="243"/>
  </r>
  <r>
    <x v="236"/>
    <d v="2026-03-08T00:00:00"/>
    <s v="31-03-2024"/>
    <d v="1899-12-30T00:00:00"/>
    <s v="Faasos"/>
    <s v="Lucknow"/>
    <s v="Italian"/>
    <n v="62"/>
    <n v="3.2"/>
    <s v="49mins"/>
    <n v="336"/>
    <n v="0.5"/>
    <s v="Unknown"/>
    <s v="Delivered"/>
    <n v="8"/>
    <x v="3"/>
    <n v="137"/>
  </r>
  <r>
    <x v="237"/>
    <d v="2026-12-06T00:00:00"/>
    <s v="01-04-2024"/>
    <d v="1899-12-30T00:00:00"/>
    <s v="Paradise Biryani"/>
    <s v="Kolkata"/>
    <s v="Mughlai"/>
    <n v="43"/>
    <n v="2"/>
    <s v="58mins"/>
    <n v="1268"/>
    <n v="0"/>
    <s v="Credit Card"/>
    <s v="Delivered"/>
    <n v="10"/>
    <x v="0"/>
    <n v="19"/>
  </r>
  <r>
    <x v="238"/>
    <d v="2026-06-24T00:00:00"/>
    <s v="25-05-2024"/>
    <d v="1899-12-30T00:00:00"/>
    <s v="Kfc"/>
    <s v="Bangalore"/>
    <s v="North Indian"/>
    <n v="29"/>
    <n v="1.8"/>
    <s v="30 mins"/>
    <n v="487"/>
    <n v="0"/>
    <s v="Cash On Delivery"/>
    <s v="Delivered"/>
    <n v="8"/>
    <x v="1"/>
    <n v="48"/>
  </r>
  <r>
    <x v="239"/>
    <d v="2026-07-18T00:00:00"/>
    <s v="24-03-2024"/>
    <d v="1899-12-30T00:00:00"/>
    <s v="Behrouz Biryani"/>
    <s v="Unknown"/>
    <s v="Bakery"/>
    <n v="18"/>
    <n v="4"/>
    <s v="44mins"/>
    <n v="449"/>
    <n v="0.5"/>
    <s v="Upi"/>
    <s v="Refunded"/>
    <n v="5"/>
    <x v="4"/>
    <n v="91"/>
  </r>
  <r>
    <x v="240"/>
    <d v="2026-06-26T00:00:00"/>
    <s v="07-06-2024"/>
    <d v="1899-12-30T03:27:00"/>
    <s v="Subway"/>
    <s v="Lucknow"/>
    <s v="Italian, Italian"/>
    <n v="58"/>
    <n v="4.2"/>
    <s v="79mins"/>
    <n v="1007"/>
    <n v="0.6"/>
    <s v="Debit Card"/>
    <s v="Delivered"/>
    <n v="0"/>
    <x v="1"/>
    <n v="188"/>
  </r>
  <r>
    <x v="241"/>
    <d v="2026-06-19T00:00:00"/>
    <s v="13-03-2024"/>
    <d v="1899-12-30T00:00:00"/>
    <s v="Paradise Biryani"/>
    <s v="Chennai"/>
    <s v="North Indian"/>
    <n v="18"/>
    <n v="3.5"/>
    <s v="60mins"/>
    <n v="1862"/>
    <n v="0.15"/>
    <s v="Upi"/>
    <s v="Delivered"/>
    <n v="10"/>
    <x v="2"/>
    <n v="228"/>
  </r>
  <r>
    <x v="242"/>
    <d v="2026-11-13T00:00:00"/>
    <s v="22-06-2024"/>
    <d v="1899-12-30T00:00:00"/>
    <s v="Subway"/>
    <s v="Ahmedabad"/>
    <s v="Chinese"/>
    <n v="64"/>
    <n v="4.3"/>
    <s v="57mins"/>
    <n v="1409"/>
    <n v="75"/>
    <s v="Debit Card"/>
    <s v="Delivered"/>
    <n v="5"/>
    <x v="6"/>
    <n v="201"/>
  </r>
  <r>
    <x v="243"/>
    <d v="2026-05-31T00:00:00"/>
    <s v="29-03-2024"/>
    <d v="1899-12-30T00:00:00"/>
    <s v="Wow! Momo"/>
    <s v="Delhi"/>
    <s v="Bakery"/>
    <n v="53"/>
    <n v="5"/>
    <s v="31mins"/>
    <n v="1021"/>
    <n v="0.5"/>
    <s v="Credit Card"/>
    <s v="Cancelled"/>
    <n v="9"/>
    <x v="4"/>
    <n v="217"/>
  </r>
  <r>
    <x v="244"/>
    <d v="2026-03-16T00:00:00"/>
    <s v="16-06-2024"/>
    <d v="1899-12-30T00:00:00"/>
    <s v="Dominos Pizza"/>
    <s v="Bangalore"/>
    <s v="Fast Food"/>
    <n v="33"/>
    <n v="2.8"/>
    <s v="26 mins"/>
    <n v="2435"/>
    <n v="0.6"/>
    <s v="Debit Card"/>
    <s v="Unknown"/>
    <n v="0"/>
    <x v="1"/>
    <n v="75"/>
  </r>
  <r>
    <x v="245"/>
    <d v="2026-04-03T00:00:00"/>
    <s v="02-07-2024"/>
    <d v="1899-12-30T00:00:00"/>
    <s v="Chai Point"/>
    <s v="Ahmedabad"/>
    <s v="Italian"/>
    <n v="50"/>
    <n v="2.8"/>
    <s v="28mins"/>
    <n v="467"/>
    <n v="0"/>
    <s v="Wallet"/>
    <s v="Cancelled"/>
    <n v="2"/>
    <x v="4"/>
    <n v="1"/>
  </r>
  <r>
    <x v="246"/>
    <d v="2026-05-08T00:00:00"/>
    <s v="25-04-2024"/>
    <d v="1899-12-30T00:00:00"/>
    <s v="Unknown"/>
    <s v="Bangalore"/>
    <s v="Desserts"/>
    <n v="54"/>
    <n v="2.9"/>
    <s v="52mins"/>
    <n v="488"/>
    <n v="0.6"/>
    <s v="Debit Card"/>
    <s v="Cancelled"/>
    <n v="0"/>
    <x v="5"/>
    <n v="249"/>
  </r>
  <r>
    <x v="247"/>
    <d v="2026-10-25T00:00:00"/>
    <s v="29-03-2024"/>
    <d v="1899-12-30T00:00:00"/>
    <s v="Wow! Momo"/>
    <s v="Bangalore"/>
    <s v="Unknown"/>
    <n v="39"/>
    <n v="1.8"/>
    <s v="53 mins"/>
    <n v="1972"/>
    <n v="75"/>
    <s v="Cash On Delivery"/>
    <s v="Delivered"/>
    <n v="1"/>
    <x v="4"/>
    <n v="87"/>
  </r>
  <r>
    <x v="248"/>
    <d v="2026-11-30T00:00:00"/>
    <s v="17-05-2024"/>
    <d v="1899-12-30T00:00:00"/>
    <s v="Bikanervala"/>
    <s v="Bangalore"/>
    <s v="Mughlai"/>
    <n v="65"/>
    <n v="4.3"/>
    <s v="72 mins"/>
    <n v="435"/>
    <n v="0.15"/>
    <s v="Net Banking"/>
    <s v="Delivered"/>
    <n v="2"/>
    <x v="4"/>
    <n v="99"/>
  </r>
  <r>
    <x v="249"/>
    <d v="2026-02-07T00:00:00"/>
    <s v="28-05-2024"/>
    <d v="1899-12-30T00:00:00"/>
    <s v="Haldiram'S"/>
    <s v="Lucknow"/>
    <s v="Italian"/>
    <n v="50"/>
    <n v="3.6"/>
    <s v="46mins"/>
    <n v="932"/>
    <n v="150"/>
    <s v="Cash On Delivery"/>
    <s v="Delivered"/>
    <n v="3"/>
    <x v="2"/>
    <n v="21"/>
  </r>
  <r>
    <x v="250"/>
    <d v="2026-06-29T00:00:00"/>
    <s v="17-05-2024"/>
    <d v="1899-12-30T00:00:00"/>
    <s v="Haldiram'S"/>
    <s v="Jaipur"/>
    <s v="Chinese"/>
    <n v="28"/>
    <n v="3.4"/>
    <s v="48 mins"/>
    <n v="2455"/>
    <n v="150"/>
    <s v="Debit Card"/>
    <s v="Refunded"/>
    <n v="6"/>
    <x v="4"/>
    <m/>
  </r>
  <r>
    <x v="251"/>
    <d v="2026-08-01T00:00:00"/>
    <s v="04-14-2024"/>
    <d v="1899-12-30T12:04:00"/>
    <s v="Barbeque Nation"/>
    <s v="Hyderabad"/>
    <s v="Unknown"/>
    <n v="42"/>
    <n v="3.2"/>
    <s v="28 mins"/>
    <n v="1590"/>
    <n v="0.1"/>
    <s v="Credit Card"/>
    <s v="Delivered"/>
    <n v="7"/>
    <x v="1"/>
    <n v="2"/>
  </r>
  <r>
    <x v="252"/>
    <d v="2026-01-08T00:00:00"/>
    <s v="15-01-2024"/>
    <d v="1899-12-30T00:00:00"/>
    <s v="Wow! Momo"/>
    <s v="Mumbai"/>
    <s v="Fast Food"/>
    <n v="46"/>
    <n v="3.3"/>
    <s v="48mins"/>
    <n v="1445"/>
    <n v="50"/>
    <s v="Upi"/>
    <s v="Refunded"/>
    <n v="3"/>
    <x v="5"/>
    <n v="30"/>
  </r>
  <r>
    <x v="253"/>
    <d v="2026-05-19T00:00:00"/>
    <s v="10-07-2024"/>
    <d v="1899-12-30T00:00:00"/>
    <s v="Faasos"/>
    <s v="Jaipur"/>
    <s v="Bakery, Street Food"/>
    <n v="38"/>
    <n v="3"/>
    <s v="23mins"/>
    <n v="1868"/>
    <n v="0"/>
    <s v="Net Banking"/>
    <s v="Delivered"/>
    <n v="2"/>
    <x v="1"/>
    <n v="69"/>
  </r>
  <r>
    <x v="254"/>
    <d v="2026-01-07T00:00:00"/>
    <s v="01-19-2024"/>
    <d v="1899-12-30T06:12:00"/>
    <s v="Kfc"/>
    <s v="Delhi"/>
    <s v="Unknown"/>
    <n v="45"/>
    <n v="4.4000000000000004"/>
    <s v="56mins"/>
    <n v="1387"/>
    <n v="0.6"/>
    <s v="Debit Card"/>
    <s v="Cancelled"/>
    <n v="1"/>
    <x v="3"/>
    <n v="177"/>
  </r>
  <r>
    <x v="255"/>
    <d v="2026-11-14T00:00:00"/>
    <s v="03-21-2024"/>
    <d v="1899-12-30T07:51:00"/>
    <s v="Dominos Pizza"/>
    <s v="Hyderabad"/>
    <s v="Mughlai"/>
    <n v="65"/>
    <n v="1.2"/>
    <s v="40mins"/>
    <n v="609"/>
    <n v="0"/>
    <s v="Credit Card"/>
    <s v="Cancelled"/>
    <n v="10"/>
    <x v="5"/>
    <n v="17"/>
  </r>
  <r>
    <x v="256"/>
    <d v="2026-09-19T00:00:00"/>
    <s v="06-03-2024"/>
    <d v="1899-12-30T00:00:00"/>
    <s v="Unknown"/>
    <s v="Pune"/>
    <s v="Desserts"/>
    <n v="59"/>
    <n v="5"/>
    <s v="56 mins"/>
    <n v="2048"/>
    <n v="0"/>
    <s v="Debit Card"/>
    <s v="Cancelled"/>
    <n v="8"/>
    <x v="0"/>
    <n v="206"/>
  </r>
  <r>
    <x v="257"/>
    <d v="2026-10-01T00:00:00"/>
    <s v="10-02-2024"/>
    <d v="1899-12-30T00:00:00"/>
    <s v="Wow! Momo"/>
    <s v="Mumbai"/>
    <s v="Chinese"/>
    <n v="38"/>
    <n v="2.5"/>
    <s v="15 mins"/>
    <n v="188"/>
    <n v="50"/>
    <s v="Cash On Delivery"/>
    <s v="Delivered"/>
    <n v="4"/>
    <x v="0"/>
    <n v="240"/>
  </r>
  <r>
    <x v="258"/>
    <d v="2026-07-17T00:00:00"/>
    <s v="22-04-2024"/>
    <d v="1899-12-30T00:00:00"/>
    <s v="Unknown"/>
    <s v="Ahmedabad"/>
    <s v="Street Food"/>
    <n v="65"/>
    <n v="3.3"/>
    <s v="47 mins"/>
    <n v="429"/>
    <n v="0.1"/>
    <s v="Wallet"/>
    <s v="Delivered"/>
    <n v="5"/>
    <x v="5"/>
    <n v="115"/>
  </r>
  <r>
    <x v="259"/>
    <d v="2026-02-24T00:00:00"/>
    <s v="03-02-2024"/>
    <d v="1899-12-30T00:00:00"/>
    <s v="Faasos"/>
    <s v="Pune"/>
    <s v="North Indian, Chinese"/>
    <n v="38"/>
    <n v="2.5"/>
    <s v="59mins"/>
    <n v="567"/>
    <n v="100"/>
    <s v="Cash On Delivery"/>
    <s v="Delivered"/>
    <n v="6"/>
    <x v="5"/>
    <n v="33"/>
  </r>
  <r>
    <x v="260"/>
    <d v="2026-01-13T00:00:00"/>
    <s v="25-01-2024"/>
    <d v="1899-12-30T00:00:00"/>
    <s v="W0W! M0M0"/>
    <s v="Jaipur"/>
    <s v="South Indian"/>
    <n v="46"/>
    <n v="4.9000000000000004"/>
    <s v="70 mins"/>
    <n v="2433"/>
    <n v="120"/>
    <s v="Credit Card"/>
    <s v="Cancelled"/>
    <n v="3"/>
    <x v="3"/>
    <n v="184"/>
  </r>
  <r>
    <x v="261"/>
    <d v="2026-05-06T00:00:00"/>
    <s v="15-05-2024"/>
    <d v="1899-12-30T00:00:00"/>
    <s v="Haldiram'S"/>
    <s v="Bangalore"/>
    <s v="Chinese"/>
    <n v="51"/>
    <n v="4.5999999999999996"/>
    <s v="32mins"/>
    <n v="1837"/>
    <n v="0"/>
    <s v="Wallet"/>
    <s v="Delivered"/>
    <n v="3"/>
    <x v="2"/>
    <n v="241"/>
  </r>
  <r>
    <x v="262"/>
    <d v="2026-12-01T00:00:00"/>
    <s v="10-02-2024"/>
    <d v="1899-12-30T00:00:00"/>
    <s v="Chai Point"/>
    <s v="Kolkata"/>
    <s v="Bakery"/>
    <n v="38"/>
    <n v="2.5"/>
    <s v="34 mins"/>
    <n v="1368"/>
    <n v="50"/>
    <s v="Wallet"/>
    <s v="Delivered"/>
    <n v="6"/>
    <x v="5"/>
    <n v="197"/>
  </r>
  <r>
    <x v="263"/>
    <d v="2026-07-09T00:00:00"/>
    <s v="02-13-2024"/>
    <d v="1899-12-30T16:37:00"/>
    <s v="Dominos Pizza"/>
    <s v="Lucknow"/>
    <s v="Mughlai"/>
    <n v="35"/>
    <n v="3.9"/>
    <s v="80mins"/>
    <n v="903"/>
    <n v="0.2"/>
    <s v="Unknown"/>
    <s v="Delivered"/>
    <n v="5"/>
    <x v="0"/>
    <n v="81"/>
  </r>
  <r>
    <x v="264"/>
    <d v="2026-04-21T00:00:00"/>
    <s v="19-06-2024"/>
    <d v="1899-12-30T00:00:00"/>
    <s v="Haldiram'S"/>
    <s v="Mumbai"/>
    <s v="Bakery"/>
    <n v="46"/>
    <n v="3.3"/>
    <s v="66mins"/>
    <n v="2055"/>
    <n v="150"/>
    <s v="Upi"/>
    <s v="Refunded"/>
    <n v="8"/>
    <x v="5"/>
    <n v="36"/>
  </r>
  <r>
    <x v="265"/>
    <d v="2026-02-07T00:00:00"/>
    <s v="03-24-2024"/>
    <d v="1899-12-30T15:38:00"/>
    <s v="Faasos"/>
    <s v="Jaipur"/>
    <s v="Fast Food"/>
    <n v="65"/>
    <n v="4.9000000000000004"/>
    <s v="54mins"/>
    <n v="361"/>
    <n v="75"/>
    <s v="Net Banking"/>
    <s v="Refunded"/>
    <n v="8"/>
    <x v="5"/>
    <n v="27"/>
  </r>
  <r>
    <x v="266"/>
    <d v="2026-01-23T00:00:00"/>
    <s v="28-06-2024"/>
    <d v="1899-12-30T00:00:00"/>
    <s v="Wow! Momo"/>
    <s v="Mumbai"/>
    <s v="Biryani"/>
    <n v="42"/>
    <n v="4.8"/>
    <s v="52mins"/>
    <n v="1580"/>
    <n v="0.15"/>
    <s v="Cash On Delivery"/>
    <s v="Unknown"/>
    <n v="4"/>
    <x v="2"/>
    <n v="188"/>
  </r>
  <r>
    <x v="267"/>
    <d v="2026-05-07T00:00:00"/>
    <s v="05-06-2024"/>
    <d v="1899-12-30T00:00:00"/>
    <s v="Subway"/>
    <s v="Jaipur"/>
    <s v="Italian"/>
    <n v="34"/>
    <n v="2.5"/>
    <s v="45mins"/>
    <n v="882"/>
    <n v="50"/>
    <s v="Debit Card"/>
    <s v="Delivered"/>
    <n v="9"/>
    <x v="1"/>
    <n v="186"/>
  </r>
  <r>
    <x v="268"/>
    <d v="2026-05-28T00:00:00"/>
    <s v="14-06-2024"/>
    <d v="1899-12-30T00:00:00"/>
    <s v="Dominos Pizza"/>
    <s v="Ahmedabad"/>
    <s v="Unknown"/>
    <n v="59"/>
    <n v="2.5"/>
    <s v="33mins"/>
    <n v="272"/>
    <n v="75"/>
    <s v="Net Banking"/>
    <s v="Delivered"/>
    <n v="7"/>
    <x v="2"/>
    <n v="150"/>
  </r>
  <r>
    <x v="269"/>
    <d v="2026-07-08T00:00:00"/>
    <s v="10-05-2024"/>
    <d v="1899-12-30T00:00:00"/>
    <s v="Wow! Momo"/>
    <s v="Delhi"/>
    <s v="South Indian"/>
    <n v="33"/>
    <n v="4.0999999999999996"/>
    <s v="38mins"/>
    <n v="190"/>
    <n v="75"/>
    <s v="Upi"/>
    <s v="Delivered"/>
    <n v="6"/>
    <x v="2"/>
    <n v="153"/>
  </r>
  <r>
    <x v="270"/>
    <d v="2026-08-30T00:00:00"/>
    <s v="12-04-2024"/>
    <d v="1899-12-30T00:00:00"/>
    <s v="Faasos"/>
    <s v="Delhi"/>
    <s v="Street Food"/>
    <n v="51"/>
    <n v="2.5"/>
    <s v="54mins"/>
    <n v="186"/>
    <n v="0"/>
    <s v="Credit Card"/>
    <s v="Cancelled"/>
    <n v="3"/>
    <x v="3"/>
    <n v="65"/>
  </r>
  <r>
    <x v="271"/>
    <d v="2026-04-25T00:00:00"/>
    <s v="04-23-2024"/>
    <d v="1899-12-30T01:02:00"/>
    <s v="Wow! Momo"/>
    <s v="Kolkata"/>
    <s v="Fast Food"/>
    <n v="39"/>
    <n v="4.7"/>
    <s v="64mins"/>
    <n v="1986"/>
    <n v="0"/>
    <s v="Debit Card"/>
    <s v="Delivered"/>
    <n v="8"/>
    <x v="1"/>
    <n v="47"/>
  </r>
  <r>
    <x v="272"/>
    <d v="2026-01-29T00:00:00"/>
    <s v="14-05-2024"/>
    <d v="1899-12-30T00:00:00"/>
    <s v="Wow! Momo"/>
    <s v="Bangalore"/>
    <s v="Italian"/>
    <n v="38"/>
    <n v="3.4"/>
    <s v="51mins"/>
    <n v="1955"/>
    <n v="0"/>
    <s v="Credit Card"/>
    <s v="Delivered"/>
    <n v="9"/>
    <x v="6"/>
    <n v="20"/>
  </r>
  <r>
    <x v="273"/>
    <d v="2026-09-02T00:00:00"/>
    <s v="06-24-2024"/>
    <d v="1899-12-30T14:48:00"/>
    <s v="Wow! Momo"/>
    <s v="Hyderabad"/>
    <s v="Desserts"/>
    <n v="18"/>
    <n v="2.5"/>
    <s v="29mins"/>
    <n v="500"/>
    <n v="0.2"/>
    <s v="Credit Card"/>
    <s v="Delivered"/>
    <n v="5"/>
    <x v="4"/>
    <n v="218"/>
  </r>
  <r>
    <x v="274"/>
    <d v="2026-10-10T00:00:00"/>
    <s v="03-10-2024"/>
    <d v="1899-12-30T13:58:00"/>
    <s v="Subway"/>
    <s v="Ahmedabad"/>
    <s v="Italian"/>
    <n v="22"/>
    <n v="1.5"/>
    <s v="77mins"/>
    <n v="278"/>
    <n v="0.2"/>
    <s v="Wallet"/>
    <s v="Refunded"/>
    <n v="2"/>
    <x v="4"/>
    <n v="234"/>
  </r>
  <r>
    <x v="275"/>
    <d v="2026-11-26T00:00:00"/>
    <s v="10-01-2024"/>
    <d v="1899-12-30T00:00:00"/>
    <s v="Haldiram'S"/>
    <s v="Mumbai"/>
    <s v="Fast Food"/>
    <n v="30"/>
    <n v="3.9"/>
    <s v="15 mins"/>
    <n v="154"/>
    <n v="75"/>
    <s v="Credit Card"/>
    <s v="Delivered"/>
    <n v="4"/>
    <x v="2"/>
    <m/>
  </r>
  <r>
    <x v="276"/>
    <d v="2026-07-25T00:00:00"/>
    <s v="26-04-2024"/>
    <d v="1899-12-30T00:00:00"/>
    <s v="Barbeque Nation"/>
    <s v="Bangalore"/>
    <s v="Fast Food, Biryani"/>
    <n v="47"/>
    <n v="4.5"/>
    <s v="66mins"/>
    <n v="418"/>
    <n v="0.5"/>
    <s v="Cash On Delivery"/>
    <s v="Delivered"/>
    <n v="3"/>
    <x v="1"/>
    <n v="155"/>
  </r>
  <r>
    <x v="277"/>
    <d v="2026-05-31T00:00:00"/>
    <s v="19-07-2024"/>
    <d v="1899-12-30T00:00:00"/>
    <s v="Paradise Biryani"/>
    <s v="Hyderabad"/>
    <s v="Mughlai"/>
    <n v="21"/>
    <n v="2.4"/>
    <s v="64mins"/>
    <n v="2350"/>
    <n v="0"/>
    <s v="Wallet"/>
    <s v="Delivered"/>
    <n v="4"/>
    <x v="2"/>
    <n v="206"/>
  </r>
  <r>
    <x v="278"/>
    <d v="2026-08-27T00:00:00"/>
    <s v="14-07-2024"/>
    <d v="1899-12-30T00:00:00"/>
    <s v="Faasos"/>
    <s v="Delhi"/>
    <s v="South Indian"/>
    <n v="31"/>
    <n v="1.3"/>
    <s v="55mins"/>
    <n v="1509"/>
    <n v="150"/>
    <s v="Credit Card"/>
    <s v="Cancelled"/>
    <n v="7"/>
    <x v="2"/>
    <n v="151"/>
  </r>
  <r>
    <x v="279"/>
    <d v="2026-04-18T00:00:00"/>
    <s v="05-03-2024"/>
    <d v="1899-12-30T00:00:00"/>
    <s v="Wow! Momo"/>
    <s v="Bangalore"/>
    <s v="Mughlai"/>
    <n v="60"/>
    <n v="1.3"/>
    <s v="31mins"/>
    <n v="2195"/>
    <n v="0"/>
    <s v="Unknown"/>
    <s v="Delivered"/>
    <n v="5"/>
    <x v="1"/>
    <n v="89"/>
  </r>
  <r>
    <x v="280"/>
    <d v="2026-06-21T00:00:00"/>
    <s v="02-03-2024"/>
    <d v="1899-12-30T11:49:00"/>
    <s v="Wow! Momo"/>
    <s v="Mumbai"/>
    <s v="Unknown"/>
    <n v="24"/>
    <n v="1.7"/>
    <s v="51 mins"/>
    <n v="2027"/>
    <n v="0"/>
    <s v="Unknown"/>
    <s v="Refunded"/>
    <n v="8"/>
    <x v="1"/>
    <n v="45"/>
  </r>
  <r>
    <x v="281"/>
    <d v="2026-01-28T00:00:00"/>
    <s v="09-07-2024"/>
    <d v="1899-12-30T00:00:00"/>
    <s v="Behrouz Biryani"/>
    <s v="Hyderabad"/>
    <s v="Street Food"/>
    <n v="63"/>
    <n v="2.2000000000000002"/>
    <s v="22mins"/>
    <n v="1173"/>
    <n v="0"/>
    <s v="Credit Card"/>
    <s v="Cancelled"/>
    <n v="3"/>
    <x v="5"/>
    <n v="50"/>
  </r>
  <r>
    <x v="282"/>
    <d v="2026-11-22T00:00:00"/>
    <s v="12-06-2024"/>
    <d v="1899-12-30T00:00:00"/>
    <s v="Burger King"/>
    <s v="Kolkata"/>
    <s v="Mughlai"/>
    <n v="23"/>
    <n v="4.5999999999999996"/>
    <s v="26mins"/>
    <n v="878"/>
    <n v="150"/>
    <s v="Wallet"/>
    <s v="Refunded"/>
    <n v="8"/>
    <x v="5"/>
    <n v="250"/>
  </r>
  <r>
    <x v="283"/>
    <d v="2026-03-04T00:00:00"/>
    <s v="31-03-2024"/>
    <d v="1899-12-30T00:00:00"/>
    <s v="Paradise Biryani"/>
    <s v="Ahmedabad"/>
    <s v="Italian"/>
    <n v="58"/>
    <n v="2.5"/>
    <s v="37mins"/>
    <n v="479"/>
    <n v="0.1"/>
    <s v="Cash On Delivery"/>
    <s v="Delivered"/>
    <n v="9"/>
    <x v="5"/>
    <n v="159"/>
  </r>
  <r>
    <x v="284"/>
    <d v="2026-08-31T00:00:00"/>
    <s v="19-06-2024"/>
    <d v="1899-12-30T00:00:00"/>
    <s v="Haldiram'S"/>
    <s v="Hyderabad"/>
    <s v="Unknown"/>
    <n v="28"/>
    <n v="2.2000000000000002"/>
    <s v="30mins"/>
    <n v="1546"/>
    <n v="0.2"/>
    <s v="Wallet"/>
    <s v="Unknown"/>
    <n v="4"/>
    <x v="2"/>
    <n v="220"/>
  </r>
  <r>
    <x v="285"/>
    <d v="2026-04-06T00:00:00"/>
    <s v="01-05-2024"/>
    <d v="1899-12-30T00:00:00"/>
    <s v="Chai Point"/>
    <s v="Lucknow"/>
    <s v="Chinese"/>
    <n v="38"/>
    <n v="1.4"/>
    <s v="56mins"/>
    <n v="314"/>
    <n v="150"/>
    <s v="Debit Card"/>
    <s v="Refunded"/>
    <n v="8"/>
    <x v="2"/>
    <n v="38"/>
  </r>
  <r>
    <x v="286"/>
    <d v="2026-05-21T00:00:00"/>
    <s v="22-03-2024"/>
    <d v="1899-12-30T00:00:00"/>
    <s v="Chai Point"/>
    <s v="Lucknow"/>
    <s v="Chinese"/>
    <n v="62"/>
    <n v="1"/>
    <s v="33mins"/>
    <n v="500"/>
    <n v="100"/>
    <s v="Upi"/>
    <s v="Delivered"/>
    <n v="6"/>
    <x v="0"/>
    <n v="15"/>
  </r>
  <r>
    <x v="287"/>
    <d v="2026-08-22T00:00:00"/>
    <s v="06-13-2024"/>
    <d v="1899-12-30T13:30:00"/>
    <s v="Wow! Momo"/>
    <s v="Kolkata"/>
    <s v="Unknown"/>
    <n v="62"/>
    <n v="1.2"/>
    <s v="29 mins"/>
    <n v="2381"/>
    <n v="0.2"/>
    <s v="Debit Card"/>
    <s v="Delivered"/>
    <n v="7"/>
    <x v="3"/>
    <n v="68"/>
  </r>
  <r>
    <x v="288"/>
    <d v="2026-11-05T00:00:00"/>
    <s v="21-01-2024"/>
    <d v="1899-12-30T00:00:00"/>
    <s v="Wow! Momo"/>
    <s v="Lucknow"/>
    <s v="Fast Food"/>
    <n v="34"/>
    <n v="3.6"/>
    <s v="72mins"/>
    <n v="1556"/>
    <n v="100"/>
    <s v="Credit Card"/>
    <s v="Delivered"/>
    <n v="10"/>
    <x v="1"/>
    <n v="142"/>
  </r>
  <r>
    <x v="289"/>
    <d v="2026-04-14T00:00:00"/>
    <s v="18-04-2024"/>
    <d v="1899-12-30T00:00:00"/>
    <s v="Subway"/>
    <s v="Mumbai"/>
    <s v="Chinese"/>
    <n v="48"/>
    <n v="1.5"/>
    <s v="73mins"/>
    <n v="2190"/>
    <n v="75"/>
    <s v="Upi"/>
    <s v="Cancelled"/>
    <n v="1"/>
    <x v="4"/>
    <m/>
  </r>
  <r>
    <x v="290"/>
    <d v="2026-03-19T00:00:00"/>
    <s v="06-05-2024"/>
    <d v="1899-12-30T00:00:00"/>
    <s v="Kfc"/>
    <s v="Bangalore"/>
    <s v="Street Food"/>
    <n v="58"/>
    <n v="2.4"/>
    <s v="35mins"/>
    <n v="2146"/>
    <n v="50"/>
    <s v="Wallet"/>
    <s v="Delivered"/>
    <n v="5"/>
    <x v="3"/>
    <n v="5"/>
  </r>
  <r>
    <x v="291"/>
    <d v="2026-12-09T00:00:00"/>
    <s v="06-07-2024"/>
    <d v="1899-12-30T00:00:00"/>
    <s v="Subway"/>
    <s v="Pune"/>
    <s v="Mughlai"/>
    <n v="50"/>
    <n v="3"/>
    <s v="54mins"/>
    <n v="696"/>
    <n v="120"/>
    <s v="Wallet"/>
    <s v="Delivered"/>
    <n v="2"/>
    <x v="0"/>
    <n v="59"/>
  </r>
  <r>
    <x v="292"/>
    <d v="2026-02-24T00:00:00"/>
    <s v="17-03-2024"/>
    <d v="1899-12-30T00:00:00"/>
    <s v="Dominos Pizza"/>
    <s v="Lucknow"/>
    <s v="Desserts"/>
    <n v="52"/>
    <n v="2.7"/>
    <s v="59mins"/>
    <n v="2379"/>
    <n v="100"/>
    <s v="Upi"/>
    <s v="Refunded"/>
    <n v="2"/>
    <x v="4"/>
    <n v="119"/>
  </r>
  <r>
    <x v="293"/>
    <d v="2026-01-08T00:00:00"/>
    <s v="29-06-2024"/>
    <d v="1899-12-30T00:00:00"/>
    <s v="Subway"/>
    <s v="Delhi"/>
    <s v="Mughlai"/>
    <n v="64"/>
    <n v="2.5"/>
    <s v="77mins"/>
    <n v="534"/>
    <n v="0"/>
    <s v="Debit Card"/>
    <s v="Delivered"/>
    <n v="0"/>
    <x v="1"/>
    <m/>
  </r>
  <r>
    <x v="294"/>
    <d v="2026-02-17T00:00:00"/>
    <s v="24-04-2024"/>
    <d v="1899-12-30T00:00:00"/>
    <s v="Kfc"/>
    <s v="Lucknow"/>
    <s v="Fast Food"/>
    <n v="50"/>
    <n v="1.5"/>
    <s v="16mins"/>
    <n v="842"/>
    <n v="0.15"/>
    <s v="Cash On Delivery"/>
    <s v="Delivered"/>
    <n v="9"/>
    <x v="0"/>
    <n v="88"/>
  </r>
  <r>
    <x v="295"/>
    <d v="2026-06-10T00:00:00"/>
    <s v="19-01-2024"/>
    <d v="1899-12-30T00:00:00"/>
    <s v="Faasos"/>
    <s v="Calcutta"/>
    <s v="Desserts, Desserts"/>
    <n v="56"/>
    <n v="1.9"/>
    <s v="76mins"/>
    <n v="1583"/>
    <n v="150"/>
    <s v="Wallet"/>
    <s v="Delvrd"/>
    <n v="3"/>
    <x v="6"/>
    <n v="12"/>
  </r>
  <r>
    <x v="296"/>
    <d v="2026-09-04T00:00:00"/>
    <s v="28-03-2024"/>
    <d v="1899-12-30T00:00:00"/>
    <s v="Chai Point"/>
    <s v="Pune"/>
    <s v="Street Food"/>
    <n v="48"/>
    <n v="3.8"/>
    <s v="23mins"/>
    <n v="719"/>
    <n v="0.2"/>
    <s v="Net Banking"/>
    <s v="Cancelled"/>
    <n v="6"/>
    <x v="3"/>
    <n v="117"/>
  </r>
  <r>
    <x v="297"/>
    <d v="2026-04-30T00:00:00"/>
    <s v="05-02-2024"/>
    <d v="1899-12-30T00:00:00"/>
    <s v="Faasos"/>
    <s v="Lucknow"/>
    <s v="Biryani"/>
    <n v="29"/>
    <n v="4.2"/>
    <s v="65mins"/>
    <n v="1273"/>
    <n v="120"/>
    <s v="Debit Card"/>
    <s v="Delivered"/>
    <n v="0"/>
    <x v="2"/>
    <n v="83"/>
  </r>
  <r>
    <x v="298"/>
    <d v="2026-08-15T00:00:00"/>
    <s v="10-05-2024"/>
    <d v="1899-12-30T00:00:00"/>
    <s v="Burger King"/>
    <s v="Ahmedabad"/>
    <s v="South Indian"/>
    <n v="35"/>
    <n v="3.1"/>
    <s v="21 mins"/>
    <n v="2323"/>
    <n v="0.6"/>
    <s v="Unknown"/>
    <s v="Refunded"/>
    <n v="4"/>
    <x v="2"/>
    <n v="168"/>
  </r>
  <r>
    <x v="299"/>
    <d v="2026-06-28T00:00:00"/>
    <s v="06-01-2024"/>
    <d v="1899-12-30T00:00:00"/>
    <s v="Dominos Pizza"/>
    <s v="Delhi"/>
    <s v="Biryani"/>
    <n v="33"/>
    <n v="1.7"/>
    <s v="29 mins"/>
    <n v="500"/>
    <n v="100"/>
    <s v="Net Banking"/>
    <s v="Cancelled"/>
    <n v="8"/>
    <x v="2"/>
    <n v="123"/>
  </r>
  <r>
    <x v="300"/>
    <d v="2026-08-18T00:00:00"/>
    <s v="21-06-2024"/>
    <d v="1899-12-30T00:00:00"/>
    <s v="Wow! Momo"/>
    <s v="Pune"/>
    <s v="South Indian"/>
    <n v="31"/>
    <n v="2.4"/>
    <s v="52mins"/>
    <n v="2258"/>
    <n v="0"/>
    <s v="Wallet"/>
    <s v="Pending"/>
    <n v="1"/>
    <x v="4"/>
    <n v="60"/>
  </r>
  <r>
    <x v="301"/>
    <d v="2026-06-22T00:00:00"/>
    <s v="07-03-2024"/>
    <d v="1899-12-30T00:00:00"/>
    <s v="Dominos Pizza"/>
    <s v="Delhi"/>
    <s v="South Indian"/>
    <n v="34"/>
    <n v="4.7"/>
    <s v="52mins"/>
    <n v="457"/>
    <n v="50"/>
    <s v="Credit Card"/>
    <s v="Delivered"/>
    <n v="3"/>
    <x v="5"/>
    <n v="215"/>
  </r>
  <r>
    <x v="3"/>
    <d v="2026-04-08T00:00:00"/>
    <s v="04-27-2024"/>
    <d v="1899-12-30T18:03:00"/>
    <s v="Faasos"/>
    <s v="Ahmedabad"/>
    <s v="Bakery"/>
    <n v="44"/>
    <n v="4.4000000000000004"/>
    <s v="17 mins"/>
    <n v="612"/>
    <n v="0.2"/>
    <s v="Upi"/>
    <s v="Unknown"/>
    <n v="1"/>
    <x v="2"/>
    <n v="31"/>
  </r>
  <r>
    <x v="302"/>
    <d v="2026-11-21T00:00:00"/>
    <s v="15-06-2024"/>
    <d v="1899-12-30T00:00:00"/>
    <s v="Unknown"/>
    <s v="Hyderabad"/>
    <s v="Mughlai"/>
    <n v="33"/>
    <n v="4.5999999999999996"/>
    <s v="52mins"/>
    <n v="1010"/>
    <n v="150"/>
    <s v="Cash On Delivery"/>
    <s v="Delivered"/>
    <n v="8"/>
    <x v="0"/>
    <n v="224"/>
  </r>
  <r>
    <x v="303"/>
    <d v="2026-08-03T00:00:00"/>
    <s v="01-07-2024"/>
    <d v="1899-12-30T00:00:00"/>
    <s v="Bikanervala"/>
    <s v="Chennai"/>
    <s v="Biryani"/>
    <n v="49"/>
    <n v="3.1"/>
    <s v="79mins"/>
    <n v="280"/>
    <n v="100"/>
    <s v="Debit Card"/>
    <s v="Refunded"/>
    <n v="10"/>
    <x v="4"/>
    <m/>
  </r>
  <r>
    <x v="304"/>
    <d v="2026-10-04T00:00:00"/>
    <s v="02-19-2024"/>
    <d v="1899-12-30T14:15:00"/>
    <s v="Barbeque Nation"/>
    <s v="Mumbai"/>
    <s v="Mughlai"/>
    <n v="61"/>
    <n v="1.3"/>
    <s v="58mins"/>
    <n v="1588"/>
    <n v="75"/>
    <s v="Net Banking"/>
    <s v="Refunded"/>
    <n v="10"/>
    <x v="3"/>
    <n v="177"/>
  </r>
  <r>
    <x v="305"/>
    <d v="2026-04-04T00:00:00"/>
    <s v="10-03-2024"/>
    <d v="1899-12-30T00:00:00"/>
    <s v="Burger King"/>
    <s v="Kolkata"/>
    <s v="Street Food"/>
    <n v="27"/>
    <n v="3.8"/>
    <s v="67mins"/>
    <n v="1887"/>
    <n v="0.1"/>
    <s v="Credit Card"/>
    <s v="Delivered"/>
    <n v="7"/>
    <x v="4"/>
    <n v="70"/>
  </r>
  <r>
    <x v="306"/>
    <d v="2026-04-19T00:00:00"/>
    <s v="05-05-2024"/>
    <d v="1899-12-30T00:00:00"/>
    <s v="Subway"/>
    <s v="Chennai"/>
    <s v="South Indian, North Indian"/>
    <n v="45"/>
    <n v="1.4"/>
    <s v="34mins"/>
    <n v="500"/>
    <n v="0.15"/>
    <s v="Debit Card"/>
    <s v="Refunded"/>
    <n v="5"/>
    <x v="5"/>
    <m/>
  </r>
  <r>
    <x v="3"/>
    <d v="2026-07-27T00:00:00"/>
    <s v="19-02-2024"/>
    <d v="1899-12-30T00:00:00"/>
    <s v="Paradise Biryani"/>
    <s v="Lucknow"/>
    <s v="Bakery"/>
    <n v="49"/>
    <n v="3.8"/>
    <s v="15 mins"/>
    <n v="2148"/>
    <n v="100"/>
    <s v="Debit Card"/>
    <s v="Delivered"/>
    <n v="5"/>
    <x v="1"/>
    <n v="31"/>
  </r>
  <r>
    <x v="307"/>
    <d v="2026-05-04T00:00:00"/>
    <s v="31-01-2024"/>
    <d v="1899-12-30T00:00:00"/>
    <s v="Paradise Biryani"/>
    <s v="Chennai"/>
    <s v="South Indian"/>
    <n v="37"/>
    <n v="1.8"/>
    <s v="19mins"/>
    <n v="987"/>
    <n v="0.1"/>
    <s v="Upi"/>
    <s v="Delivered"/>
    <n v="6"/>
    <x v="4"/>
    <n v="239"/>
  </r>
  <r>
    <x v="308"/>
    <d v="2026-03-06T00:00:00"/>
    <s v="31-05-2024"/>
    <d v="1899-12-30T00:00:00"/>
    <s v="Unknown"/>
    <s v="Unknown"/>
    <s v="Bakery"/>
    <n v="47"/>
    <n v="3.4"/>
    <s v="35 mins"/>
    <n v="2107"/>
    <n v="0.1"/>
    <s v="Credit Card"/>
    <s v="Failed"/>
    <n v="1"/>
    <x v="6"/>
    <n v="55"/>
  </r>
  <r>
    <x v="309"/>
    <d v="2026-06-07T00:00:00"/>
    <s v="12-06-2024"/>
    <d v="1899-12-30T00:00:00"/>
    <s v="Barbeque Nation"/>
    <s v="Hyderabad"/>
    <s v="Biryani"/>
    <n v="52"/>
    <n v="1.5"/>
    <s v="50mins"/>
    <n v="1989"/>
    <n v="0"/>
    <s v="Credit Card"/>
    <s v="Delivered"/>
    <n v="2"/>
    <x v="0"/>
    <n v="92"/>
  </r>
  <r>
    <x v="310"/>
    <d v="2026-11-25T00:00:00"/>
    <s v="05-21-2024"/>
    <d v="1899-12-30T18:49:00"/>
    <s v="Kfc"/>
    <s v="Hyderabad"/>
    <s v="South Indian"/>
    <n v="34"/>
    <n v="5"/>
    <s v="67mins"/>
    <n v="2456"/>
    <n v="0.5"/>
    <s v="Debit Card"/>
    <s v="Refunded"/>
    <n v="9"/>
    <x v="3"/>
    <n v="43"/>
  </r>
  <r>
    <x v="311"/>
    <d v="2026-03-12T00:00:00"/>
    <s v="01-02-2024"/>
    <d v="1899-12-30T00:00:00"/>
    <s v="Chai Point"/>
    <s v="Jaipur"/>
    <s v="Street Food"/>
    <n v="60"/>
    <n v="4.5999999999999996"/>
    <s v="20mins"/>
    <n v="862"/>
    <n v="0"/>
    <s v="Debit Card"/>
    <s v="Unknown"/>
    <n v="1"/>
    <x v="4"/>
    <n v="45"/>
  </r>
  <r>
    <x v="312"/>
    <d v="2026-01-24T00:00:00"/>
    <s v="04-03-2024"/>
    <d v="1899-12-30T00:00:00"/>
    <s v="Barbeque Nation"/>
    <s v="Delhi"/>
    <s v="Street Food"/>
    <n v="54"/>
    <n v="4.0999999999999996"/>
    <s v="50 mins"/>
    <n v="686"/>
    <n v="100"/>
    <s v="Credit Card"/>
    <s v="Delivered"/>
    <n v="10"/>
    <x v="0"/>
    <m/>
  </r>
  <r>
    <x v="313"/>
    <d v="2026-02-19T00:00:00"/>
    <s v="07-10-2024"/>
    <d v="1899-12-30T08:38:00"/>
    <s v="Chai Point"/>
    <s v="Bangalore"/>
    <s v="North Indian"/>
    <n v="25"/>
    <n v="3.6"/>
    <s v="16mins"/>
    <n v="1104"/>
    <n v="50"/>
    <s v="Wallet"/>
    <s v="Delivered"/>
    <n v="4"/>
    <x v="1"/>
    <n v="18"/>
  </r>
  <r>
    <x v="314"/>
    <d v="2026-02-19T00:00:00"/>
    <s v="05-05-2024"/>
    <d v="1899-12-30T00:00:00"/>
    <s v="Unknown"/>
    <s v="Ahmedabad"/>
    <s v="Mughlai"/>
    <n v="36"/>
    <n v="2.7"/>
    <s v="15 mins"/>
    <n v="1990"/>
    <n v="75"/>
    <s v="Debit Card"/>
    <s v="Refunded"/>
    <n v="8"/>
    <x v="2"/>
    <n v="178"/>
  </r>
  <r>
    <x v="315"/>
    <d v="2026-11-19T00:00:00"/>
    <s v="05-21-2024"/>
    <d v="1899-12-30T17:23:00"/>
    <s v="Barbeque Nation"/>
    <s v="Kolkata"/>
    <s v="Unknown"/>
    <n v="24"/>
    <n v="2.1"/>
    <s v="38mins"/>
    <n v="1614"/>
    <n v="0"/>
    <s v="Upi"/>
    <s v="Delivered"/>
    <n v="5"/>
    <x v="1"/>
    <n v="186"/>
  </r>
  <r>
    <x v="316"/>
    <d v="2026-12-15T00:00:00"/>
    <s v="03-06-2024"/>
    <d v="1899-12-30T00:00:00"/>
    <s v="Haldiram'S"/>
    <s v="Chennai"/>
    <s v="Mughlai"/>
    <n v="54"/>
    <n v="1.9"/>
    <s v="41mins"/>
    <n v="1232"/>
    <n v="0"/>
    <s v="Wallet"/>
    <s v="Cancelled"/>
    <n v="5"/>
    <x v="0"/>
    <n v="247"/>
  </r>
  <r>
    <x v="317"/>
    <d v="2026-02-26T00:00:00"/>
    <s v="24-01-2024"/>
    <d v="1899-12-30T00:00:00"/>
    <s v="Chai Point"/>
    <s v="Hyderabad"/>
    <s v="North Indian"/>
    <n v="39"/>
    <n v="3"/>
    <s v="51 mins"/>
    <n v="781"/>
    <n v="0.2"/>
    <s v="Cash On Delivery"/>
    <s v="Unknown"/>
    <n v="3"/>
    <x v="2"/>
    <n v="21"/>
  </r>
  <r>
    <x v="318"/>
    <d v="2026-06-30T00:00:00"/>
    <s v="16-01-2024"/>
    <d v="1899-12-30T00:00:00"/>
    <s v="Chai Point"/>
    <s v="Kolkata"/>
    <s v="Fast Food, Desserts"/>
    <n v="18"/>
    <n v="4.4000000000000004"/>
    <s v="25mins"/>
    <n v="1939"/>
    <n v="0.1"/>
    <s v="Cash On Delivery"/>
    <s v="Delivered"/>
    <n v="10"/>
    <x v="3"/>
    <n v="28"/>
  </r>
  <r>
    <x v="319"/>
    <d v="2026-12-05T00:00:00"/>
    <s v="24-04-2024"/>
    <d v="1899-12-30T00:00:00"/>
    <s v="Paradise Biryani"/>
    <s v="Delhi"/>
    <s v="Mughlai"/>
    <n v="21"/>
    <n v="3.8"/>
    <s v="29mins"/>
    <n v="1453"/>
    <n v="150"/>
    <s v="Wallet"/>
    <s v="Cancelled"/>
    <n v="10"/>
    <x v="3"/>
    <n v="102"/>
  </r>
  <r>
    <x v="320"/>
    <d v="2026-03-29T00:00:00"/>
    <s v="26-03-2024"/>
    <d v="1899-12-30T00:00:00"/>
    <s v="Unknown"/>
    <s v="Ahmedabad"/>
    <s v="Chinese, Fast Food"/>
    <n v="22"/>
    <n v="3.5"/>
    <s v="63 mins"/>
    <n v="886"/>
    <n v="0.2"/>
    <s v="Unknown"/>
    <s v="Delivered"/>
    <n v="1"/>
    <x v="0"/>
    <n v="187"/>
  </r>
  <r>
    <x v="321"/>
    <d v="2026-04-05T00:00:00"/>
    <s v="03-03-2024"/>
    <d v="1899-12-30T00:00:00"/>
    <s v="Kfc"/>
    <s v="Pune"/>
    <s v="Biryani"/>
    <n v="18"/>
    <n v="1.7"/>
    <s v="20mins"/>
    <n v="500"/>
    <n v="100"/>
    <s v="Credit Card"/>
    <s v="Delivered"/>
    <n v="0"/>
    <x v="3"/>
    <n v="203"/>
  </r>
  <r>
    <x v="322"/>
    <d v="2026-09-14T00:00:00"/>
    <s v="13-01-2024"/>
    <d v="1899-12-30T00:00:00"/>
    <s v="Burger King"/>
    <s v="Delhi"/>
    <s v="Fast Food"/>
    <n v="30"/>
    <n v="4.0999999999999996"/>
    <s v="23mins"/>
    <n v="1071"/>
    <n v="50"/>
    <s v="Wallet"/>
    <s v="Delivered"/>
    <n v="7"/>
    <x v="5"/>
    <n v="59"/>
  </r>
  <r>
    <x v="323"/>
    <d v="2026-07-10T00:00:00"/>
    <s v="15-05-2024"/>
    <d v="1899-12-30T00:00:00"/>
    <s v="Burger King"/>
    <s v="Pune"/>
    <s v="Desserts"/>
    <n v="29"/>
    <n v="1.9"/>
    <s v="58mins"/>
    <n v="1413"/>
    <n v="0.1"/>
    <s v="Wallet"/>
    <s v="Refunded"/>
    <n v="9"/>
    <x v="3"/>
    <n v="5"/>
  </r>
  <r>
    <x v="324"/>
    <d v="2026-12-13T00:00:00"/>
    <s v="12-05-2024"/>
    <d v="1899-12-30T00:00:00"/>
    <s v="Burger King"/>
    <s v="Delhi"/>
    <s v="North Indian"/>
    <n v="40"/>
    <n v="3.1"/>
    <s v="30mins"/>
    <n v="1059"/>
    <n v="0.1"/>
    <s v="Upi"/>
    <s v="Delivered"/>
    <n v="10"/>
    <x v="0"/>
    <n v="8"/>
  </r>
  <r>
    <x v="325"/>
    <d v="2026-12-09T00:00:00"/>
    <s v="04-14-2024"/>
    <d v="1899-12-30T01:11:00"/>
    <s v="Haldiram'S"/>
    <s v="Chennai"/>
    <s v="Italian"/>
    <n v="18"/>
    <n v="1.8"/>
    <s v="15 mins"/>
    <n v="2049"/>
    <n v="0.5"/>
    <s v="Upi"/>
    <s v="Delivered"/>
    <n v="8"/>
    <x v="5"/>
    <n v="117"/>
  </r>
  <r>
    <x v="326"/>
    <d v="2026-02-25T00:00:00"/>
    <s v="07-06-2024"/>
    <d v="1899-12-30T00:00:00"/>
    <s v="Kfc"/>
    <s v="Lucknow"/>
    <s v="Bakery"/>
    <n v="48"/>
    <n v="1.1000000000000001"/>
    <s v="41 mins"/>
    <n v="583"/>
    <n v="0.15"/>
    <s v="Net Banking"/>
    <s v="Refunded"/>
    <n v="1"/>
    <x v="1"/>
    <n v="37"/>
  </r>
  <r>
    <x v="327"/>
    <d v="2026-11-17T00:00:00"/>
    <m/>
    <d v="1899-12-30T00:00:00"/>
    <s v="Kfc"/>
    <s v="Delhi"/>
    <s v="Italian, North Indian"/>
    <n v="21"/>
    <n v="1.8"/>
    <s v="26mins"/>
    <n v="2067"/>
    <n v="0.5"/>
    <s v="Upi"/>
    <s v="Cancelled"/>
    <n v="1"/>
    <x v="4"/>
    <n v="109"/>
  </r>
  <r>
    <x v="328"/>
    <d v="2026-02-25T00:00:00"/>
    <s v="23-05-2024"/>
    <d v="1899-12-30T00:00:00"/>
    <s v="Chai Point"/>
    <s v="Delhi"/>
    <s v="Street Food"/>
    <n v="60"/>
    <n v="3.9"/>
    <s v="67mins"/>
    <n v="230"/>
    <n v="0.1"/>
    <s v="Upi"/>
    <s v="Pending"/>
    <n v="10"/>
    <x v="1"/>
    <n v="109"/>
  </r>
  <r>
    <x v="329"/>
    <d v="2026-11-16T00:00:00"/>
    <s v="06-03-2024"/>
    <d v="1899-12-30T00:00:00"/>
    <s v="Subway"/>
    <s v="Lucknow"/>
    <s v="Biryani"/>
    <n v="61"/>
    <n v="4.9000000000000004"/>
    <s v="52mins"/>
    <n v="466"/>
    <n v="150"/>
    <s v="Net Banking"/>
    <s v="Delivered"/>
    <n v="4"/>
    <x v="2"/>
    <n v="197"/>
  </r>
  <r>
    <x v="330"/>
    <d v="2026-08-30T00:00:00"/>
    <s v="17-07-2024"/>
    <d v="1899-12-30T00:00:00"/>
    <s v="Wow! Momo"/>
    <s v="Delhi"/>
    <s v="South Indian"/>
    <n v="29"/>
    <n v="2.2000000000000002"/>
    <s v="44mins"/>
    <n v="1358"/>
    <n v="120"/>
    <s v="Debit Card"/>
    <s v="Delivered"/>
    <n v="1"/>
    <x v="5"/>
    <n v="41"/>
  </r>
  <r>
    <x v="331"/>
    <d v="2026-05-30T00:00:00"/>
    <s v="28-03-2024"/>
    <d v="1899-12-30T00:00:00"/>
    <s v="Barbeque Nation"/>
    <s v="Kolkata"/>
    <s v="Desserts, Chinese"/>
    <n v="18"/>
    <n v="2.7"/>
    <s v="33mins"/>
    <n v="1944"/>
    <n v="0.2"/>
    <s v="Upi"/>
    <s v="Delivered"/>
    <n v="9"/>
    <x v="5"/>
    <n v="70"/>
  </r>
  <r>
    <x v="332"/>
    <d v="2026-06-15T00:00:00"/>
    <s v="10-03-2024"/>
    <d v="1899-12-30T00:00:00"/>
    <s v="Paradise Biryani"/>
    <s v="Ahmedabad"/>
    <s v="Italian"/>
    <n v="23"/>
    <n v="3"/>
    <s v="75mins"/>
    <n v="2316"/>
    <n v="120"/>
    <s v="Wallet"/>
    <s v="Delivered"/>
    <n v="2"/>
    <x v="2"/>
    <n v="51"/>
  </r>
  <r>
    <x v="333"/>
    <d v="2026-09-29T00:00:00"/>
    <s v="13-02-2024"/>
    <d v="1899-12-30T00:00:00"/>
    <s v="Subw@Y"/>
    <s v="Bangalore"/>
    <s v="Unknown"/>
    <n v="45"/>
    <n v="3.1"/>
    <s v="31mins"/>
    <n v="1233"/>
    <n v="100"/>
    <s v="Upi"/>
    <s v="Delivered"/>
    <n v="3"/>
    <x v="3"/>
    <n v="51"/>
  </r>
  <r>
    <x v="334"/>
    <d v="2026-08-25T00:00:00"/>
    <s v="11-03-2024"/>
    <d v="1899-12-30T00:00:00"/>
    <s v="Dominos Pizza"/>
    <s v="Jaipur"/>
    <s v="Mughlai"/>
    <n v="18"/>
    <n v="1.4"/>
    <s v="38mins"/>
    <n v="364"/>
    <n v="100"/>
    <s v="Credit Card"/>
    <s v="Delivered"/>
    <n v="4"/>
    <x v="3"/>
    <n v="90"/>
  </r>
  <r>
    <x v="335"/>
    <d v="2026-07-21T00:00:00"/>
    <s v="27-03-2024"/>
    <d v="1899-12-30T00:00:00"/>
    <s v="Paradise Biryani"/>
    <s v="Lucknow"/>
    <s v="South Indian"/>
    <n v="33"/>
    <n v="3.1"/>
    <s v="16mins"/>
    <n v="500"/>
    <n v="0"/>
    <s v="Wallet"/>
    <s v="Refunded"/>
    <n v="6"/>
    <x v="0"/>
    <n v="68"/>
  </r>
  <r>
    <x v="336"/>
    <d v="2026-03-09T00:00:00"/>
    <s v="06-07-2024"/>
    <d v="1899-12-30T00:00:00"/>
    <s v="Barbeque Nation"/>
    <s v="Ahmedabad"/>
    <s v="Street Food"/>
    <n v="36"/>
    <n v="4.5"/>
    <s v="31mins"/>
    <n v="500"/>
    <n v="0.1"/>
    <s v="Net Banking"/>
    <s v="Delivered"/>
    <n v="9"/>
    <x v="5"/>
    <n v="120"/>
  </r>
  <r>
    <x v="337"/>
    <d v="2026-01-12T00:00:00"/>
    <s v="17-01-2024"/>
    <d v="1899-12-30T00:00:00"/>
    <s v="Kfc"/>
    <s v="Delhi"/>
    <s v="Fast Food"/>
    <n v="52"/>
    <n v="3.6"/>
    <s v="15 mins"/>
    <n v="1585"/>
    <n v="120"/>
    <s v="Upi"/>
    <s v="Delivered"/>
    <n v="10"/>
    <x v="3"/>
    <n v="157"/>
  </r>
  <r>
    <x v="338"/>
    <d v="2026-06-10T00:00:00"/>
    <s v="27-05-2024"/>
    <d v="1899-12-30T00:00:00"/>
    <s v="Unknown"/>
    <s v="Jaipur"/>
    <s v="Fast Food"/>
    <n v="19"/>
    <n v="4.5"/>
    <s v="64mins"/>
    <n v="1027"/>
    <n v="120"/>
    <s v="Unknown"/>
    <s v="Delivered"/>
    <n v="6"/>
    <x v="5"/>
    <n v="93"/>
  </r>
  <r>
    <x v="339"/>
    <d v="2026-07-14T00:00:00"/>
    <s v="05-06-2024"/>
    <d v="1899-12-30T00:00:00"/>
    <s v="Dominos Pizza"/>
    <s v="Kolkata"/>
    <s v="Chinese"/>
    <n v="43"/>
    <n v="1.3"/>
    <s v="56mins"/>
    <n v="564"/>
    <n v="100"/>
    <s v="Credit Card"/>
    <s v="Delivered"/>
    <n v="4"/>
    <x v="5"/>
    <n v="42"/>
  </r>
  <r>
    <x v="340"/>
    <d v="2026-09-24T00:00:00"/>
    <s v="25-02-2024"/>
    <d v="1899-12-30T00:00:00"/>
    <s v="Dominos Pizza"/>
    <s v="Hyderabad"/>
    <s v="North Indian"/>
    <n v="59"/>
    <n v="2.1"/>
    <s v="26mins"/>
    <n v="204"/>
    <n v="120"/>
    <s v="Net Banking"/>
    <s v="Delivered"/>
    <n v="8"/>
    <x v="0"/>
    <n v="199"/>
  </r>
  <r>
    <x v="341"/>
    <d v="2026-01-03T00:00:00"/>
    <s v="11-02-2024"/>
    <d v="1899-12-30T00:00:00"/>
    <s v="Wow! Momo"/>
    <s v="Chennai"/>
    <s v="Mughlai"/>
    <n v="63"/>
    <n v="2.2999999999999998"/>
    <s v="50mins"/>
    <n v="1408"/>
    <n v="75"/>
    <s v="Debit Card"/>
    <s v="Delivered"/>
    <n v="2"/>
    <x v="1"/>
    <n v="35"/>
  </r>
  <r>
    <x v="342"/>
    <d v="2026-03-13T00:00:00"/>
    <s v="03-19-2024"/>
    <d v="1899-12-30T12:42:00"/>
    <s v="Chai Point"/>
    <s v="Mumbai"/>
    <s v="North Indian"/>
    <n v="45"/>
    <n v="1.7"/>
    <s v="34 mins"/>
    <n v="797"/>
    <n v="100"/>
    <s v="Net Banking"/>
    <s v="Cancelled"/>
    <n v="5"/>
    <x v="1"/>
    <n v="37"/>
  </r>
  <r>
    <x v="343"/>
    <d v="2026-07-27T00:00:00"/>
    <s v="04-04-2024"/>
    <d v="1899-12-30T00:00:00"/>
    <s v="Haldiram'S"/>
    <s v="Mumbai"/>
    <s v="Chinese"/>
    <n v="57"/>
    <n v="2.5"/>
    <s v="15 mins"/>
    <n v="334"/>
    <n v="0.15"/>
    <s v="Cash Card"/>
    <s v="Cancelled"/>
    <n v="8"/>
    <x v="2"/>
    <n v="78"/>
  </r>
  <r>
    <x v="344"/>
    <d v="2026-03-09T00:00:00"/>
    <s v="09-06-2024"/>
    <d v="1899-12-30T00:00:00"/>
    <s v="Subway"/>
    <s v="Bangalore"/>
    <s v="Mughlai"/>
    <n v="21"/>
    <n v="1.7"/>
    <s v="30mins"/>
    <n v="1656"/>
    <n v="50"/>
    <s v="Credit Card"/>
    <s v="Delivered"/>
    <n v="1"/>
    <x v="5"/>
    <n v="235"/>
  </r>
  <r>
    <x v="345"/>
    <d v="2026-02-03T00:00:00"/>
    <s v="02-13-2024"/>
    <d v="1899-12-30T03:26:00"/>
    <s v="Kfc"/>
    <s v="Jaipur"/>
    <s v="Desserts"/>
    <n v="31"/>
    <n v="4.8"/>
    <s v="30mins"/>
    <n v="1284"/>
    <n v="100"/>
    <s v="Credit Card"/>
    <s v="Delivered"/>
    <n v="8"/>
    <x v="3"/>
    <n v="215"/>
  </r>
  <r>
    <x v="346"/>
    <d v="2026-05-22T00:00:00"/>
    <s v="01-01-2024"/>
    <d v="1899-12-30T00:00:00"/>
    <s v="Paradise Biryani"/>
    <s v="Lucknow"/>
    <s v="South Indian"/>
    <n v="53"/>
    <n v="3.1"/>
    <s v="16 mins"/>
    <n v="2053"/>
    <n v="0"/>
    <s v="Debit Card"/>
    <s v="Delvrd"/>
    <n v="9"/>
    <x v="4"/>
    <n v="212"/>
  </r>
  <r>
    <x v="3"/>
    <d v="2026-06-21T00:00:00"/>
    <s v="18-03-2024"/>
    <d v="1899-12-30T00:00:00"/>
    <s v="Faasos"/>
    <s v="Delhi"/>
    <s v="Bakery"/>
    <n v="58"/>
    <n v="1.6"/>
    <s v="22 mins"/>
    <n v="2183"/>
    <n v="100"/>
    <s v="Cash On Delivery"/>
    <s v="Delivered"/>
    <n v="3"/>
    <x v="0"/>
    <n v="67"/>
  </r>
  <r>
    <x v="347"/>
    <d v="2026-09-26T00:00:00"/>
    <s v="13-07-2024"/>
    <d v="1899-12-30T00:00:00"/>
    <s v="Dominos Pizza"/>
    <s v="Hyderabad"/>
    <s v="Fast Food"/>
    <n v="24"/>
    <n v="4.0999999999999996"/>
    <s v="20 mins"/>
    <n v="797"/>
    <n v="150"/>
    <s v="Net Banking"/>
    <s v="Refunded"/>
    <n v="3"/>
    <x v="0"/>
    <n v="151"/>
  </r>
  <r>
    <x v="348"/>
    <d v="2026-05-04T00:00:00"/>
    <m/>
    <d v="1899-12-30T00:00:00"/>
    <s v="Dominos Pizza"/>
    <s v="Lucknow"/>
    <s v="South Indian"/>
    <n v="40"/>
    <n v="3.2"/>
    <s v="31mins"/>
    <n v="500"/>
    <n v="150"/>
    <s v="Unknown"/>
    <s v="Delivered"/>
    <n v="3"/>
    <x v="4"/>
    <n v="60"/>
  </r>
  <r>
    <x v="349"/>
    <d v="2026-09-09T00:00:00"/>
    <s v="04-03-2024"/>
    <d v="1899-12-30T00:00:00"/>
    <s v="H@Ldir@M'S"/>
    <s v="Delhi"/>
    <s v="Street Food"/>
    <n v="44"/>
    <n v="1.4"/>
    <s v="26mins"/>
    <n v="1284"/>
    <n v="0"/>
    <s v="Upi"/>
    <s v="Delivered"/>
    <n v="2"/>
    <x v="5"/>
    <m/>
  </r>
  <r>
    <x v="350"/>
    <d v="2026-01-17T00:00:00"/>
    <s v="28-04-2024"/>
    <d v="1899-12-30T00:00:00"/>
    <s v="Bikanervala"/>
    <s v="Ahmedabad"/>
    <s v="Unknown"/>
    <n v="29"/>
    <n v="4.4000000000000004"/>
    <s v="72mins"/>
    <n v="1134"/>
    <n v="0.1"/>
    <s v="Credit Card"/>
    <s v="Cancelled"/>
    <n v="10"/>
    <x v="4"/>
    <n v="230"/>
  </r>
  <r>
    <x v="351"/>
    <d v="2026-09-30T00:00:00"/>
    <s v="21-04-2024"/>
    <d v="1899-12-30T00:00:00"/>
    <s v="Chai Point"/>
    <s v="Unknown"/>
    <s v="Biryani"/>
    <n v="55"/>
    <n v="2.5"/>
    <s v="22 mins"/>
    <n v="240"/>
    <n v="0"/>
    <s v="Unknown"/>
    <s v="Refunded"/>
    <n v="2"/>
    <x v="1"/>
    <n v="153"/>
  </r>
  <r>
    <x v="352"/>
    <d v="2026-07-19T00:00:00"/>
    <s v="19-06-2024"/>
    <d v="1899-12-30T00:00:00"/>
    <s v="Unknown"/>
    <s v="Lucknow"/>
    <s v="Bakery"/>
    <n v="43"/>
    <n v="3.1"/>
    <s v="43mins"/>
    <n v="1662"/>
    <n v="150"/>
    <s v="Upi"/>
    <s v="Refunded"/>
    <n v="3"/>
    <x v="2"/>
    <n v="80"/>
  </r>
  <r>
    <x v="353"/>
    <d v="2026-05-30T00:00:00"/>
    <s v="14-07-2024"/>
    <d v="1899-12-30T00:00:00"/>
    <s v="Dominos Pizza"/>
    <s v="Lucknow"/>
    <s v="North Indian"/>
    <n v="60"/>
    <n v="1.9"/>
    <s v="44 mins"/>
    <n v="2071"/>
    <n v="0.1"/>
    <s v="Cash On Delivery"/>
    <s v="Delivered"/>
    <n v="9"/>
    <x v="0"/>
    <n v="168"/>
  </r>
  <r>
    <x v="354"/>
    <d v="2026-01-28T00:00:00"/>
    <s v="22-05-2024"/>
    <d v="1899-12-30T00:00:00"/>
    <s v="Subway"/>
    <s v="Pune"/>
    <s v="Italian"/>
    <n v="33"/>
    <n v="4.7"/>
    <s v="49mins"/>
    <n v="1198"/>
    <n v="0"/>
    <s v="Upi"/>
    <s v="Cancelled"/>
    <n v="7"/>
    <x v="5"/>
    <n v="86"/>
  </r>
  <r>
    <x v="355"/>
    <d v="2026-06-24T00:00:00"/>
    <s v="16-05-2024"/>
    <d v="1899-12-30T00:00:00"/>
    <s v="Wow! Momo"/>
    <s v="Kolkata"/>
    <s v="Street Food"/>
    <n v="22"/>
    <n v="1.3"/>
    <s v="29mins"/>
    <n v="1516"/>
    <n v="75"/>
    <s v="Wallet"/>
    <s v="Cancelled"/>
    <n v="7"/>
    <x v="0"/>
    <n v="66"/>
  </r>
  <r>
    <x v="356"/>
    <d v="2026-03-02T00:00:00"/>
    <s v="08-06-2024"/>
    <d v="1899-12-30T00:00:00"/>
    <s v="Faasos"/>
    <s v="Lucknow"/>
    <s v="Italian"/>
    <n v="54"/>
    <n v="4.5999999999999996"/>
    <s v="36 mins"/>
    <n v="1520"/>
    <n v="0"/>
    <s v="Upi"/>
    <s v="Cancelled"/>
    <n v="6"/>
    <x v="2"/>
    <n v="149"/>
  </r>
  <r>
    <x v="357"/>
    <d v="2026-12-02T00:00:00"/>
    <s v="23-06-2024"/>
    <d v="1899-12-30T00:00:00"/>
    <s v="Chai Point"/>
    <s v="Chennai"/>
    <s v="South Indian"/>
    <n v="49"/>
    <n v="2.5"/>
    <s v="15 mins"/>
    <n v="1681"/>
    <n v="75"/>
    <s v="Net Banking"/>
    <s v="Delivered"/>
    <n v="9"/>
    <x v="3"/>
    <n v="64"/>
  </r>
  <r>
    <x v="358"/>
    <d v="2026-02-01T00:00:00"/>
    <s v="20-03-2024"/>
    <d v="1899-12-30T00:00:00"/>
    <s v="Kfc"/>
    <s v="Ahmedabad"/>
    <s v="Chinese"/>
    <n v="33"/>
    <n v="2.5"/>
    <s v="63mins"/>
    <n v="1984"/>
    <n v="0.5"/>
    <s v="Debit Card"/>
    <s v="Refunded"/>
    <n v="1"/>
    <x v="1"/>
    <n v="202"/>
  </r>
  <r>
    <x v="359"/>
    <d v="2026-03-30T00:00:00"/>
    <s v="14-07-2024"/>
    <d v="1899-12-30T00:00:00"/>
    <s v="Paradise Biryani"/>
    <s v="Lucknow"/>
    <s v="South Indian"/>
    <n v="50"/>
    <n v="2"/>
    <s v="64mins"/>
    <n v="500"/>
    <n v="120"/>
    <s v="Upi"/>
    <s v="Delivered"/>
    <n v="2"/>
    <x v="2"/>
    <n v="38"/>
  </r>
  <r>
    <x v="360"/>
    <d v="2026-08-08T00:00:00"/>
    <s v="10-03-2024"/>
    <d v="1899-12-30T00:00:00"/>
    <s v="Behrouz Biryani"/>
    <s v="Mumbai"/>
    <s v="Chinese"/>
    <n v="32"/>
    <n v="3.8"/>
    <s v="21mins"/>
    <n v="1218"/>
    <n v="50"/>
    <s v="Debit Card"/>
    <s v="Cancelled"/>
    <n v="9"/>
    <x v="5"/>
    <n v="168"/>
  </r>
  <r>
    <x v="361"/>
    <d v="2026-03-10T00:00:00"/>
    <s v="19-04-2024"/>
    <d v="1899-12-30T00:00:00"/>
    <s v="Kfc"/>
    <s v="Mumbai"/>
    <s v="Mughlai"/>
    <n v="49"/>
    <n v="3.5"/>
    <s v="25mins"/>
    <n v="1193"/>
    <n v="0.15"/>
    <s v="Credit Card"/>
    <s v="Failed"/>
    <n v="2"/>
    <x v="4"/>
    <n v="99"/>
  </r>
  <r>
    <x v="362"/>
    <d v="2026-03-01T00:00:00"/>
    <s v="04-03-2024"/>
    <d v="1899-12-30T00:00:00"/>
    <s v="Behrouz Biryani"/>
    <s v="Hyderabad"/>
    <s v="Biryani"/>
    <n v="18"/>
    <n v="2.5"/>
    <s v="28mins"/>
    <n v="1345"/>
    <n v="0.5"/>
    <s v="Net Banking"/>
    <s v="Refunded"/>
    <n v="6"/>
    <x v="5"/>
    <n v="95"/>
  </r>
  <r>
    <x v="363"/>
    <d v="2026-08-31T00:00:00"/>
    <s v="05-01-2024"/>
    <d v="1899-12-30T20:34:00"/>
    <s v="Paradise Biryani"/>
    <s v="Chennai"/>
    <s v="Mughlai"/>
    <n v="42"/>
    <n v="3.3"/>
    <s v="80mins"/>
    <n v="1968"/>
    <n v="120"/>
    <s v="Upi"/>
    <s v="Cancelled"/>
    <n v="3"/>
    <x v="5"/>
    <n v="50"/>
  </r>
  <r>
    <x v="364"/>
    <d v="2026-09-21T00:00:00"/>
    <s v="07-04-2024"/>
    <d v="1899-12-30T00:00:00"/>
    <s v="Barbeque Nation"/>
    <s v="Bangalore"/>
    <s v="Fast Food"/>
    <n v="43"/>
    <n v="1.6"/>
    <s v="41mins"/>
    <n v="2460"/>
    <n v="0"/>
    <s v="Wallet"/>
    <s v="Delivered"/>
    <n v="3"/>
    <x v="6"/>
    <n v="148"/>
  </r>
  <r>
    <x v="365"/>
    <d v="2026-12-19T00:00:00"/>
    <m/>
    <d v="1899-12-30T00:00:00"/>
    <s v="Burger King"/>
    <s v="Bombay"/>
    <s v="Italian"/>
    <n v="18"/>
    <n v="2.6"/>
    <s v="26mins"/>
    <n v="1807"/>
    <n v="50"/>
    <s v="Unknown"/>
    <s v="Delivered"/>
    <n v="10"/>
    <x v="5"/>
    <m/>
  </r>
  <r>
    <x v="366"/>
    <d v="2026-11-19T00:00:00"/>
    <s v="26-04-2024"/>
    <d v="1899-12-30T00:00:00"/>
    <s v="Wow! Momo"/>
    <s v="Mumbai"/>
    <s v="Bakery"/>
    <n v="39"/>
    <n v="4.9000000000000004"/>
    <s v="46 mins"/>
    <n v="1207"/>
    <n v="50"/>
    <s v="Cash On Delivery"/>
    <s v="Delivered"/>
    <n v="3"/>
    <x v="5"/>
    <n v="53"/>
  </r>
  <r>
    <x v="367"/>
    <d v="2026-10-04T00:00:00"/>
    <s v="22-04-2024"/>
    <d v="1899-12-30T00:00:00"/>
    <s v="Barbeque Nation"/>
    <s v="Pune"/>
    <s v="Mughlai"/>
    <n v="50"/>
    <n v="2.2000000000000002"/>
    <s v="52mins"/>
    <n v="660"/>
    <n v="120"/>
    <s v="Cash On Delivery"/>
    <s v="Delivered"/>
    <n v="8"/>
    <x v="0"/>
    <n v="237"/>
  </r>
  <r>
    <x v="368"/>
    <d v="2026-05-30T00:00:00"/>
    <s v="01-05-2024"/>
    <d v="1899-12-30T00:00:00"/>
    <s v="Wow! Momo"/>
    <s v="Kolkata"/>
    <s v="Bakery"/>
    <n v="31"/>
    <n v="4.0999999999999996"/>
    <s v="71mins"/>
    <n v="729"/>
    <n v="75"/>
    <s v="Credit Card"/>
    <s v="Delivered"/>
    <n v="10"/>
    <x v="3"/>
    <n v="3"/>
  </r>
  <r>
    <x v="369"/>
    <d v="2026-11-04T00:00:00"/>
    <s v="18-03-2024"/>
    <d v="1899-12-30T00:00:00"/>
    <s v="Dominos Pizza"/>
    <s v="Calcutta"/>
    <s v="Desserts"/>
    <n v="43"/>
    <n v="3.5"/>
    <s v="61mins"/>
    <n v="2407"/>
    <n v="150"/>
    <s v="Upi"/>
    <s v="Refunded"/>
    <n v="1"/>
    <x v="1"/>
    <n v="3"/>
  </r>
  <r>
    <x v="370"/>
    <d v="2026-12-29T00:00:00"/>
    <s v="09-05-2024"/>
    <d v="1899-12-30T00:00:00"/>
    <s v="Unknown"/>
    <s v="Chennai"/>
    <s v="Italian"/>
    <n v="18"/>
    <n v="2.5"/>
    <s v="67 mins"/>
    <n v="2309"/>
    <n v="150"/>
    <s v="Credit Card"/>
    <s v="Cancelled"/>
    <n v="10"/>
    <x v="5"/>
    <n v="28"/>
  </r>
  <r>
    <x v="371"/>
    <d v="2026-07-21T00:00:00"/>
    <s v="21-01-2024"/>
    <d v="1899-12-30T00:00:00"/>
    <s v="Dominos Pizza"/>
    <s v="Lucknow"/>
    <s v="North Indian, Mughlai"/>
    <n v="46"/>
    <n v="4.4000000000000004"/>
    <s v="21mins"/>
    <n v="2335"/>
    <n v="75"/>
    <s v="Unknown"/>
    <s v="Cancelled"/>
    <n v="7"/>
    <x v="5"/>
    <n v="240"/>
  </r>
  <r>
    <x v="3"/>
    <d v="2026-10-11T00:00:00"/>
    <s v="25-06-2024"/>
    <d v="1899-12-30T00:00:00"/>
    <s v="Burger King"/>
    <s v="Jaipur"/>
    <s v="South Indian"/>
    <n v="59"/>
    <n v="3.5"/>
    <s v="60mins"/>
    <n v="944"/>
    <n v="150"/>
    <s v="Net Banking"/>
    <s v="Delivered"/>
    <n v="10"/>
    <x v="6"/>
    <n v="74"/>
  </r>
  <r>
    <x v="372"/>
    <d v="2026-04-19T00:00:00"/>
    <s v="20-05-2024"/>
    <d v="1899-12-30T00:00:00"/>
    <s v="Subway"/>
    <s v="Hyderabad"/>
    <s v="Fast Food"/>
    <n v="36"/>
    <n v="3.8"/>
    <s v="43mins"/>
    <n v="169"/>
    <n v="50"/>
    <s v="Debit Card"/>
    <s v="Delivered"/>
    <n v="5"/>
    <x v="2"/>
    <n v="45"/>
  </r>
  <r>
    <x v="373"/>
    <d v="2026-10-03T00:00:00"/>
    <s v="17-02-2024"/>
    <d v="1899-12-30T00:00:00"/>
    <s v="Behrouz Biryani"/>
    <s v="Bombay"/>
    <s v="North Indian"/>
    <n v="18"/>
    <n v="3.5"/>
    <s v="67mins"/>
    <n v="1335"/>
    <n v="0.1"/>
    <s v="Upi"/>
    <s v="Delivered"/>
    <n v="8"/>
    <x v="5"/>
    <n v="104"/>
  </r>
  <r>
    <x v="374"/>
    <d v="2026-03-25T00:00:00"/>
    <s v="17-02-2024"/>
    <d v="1899-12-30T00:00:00"/>
    <s v="Behrouz Biryani"/>
    <s v="Hyderabad"/>
    <s v="North Indian"/>
    <n v="22"/>
    <n v="4.9000000000000004"/>
    <s v="31mins"/>
    <n v="123"/>
    <n v="0"/>
    <s v="Debit Card"/>
    <s v="Delivered"/>
    <n v="2"/>
    <x v="1"/>
    <n v="24"/>
  </r>
  <r>
    <x v="375"/>
    <d v="2026-02-02T00:00:00"/>
    <s v="13-05-2024"/>
    <d v="1899-12-30T00:00:00"/>
    <s v="Unknown"/>
    <s v="Chennai"/>
    <s v="Street Food"/>
    <n v="64"/>
    <n v="2.2999999999999998"/>
    <s v="75mins"/>
    <n v="519"/>
    <n v="0.6"/>
    <s v="Upi"/>
    <s v="Cancelled"/>
    <n v="4"/>
    <x v="0"/>
    <n v="231"/>
  </r>
  <r>
    <x v="376"/>
    <d v="2026-01-25T00:00:00"/>
    <s v="10-05-2024"/>
    <d v="1899-12-30T00:00:00"/>
    <s v="Burger King"/>
    <s v="Ahmedabad"/>
    <s v="Street Food"/>
    <n v="32"/>
    <n v="4.8"/>
    <s v="20 mins"/>
    <n v="780"/>
    <n v="0.15"/>
    <s v="Wallet"/>
    <s v="Delivered"/>
    <n v="10"/>
    <x v="3"/>
    <n v="142"/>
  </r>
  <r>
    <x v="377"/>
    <d v="2026-12-17T00:00:00"/>
    <s v="11-06-2024"/>
    <d v="1899-12-30T00:00:00"/>
    <s v="Burger King"/>
    <s v="Ahmedabad"/>
    <s v="South Indian"/>
    <n v="26"/>
    <n v="2.7"/>
    <s v="67mins"/>
    <n v="723"/>
    <n v="0"/>
    <s v="Debit Card"/>
    <s v="Delivered"/>
    <n v="2"/>
    <x v="3"/>
    <m/>
  </r>
  <r>
    <x v="378"/>
    <d v="2026-06-01T00:00:00"/>
    <s v="16-04-2024"/>
    <d v="1899-12-30T00:00:00"/>
    <s v="Faasos"/>
    <s v="Lucknow"/>
    <s v="Street Food"/>
    <n v="65"/>
    <n v="2.1"/>
    <s v="65mins"/>
    <n v="506"/>
    <n v="50"/>
    <s v="Upi"/>
    <s v="Delivered"/>
    <n v="7"/>
    <x v="4"/>
    <n v="214"/>
  </r>
  <r>
    <x v="379"/>
    <d v="2026-08-28T00:00:00"/>
    <s v="22-01-2024"/>
    <d v="1899-12-30T00:00:00"/>
    <s v="Subway"/>
    <s v="Kolkata"/>
    <s v="Italian"/>
    <n v="63"/>
    <n v="2.7"/>
    <s v="15 mins"/>
    <n v="1660"/>
    <n v="50"/>
    <s v="Credit Card"/>
    <s v="Delivered"/>
    <n v="7"/>
    <x v="1"/>
    <n v="33"/>
  </r>
  <r>
    <x v="380"/>
    <d v="2026-07-07T00:00:00"/>
    <s v="02-08-2024"/>
    <d v="1899-12-30T03:27:00"/>
    <s v="Wow! Momo"/>
    <s v="Lucknow"/>
    <s v="Italian"/>
    <n v="23"/>
    <n v="3.3"/>
    <s v="43mins"/>
    <n v="598"/>
    <n v="0.15"/>
    <s v="Wallet"/>
    <s v="Cancelled"/>
    <n v="4"/>
    <x v="2"/>
    <m/>
  </r>
  <r>
    <x v="381"/>
    <d v="2026-01-03T00:00:00"/>
    <s v="29-06-2024"/>
    <d v="1899-12-30T00:00:00"/>
    <s v="Wow! Momo"/>
    <s v="Kolkata"/>
    <s v="Bakery"/>
    <n v="63"/>
    <n v="4.2"/>
    <s v="57mins"/>
    <n v="2374"/>
    <n v="0.2"/>
    <s v="Net Banking"/>
    <s v="Delivered"/>
    <n v="7"/>
    <x v="2"/>
    <n v="22"/>
  </r>
  <r>
    <x v="3"/>
    <d v="2026-08-07T00:00:00"/>
    <s v="27-06-2024"/>
    <d v="1899-12-30T00:00:00"/>
    <s v="Chai Point"/>
    <s v="Pune"/>
    <s v="Bakery"/>
    <n v="33"/>
    <n v="2.5"/>
    <s v="50mins"/>
    <n v="445"/>
    <n v="0"/>
    <s v="Debit Card"/>
    <s v="Delivered"/>
    <n v="10"/>
    <x v="2"/>
    <n v="231"/>
  </r>
  <r>
    <x v="382"/>
    <d v="2026-08-21T00:00:00"/>
    <s v="03-20-2024"/>
    <d v="1899-12-30T07:17:00"/>
    <s v="Bikanervala"/>
    <s v="Bombay"/>
    <s v="Street Food"/>
    <n v="40"/>
    <n v="1.6"/>
    <s v="38 mins"/>
    <n v="1857"/>
    <n v="120"/>
    <s v="Debit Card"/>
    <s v="Refunded"/>
    <n v="9"/>
    <x v="4"/>
    <n v="135"/>
  </r>
  <r>
    <x v="383"/>
    <d v="2026-09-08T00:00:00"/>
    <s v="13-06-2024"/>
    <d v="1899-12-30T00:00:00"/>
    <s v="Unknown"/>
    <s v="Jaipur"/>
    <s v="Fast Food"/>
    <n v="43"/>
    <n v="2.6"/>
    <s v="15 mins"/>
    <n v="385"/>
    <n v="0"/>
    <s v="Wallet"/>
    <s v="Delivered"/>
    <n v="9"/>
    <x v="1"/>
    <n v="224"/>
  </r>
  <r>
    <x v="384"/>
    <d v="2026-03-26T00:00:00"/>
    <s v="17-01-2024"/>
    <d v="1899-12-30T00:00:00"/>
    <s v="P@R@Dise Biry@Ni"/>
    <s v="Kolkata"/>
    <s v="Chinese"/>
    <n v="28"/>
    <n v="1.8"/>
    <s v="54 mins"/>
    <n v="943"/>
    <n v="100"/>
    <s v="Credit Card"/>
    <s v="Cancelled"/>
    <n v="4"/>
    <x v="5"/>
    <n v="123"/>
  </r>
  <r>
    <x v="385"/>
    <d v="2026-12-13T00:00:00"/>
    <s v="01-03-2024"/>
    <d v="1899-12-30T00:00:00"/>
    <s v="Faasos"/>
    <s v="Jaipur"/>
    <s v="Mughlai"/>
    <n v="40"/>
    <n v="1.9"/>
    <s v="79mins"/>
    <n v="500"/>
    <n v="0.1"/>
    <s v="Net Banking"/>
    <s v="Cancelled"/>
    <n v="9"/>
    <x v="2"/>
    <m/>
  </r>
  <r>
    <x v="386"/>
    <d v="2026-02-14T00:00:00"/>
    <s v="31-03-2024"/>
    <d v="1899-12-30T00:00:00"/>
    <s v="Wow! Momo"/>
    <s v="Bangalore"/>
    <s v="Italian"/>
    <n v="43"/>
    <n v="2.2999999999999998"/>
    <s v="31mins"/>
    <n v="465"/>
    <n v="150"/>
    <s v="Credit Card"/>
    <s v="Delivered"/>
    <n v="3"/>
    <x v="5"/>
    <n v="164"/>
  </r>
  <r>
    <x v="387"/>
    <d v="2026-11-19T00:00:00"/>
    <s v="10-06-2024"/>
    <d v="1899-12-30T00:00:00"/>
    <s v="Kfc"/>
    <s v="Chennai"/>
    <s v="Chinese"/>
    <n v="33"/>
    <n v="3.6"/>
    <s v="49mins"/>
    <n v="1064"/>
    <n v="0.15"/>
    <s v="Upi"/>
    <s v="Refunded"/>
    <n v="1"/>
    <x v="1"/>
    <n v="22"/>
  </r>
  <r>
    <x v="388"/>
    <d v="2026-07-19T00:00:00"/>
    <s v="12-04-2024"/>
    <d v="1899-12-30T00:00:00"/>
    <s v="Behrouz Biryani"/>
    <s v="Ahmedabad"/>
    <s v="Fast Food"/>
    <n v="64"/>
    <n v="1.3"/>
    <s v="58mins"/>
    <n v="905"/>
    <n v="150"/>
    <s v="Upi"/>
    <s v="Delivered"/>
    <n v="3"/>
    <x v="0"/>
    <n v="35"/>
  </r>
  <r>
    <x v="389"/>
    <d v="2026-11-23T00:00:00"/>
    <s v="01-04-2024"/>
    <d v="1899-12-30T02:25:00"/>
    <s v="Faasos"/>
    <s v="Mumbai"/>
    <s v="Italian"/>
    <n v="47"/>
    <n v="3.3"/>
    <s v="42mins"/>
    <n v="297"/>
    <n v="50"/>
    <s v="Upi"/>
    <s v="Delivered"/>
    <n v="0"/>
    <x v="5"/>
    <n v="96"/>
  </r>
  <r>
    <x v="390"/>
    <d v="2026-01-18T00:00:00"/>
    <s v="12-06-2024"/>
    <d v="1899-12-30T00:00:00"/>
    <s v="Faasos"/>
    <s v="Lucknow"/>
    <s v="Unknown"/>
    <n v="64"/>
    <n v="3.5"/>
    <s v="22 mins"/>
    <n v="464"/>
    <n v="75"/>
    <s v="Upi"/>
    <s v="Refunded"/>
    <n v="8"/>
    <x v="0"/>
    <n v="59"/>
  </r>
  <r>
    <x v="391"/>
    <d v="2026-09-29T00:00:00"/>
    <s v="19-06-2024"/>
    <d v="1899-12-30T00:00:00"/>
    <s v="Burger King"/>
    <s v="Mumbai"/>
    <s v="Italian, Desserts"/>
    <n v="18"/>
    <n v="2.4"/>
    <s v="75mins"/>
    <n v="594"/>
    <n v="0.2"/>
    <s v="Net Banking"/>
    <s v="Delivered"/>
    <n v="3"/>
    <x v="3"/>
    <n v="12"/>
  </r>
  <r>
    <x v="392"/>
    <d v="2026-07-24T00:00:00"/>
    <s v="15-02-2024"/>
    <d v="1899-12-30T00:00:00"/>
    <s v="Barbeque Nation"/>
    <s v="Hyderabad"/>
    <s v="Street Food"/>
    <n v="43"/>
    <n v="2.1"/>
    <s v="46mins"/>
    <n v="831"/>
    <n v="0.2"/>
    <s v="Wallet"/>
    <s v="Refunded"/>
    <n v="10"/>
    <x v="2"/>
    <n v="153"/>
  </r>
  <r>
    <x v="393"/>
    <d v="2026-08-09T00:00:00"/>
    <s v="27-02-2024"/>
    <d v="1899-12-30T00:00:00"/>
    <s v="Subway"/>
    <s v="Jaipur"/>
    <s v="Street Food"/>
    <n v="54"/>
    <n v="3.1"/>
    <s v="49mins"/>
    <n v="357"/>
    <n v="120"/>
    <s v="Cash On Delivery"/>
    <s v="Delivered"/>
    <n v="9"/>
    <x v="5"/>
    <n v="179"/>
  </r>
  <r>
    <x v="394"/>
    <d v="2026-10-02T00:00:00"/>
    <m/>
    <d v="1899-12-30T00:00:00"/>
    <s v="Unknown"/>
    <s v="Kolkata"/>
    <s v="South Indian"/>
    <n v="27"/>
    <n v="4.5"/>
    <s v="64 mins"/>
    <n v="393"/>
    <n v="100"/>
    <s v="Debit Card"/>
    <s v="Delivered"/>
    <n v="1"/>
    <x v="3"/>
    <n v="54"/>
  </r>
  <r>
    <x v="395"/>
    <d v="2026-06-27T00:00:00"/>
    <s v="29-06-2024"/>
    <d v="1899-12-30T00:00:00"/>
    <s v="Dominos Pizza"/>
    <s v="Hyderabad"/>
    <s v="Chinese"/>
    <n v="60"/>
    <n v="1.1000000000000001"/>
    <s v="34 mins"/>
    <n v="1209"/>
    <n v="150"/>
    <s v="Unknown"/>
    <s v="Cancelled"/>
    <n v="7"/>
    <x v="3"/>
    <n v="181"/>
  </r>
  <r>
    <x v="396"/>
    <d v="2026-12-05T00:00:00"/>
    <s v="06-02-2024"/>
    <d v="1899-12-30T00:00:00"/>
    <s v="Subway"/>
    <s v="Mumbai"/>
    <s v="Biryani"/>
    <n v="38"/>
    <n v="2.5"/>
    <s v="65 mins"/>
    <n v="2003"/>
    <n v="0"/>
    <s v="Credit Card"/>
    <s v="Delivered"/>
    <n v="3"/>
    <x v="2"/>
    <n v="29"/>
  </r>
  <r>
    <x v="3"/>
    <d v="2026-03-29T00:00:00"/>
    <s v="05-01-2024"/>
    <d v="1899-12-30T00:00:00"/>
    <s v="Chai Point"/>
    <s v="Hyderabad"/>
    <s v="South Indian"/>
    <n v="18"/>
    <n v="2.7"/>
    <s v="59mins"/>
    <n v="1907"/>
    <n v="0"/>
    <s v="Credit Card"/>
    <s v="Cancelled"/>
    <n v="5"/>
    <x v="4"/>
    <n v="9"/>
  </r>
  <r>
    <x v="397"/>
    <d v="2026-04-08T00:00:00"/>
    <s v="18-05-2024"/>
    <d v="1899-12-30T00:00:00"/>
    <s v="Ch@I P0Int"/>
    <s v="Ahmedabad"/>
    <s v="Fast Food"/>
    <n v="64"/>
    <n v="4.3"/>
    <s v="74mins"/>
    <n v="1857"/>
    <n v="100"/>
    <s v="Wallet"/>
    <s v="Delivered"/>
    <n v="3"/>
    <x v="5"/>
    <n v="99"/>
  </r>
  <r>
    <x v="398"/>
    <d v="2026-01-09T00:00:00"/>
    <s v="06-22-2024"/>
    <d v="1899-12-30T16:00:00"/>
    <s v="Kfc"/>
    <s v="Delhi"/>
    <s v="Italian"/>
    <n v="64"/>
    <n v="4.8"/>
    <s v="39mins"/>
    <n v="1194"/>
    <n v="0"/>
    <s v="Credit Card"/>
    <s v="Delivered"/>
    <n v="6"/>
    <x v="1"/>
    <m/>
  </r>
  <r>
    <x v="399"/>
    <d v="2026-07-16T00:00:00"/>
    <s v="19-01-2024"/>
    <d v="1899-12-30T00:00:00"/>
    <s v="Paradise Biryani"/>
    <s v="Hyderabad"/>
    <s v="Bakery"/>
    <n v="25"/>
    <n v="1.7"/>
    <s v="46 mins"/>
    <n v="2370"/>
    <n v="0.6"/>
    <s v="Cash On Delivery"/>
    <s v="Refunded"/>
    <n v="6"/>
    <x v="1"/>
    <n v="133"/>
  </r>
  <r>
    <x v="400"/>
    <d v="2026-09-03T00:00:00"/>
    <s v="07-07-2024"/>
    <d v="1899-12-30T00:03:00"/>
    <s v="Dominos Pizza"/>
    <s v="Delhi"/>
    <s v="Bakery"/>
    <n v="18"/>
    <n v="4.4000000000000004"/>
    <s v="63mins"/>
    <n v="1943"/>
    <n v="0"/>
    <s v="Debit Card"/>
    <s v="Delivered"/>
    <n v="4"/>
    <x v="2"/>
    <n v="24"/>
  </r>
  <r>
    <x v="401"/>
    <d v="2026-07-08T00:00:00"/>
    <s v="01-07-2024"/>
    <d v="1899-12-30T22:03:00"/>
    <s v="Kfc"/>
    <s v="Delhi"/>
    <s v="Chinese"/>
    <n v="27"/>
    <n v="4.3"/>
    <s v="62mins"/>
    <n v="1903"/>
    <n v="0"/>
    <s v="Wallet"/>
    <s v="Delivered"/>
    <n v="1"/>
    <x v="0"/>
    <n v="28"/>
  </r>
  <r>
    <x v="402"/>
    <d v="2026-01-18T00:00:00"/>
    <s v="15-02-2024"/>
    <d v="1899-12-30T00:00:00"/>
    <s v="Wow! Momo"/>
    <s v="Chennai"/>
    <s v="Bakery"/>
    <n v="46"/>
    <n v="3.8"/>
    <s v="44 mins"/>
    <n v="1920"/>
    <n v="50"/>
    <s v="Net Banking"/>
    <s v="Delivered"/>
    <n v="4"/>
    <x v="2"/>
    <n v="166"/>
  </r>
  <r>
    <x v="403"/>
    <d v="2026-05-14T00:00:00"/>
    <s v="18-05-2024"/>
    <d v="1899-12-30T00:00:00"/>
    <s v="Paradise Biryani"/>
    <s v="Delhi"/>
    <s v="Fast Food"/>
    <n v="52"/>
    <n v="3.9"/>
    <s v="72 mins"/>
    <n v="565"/>
    <n v="0"/>
    <s v="Net Banking"/>
    <s v="Delivered"/>
    <n v="2"/>
    <x v="6"/>
    <n v="169"/>
  </r>
  <r>
    <x v="404"/>
    <d v="2026-02-08T00:00:00"/>
    <s v="11-06-2024"/>
    <d v="1899-12-30T00:00:00"/>
    <s v="Faasos"/>
    <s v="Lucknow"/>
    <s v="Street Food"/>
    <n v="52"/>
    <n v="3.2"/>
    <s v="78mins"/>
    <n v="544"/>
    <n v="150"/>
    <s v="Credit Card"/>
    <s v="Delivered"/>
    <n v="6"/>
    <x v="3"/>
    <n v="68"/>
  </r>
  <r>
    <x v="405"/>
    <d v="2026-05-12T00:00:00"/>
    <s v="11-02-2024"/>
    <d v="1899-12-30T00:00:00"/>
    <s v="Chai Point"/>
    <s v="Kolkata"/>
    <s v="Mughlai"/>
    <n v="55"/>
    <n v="2.2000000000000002"/>
    <s v="65mins"/>
    <n v="1273"/>
    <n v="120"/>
    <s v="Cash On Delivery"/>
    <s v="Refunded"/>
    <n v="5"/>
    <x v="0"/>
    <n v="121"/>
  </r>
  <r>
    <x v="406"/>
    <d v="2026-10-16T00:00:00"/>
    <s v="03-03-2024"/>
    <d v="1899-12-30T00:00:00"/>
    <s v="Wow! Momo"/>
    <s v="Jaipur"/>
    <s v="Unknown"/>
    <n v="18"/>
    <n v="1.7"/>
    <s v="65mins"/>
    <n v="2204"/>
    <n v="0.1"/>
    <s v="Cash Card"/>
    <s v="Delivered"/>
    <n v="9"/>
    <x v="2"/>
    <n v="38"/>
  </r>
  <r>
    <x v="407"/>
    <d v="2026-07-21T00:00:00"/>
    <s v="18-05-2024"/>
    <d v="1899-12-30T00:00:00"/>
    <s v="Faasos"/>
    <s v="Jaipur"/>
    <s v="South Indian"/>
    <n v="18"/>
    <n v="2.8"/>
    <s v="16mins"/>
    <n v="232"/>
    <n v="150"/>
    <s v="Cash On Delivery"/>
    <s v="Delivered"/>
    <n v="6"/>
    <x v="4"/>
    <n v="173"/>
  </r>
  <r>
    <x v="408"/>
    <d v="2026-02-16T00:00:00"/>
    <s v="16-03-2024"/>
    <d v="1899-12-30T00:00:00"/>
    <s v="Bik@Nerv@L@"/>
    <s v="Mumbai"/>
    <s v="Unknown"/>
    <n v="31"/>
    <n v="4.5999999999999996"/>
    <s v="29 mins"/>
    <n v="766"/>
    <n v="75"/>
    <s v="Credit Card"/>
    <s v="Refunded"/>
    <n v="7"/>
    <x v="5"/>
    <n v="45"/>
  </r>
  <r>
    <x v="409"/>
    <d v="2026-05-09T00:00:00"/>
    <s v="29-03-2024"/>
    <d v="1899-12-30T00:00:00"/>
    <s v="Paradise Biryani"/>
    <s v="Bangalore"/>
    <s v="Chinese"/>
    <n v="19"/>
    <n v="2.2000000000000002"/>
    <s v="53mins"/>
    <n v="1408"/>
    <n v="0.6"/>
    <s v="Credit Card"/>
    <s v="Cancelled"/>
    <n v="2"/>
    <x v="2"/>
    <n v="8"/>
  </r>
  <r>
    <x v="410"/>
    <d v="2026-03-05T00:00:00"/>
    <s v="01-15-2024"/>
    <d v="1899-12-30T00:06:00"/>
    <s v="Subway"/>
    <s v="Ahmedabad"/>
    <s v="Mughlai"/>
    <n v="64"/>
    <n v="2.4"/>
    <s v="56mins"/>
    <n v="1439"/>
    <n v="75"/>
    <s v="Credit Card"/>
    <s v="Refunded"/>
    <n v="8"/>
    <x v="5"/>
    <n v="62"/>
  </r>
  <r>
    <x v="411"/>
    <d v="2026-02-12T00:00:00"/>
    <s v="02-04-2024"/>
    <d v="1899-12-30T00:00:00"/>
    <s v="Burger King"/>
    <s v="Hyderabad"/>
    <s v="Street Food"/>
    <n v="47"/>
    <n v="3.3"/>
    <s v="73mins"/>
    <n v="595"/>
    <n v="50"/>
    <s v="Upi"/>
    <s v="Cancelled"/>
    <n v="2"/>
    <x v="1"/>
    <n v="92"/>
  </r>
  <r>
    <x v="412"/>
    <d v="2026-08-24T00:00:00"/>
    <s v="11-05-2024"/>
    <d v="1899-12-30T00:00:00"/>
    <s v="Barbeque Nation"/>
    <s v="Jaipur"/>
    <s v="Street Food"/>
    <n v="46"/>
    <n v="2.6"/>
    <s v="42mins"/>
    <n v="2325"/>
    <n v="120"/>
    <s v="Upi"/>
    <s v="Delivered"/>
    <n v="7"/>
    <x v="4"/>
    <n v="165"/>
  </r>
  <r>
    <x v="413"/>
    <d v="2026-11-11T00:00:00"/>
    <s v="17-01-2024"/>
    <d v="1899-12-30T00:00:00"/>
    <s v="Subway"/>
    <s v="Pune"/>
    <s v="Bakery"/>
    <n v="52"/>
    <n v="2.4"/>
    <s v="16 mins"/>
    <n v="1384"/>
    <n v="150"/>
    <s v="Debit Card"/>
    <s v="Delivered"/>
    <n v="5"/>
    <x v="4"/>
    <n v="176"/>
  </r>
  <r>
    <x v="414"/>
    <d v="2026-02-08T00:00:00"/>
    <s v="06-20-2024"/>
    <d v="1899-12-30T20:59:00"/>
    <s v="Chai Point"/>
    <s v="Ahmedabad"/>
    <s v="Street Food"/>
    <n v="29"/>
    <n v="2.8"/>
    <s v="24mins"/>
    <n v="2072"/>
    <n v="150"/>
    <s v="Net Banking"/>
    <s v="Delivered"/>
    <n v="5"/>
    <x v="5"/>
    <n v="18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x v="0"/>
    <d v="2026-10-28T00:00:00"/>
    <s v="03-03-2024"/>
    <d v="1899-12-30T00:00:00"/>
    <s v="Haldiram'S"/>
    <s v="Delhi"/>
    <s v="Street Food"/>
    <n v="55"/>
    <n v="4.5"/>
    <s v="35mins"/>
    <n v="1782"/>
    <n v="0.2"/>
    <s v="Upi"/>
    <x v="0"/>
    <n v="7"/>
    <s v="Zomato Valet"/>
    <n v="124"/>
  </r>
  <r>
    <x v="1"/>
    <d v="2026-08-22T00:00:00"/>
    <s v="12-01-2024"/>
    <d v="1899-12-30T00:00:00"/>
    <s v="Burger King"/>
    <s v="Ahmedabad"/>
    <s v="Chinese"/>
    <n v="58"/>
    <n v="3.9"/>
    <s v="39 mins"/>
    <n v="762"/>
    <n v="50"/>
    <s v="Wallet"/>
    <x v="1"/>
    <n v="10"/>
    <s v="In-House"/>
    <n v="51"/>
  </r>
  <r>
    <x v="2"/>
    <d v="2026-06-16T00:00:00"/>
    <s v="04-03-2024"/>
    <d v="1899-12-30T00:00:00"/>
    <s v="Behrouz Biryani"/>
    <s v="Bengaluru"/>
    <s v="Fast Food"/>
    <n v="42"/>
    <n v="2.9"/>
    <s v="16mins"/>
    <n v="1739"/>
    <n v="75"/>
    <s v="Wallet"/>
    <x v="1"/>
    <n v="9"/>
    <s v="Shadowfax"/>
    <n v="126"/>
  </r>
  <r>
    <x v="3"/>
    <d v="2026-12-03T00:00:00"/>
    <s v="21-05-2024"/>
    <d v="1899-12-30T00:00:00"/>
    <s v="Bikanervala"/>
    <s v="Chennai"/>
    <s v="Chinese"/>
    <n v="33"/>
    <n v="4.2"/>
    <s v="21 mins"/>
    <n v="1688"/>
    <n v="150"/>
    <s v="Upi"/>
    <x v="1"/>
    <n v="4"/>
    <s v="Shadowfax"/>
    <n v="19"/>
  </r>
  <r>
    <x v="4"/>
    <d v="2026-04-04T00:00:00"/>
    <s v="20-05-2024"/>
    <d v="1899-12-30T00:00:00"/>
    <s v="Wow! Momo"/>
    <s v="Bangalore"/>
    <s v="North Indian, Italian"/>
    <n v="47"/>
    <n v="3.8"/>
    <s v="77mins"/>
    <n v="488"/>
    <n v="120"/>
    <s v="Wallet"/>
    <x v="1"/>
    <n v="1"/>
    <s v="Rapido"/>
    <n v="116"/>
  </r>
  <r>
    <x v="5"/>
    <d v="2026-03-31T00:00:00"/>
    <s v="25-05-2024"/>
    <d v="1899-12-30T00:00:00"/>
    <s v="Bikanervala"/>
    <s v="Kolkata"/>
    <s v="Italian"/>
    <n v="22"/>
    <n v="2.5"/>
    <s v="27mins"/>
    <n v="294"/>
    <n v="0.2"/>
    <s v="Upi"/>
    <x v="1"/>
    <n v="9"/>
    <s v="Zomato Valet"/>
    <n v="227"/>
  </r>
  <r>
    <x v="6"/>
    <d v="2026-11-09T00:00:00"/>
    <s v="28-01-2024"/>
    <d v="1899-12-30T00:00:00"/>
    <s v="Burger King"/>
    <s v="Kolkata"/>
    <s v="North Indian"/>
    <n v="18"/>
    <n v="3.5"/>
    <s v="71mins"/>
    <n v="1433"/>
    <n v="0"/>
    <s v="Upi"/>
    <x v="1"/>
    <n v="3"/>
    <s v="Zomato Valet"/>
    <n v="183"/>
  </r>
  <r>
    <x v="7"/>
    <d v="2026-06-06T00:00:00"/>
    <s v="04-03-2024"/>
    <d v="1899-12-30T00:00:00"/>
    <s v="Wow! Momo"/>
    <s v="Hyderabad"/>
    <s v="Unknown"/>
    <n v="39"/>
    <n v="2.6"/>
    <s v="46mins"/>
    <n v="755"/>
    <n v="0.1"/>
    <s v="Cash On Delivery"/>
    <x v="2"/>
    <n v="4"/>
    <s v="Grab"/>
    <n v="239"/>
  </r>
  <r>
    <x v="8"/>
    <d v="2026-08-20T00:00:00"/>
    <s v="17-05-2024"/>
    <d v="1899-12-30T00:00:00"/>
    <s v="Haldiram'S"/>
    <s v="Delhi"/>
    <s v="Desserts"/>
    <n v="30"/>
    <n v="3.8"/>
    <s v="15 mins"/>
    <n v="2323"/>
    <n v="150"/>
    <s v="Wallet"/>
    <x v="1"/>
    <n v="5"/>
    <s v="Rapido"/>
    <n v="53"/>
  </r>
  <r>
    <x v="9"/>
    <d v="2026-04-25T00:00:00"/>
    <s v="04-07-2024"/>
    <d v="1899-12-30T23:07:00"/>
    <s v="B@Rbeque N@Ti0N"/>
    <s v="Kolkata"/>
    <s v="Desserts"/>
    <n v="65"/>
    <n v="1.3"/>
    <s v="57mins"/>
    <n v="342"/>
    <n v="0.2"/>
    <s v="Cash Card"/>
    <x v="1"/>
    <n v="10"/>
    <s v="Shadowfax"/>
    <n v="52"/>
  </r>
  <r>
    <x v="10"/>
    <d v="2026-10-22T00:00:00"/>
    <s v="07-16-2024"/>
    <d v="1899-12-30T03:38:00"/>
    <s v="Dominos Pizza"/>
    <s v="Hyderabad"/>
    <s v="Mughlai"/>
    <n v="46"/>
    <n v="3.9"/>
    <s v="72mins"/>
    <n v="2255"/>
    <n v="75"/>
    <s v="Credit Card"/>
    <x v="1"/>
    <n v="5"/>
    <s v="Shadowfax"/>
    <n v="98"/>
  </r>
  <r>
    <x v="11"/>
    <d v="2026-04-07T00:00:00"/>
    <s v="29-06-2024"/>
    <d v="1899-12-30T00:00:00"/>
    <s v="Subway"/>
    <s v="Pune"/>
    <s v="Bakery, Desserts"/>
    <n v="42"/>
    <n v="4.8"/>
    <s v="43mins"/>
    <n v="1282"/>
    <n v="100"/>
    <s v="Debit Card"/>
    <x v="1"/>
    <n v="7"/>
    <s v="Rapido"/>
    <n v="132"/>
  </r>
  <r>
    <x v="12"/>
    <d v="2026-03-27T00:00:00"/>
    <s v="07-04-2024"/>
    <d v="1899-12-30T00:00:00"/>
    <s v="Kfc"/>
    <s v="Pune"/>
    <s v="Street Food"/>
    <n v="59"/>
    <n v="2.5"/>
    <s v="15 mins"/>
    <n v="709"/>
    <n v="50"/>
    <s v="Credit Card"/>
    <x v="1"/>
    <n v="10"/>
    <s v="In-House"/>
    <n v="26"/>
  </r>
  <r>
    <x v="13"/>
    <d v="2026-10-24T00:00:00"/>
    <s v="27-05-2024"/>
    <d v="1899-12-30T00:00:00"/>
    <s v="Subway"/>
    <s v="Hyderabad"/>
    <s v="Bakery"/>
    <n v="18"/>
    <n v="3.6"/>
    <s v="56 mins"/>
    <n v="932"/>
    <n v="0"/>
    <s v="Cash On Delivery"/>
    <x v="3"/>
    <n v="5"/>
    <s v="Rapido"/>
    <n v="80"/>
  </r>
  <r>
    <x v="14"/>
    <d v="2026-06-24T00:00:00"/>
    <s v="03-03-2024"/>
    <d v="1899-12-30T00:00:00"/>
    <s v="Paradise Biryani"/>
    <s v="Delhi"/>
    <s v="Desserts"/>
    <n v="35"/>
    <n v="3.1"/>
    <s v="30 mins"/>
    <n v="1834"/>
    <n v="150"/>
    <s v="Cash On Delivery"/>
    <x v="1"/>
    <n v="10"/>
    <s v="Dunzo"/>
    <n v="60"/>
  </r>
  <r>
    <x v="15"/>
    <d v="2026-02-04T00:00:00"/>
    <s v="24-06-2024"/>
    <d v="1899-12-30T00:00:00"/>
    <s v="Chai Point"/>
    <s v="Jaipur"/>
    <s v="Chinese"/>
    <n v="55"/>
    <n v="2.2000000000000002"/>
    <s v="27mins"/>
    <n v="2375"/>
    <n v="0.1"/>
    <s v="Credit Card"/>
    <x v="1"/>
    <n v="4"/>
    <s v="Dunzo"/>
    <n v="70"/>
  </r>
  <r>
    <x v="16"/>
    <d v="2026-03-26T00:00:00"/>
    <s v="06-09-2024"/>
    <d v="1899-12-30T20:07:00"/>
    <s v="Dominos Pizza"/>
    <s v="Bangalore"/>
    <s v="Bakery"/>
    <n v="43"/>
    <n v="3"/>
    <s v="25mins"/>
    <n v="1543"/>
    <n v="120"/>
    <s v="Unknown"/>
    <x v="3"/>
    <n v="1"/>
    <s v="In-House"/>
    <n v="172"/>
  </r>
  <r>
    <x v="17"/>
    <d v="2026-04-24T00:00:00"/>
    <s v="12-03-2024"/>
    <d v="1899-12-30T00:00:00"/>
    <s v="Subway"/>
    <s v="Chennai"/>
    <s v="Italian"/>
    <n v="53"/>
    <n v="2.5"/>
    <s v="31 mins"/>
    <n v="889"/>
    <n v="120"/>
    <s v="Upi"/>
    <x v="3"/>
    <n v="8"/>
    <s v="Zomato Valet"/>
    <n v="226"/>
  </r>
  <r>
    <x v="18"/>
    <d v="2026-03-15T00:00:00"/>
    <s v="06-10-2024"/>
    <d v="1899-12-30T20:46:00"/>
    <s v="Behrouz Biryani"/>
    <s v="Mumbai"/>
    <s v="Mughlai"/>
    <n v="48"/>
    <n v="2"/>
    <s v="64mins"/>
    <n v="574"/>
    <n v="50"/>
    <s v="Upi"/>
    <x v="4"/>
    <n v="10"/>
    <s v="In-House"/>
    <n v="98"/>
  </r>
  <r>
    <x v="19"/>
    <d v="2026-08-01T00:00:00"/>
    <s v="26-04-2024"/>
    <d v="1899-12-30T00:00:00"/>
    <s v="Behrouz Biryani"/>
    <s v="Chennai"/>
    <s v="Italian"/>
    <n v="20"/>
    <n v="4.9000000000000004"/>
    <s v="27mins"/>
    <n v="2201"/>
    <n v="100"/>
    <s v="Upi"/>
    <x v="3"/>
    <n v="10"/>
    <s v="In-House"/>
    <n v="28"/>
  </r>
  <r>
    <x v="20"/>
    <d v="2026-03-21T00:00:00"/>
    <s v="09-06-2024"/>
    <d v="1899-12-30T00:00:00"/>
    <s v="Bikanervala"/>
    <s v="Hyderabad"/>
    <s v="South Indian"/>
    <n v="18"/>
    <n v="2.2000000000000002"/>
    <s v="33mins"/>
    <n v="701"/>
    <n v="50"/>
    <s v="Credit Card"/>
    <x v="3"/>
    <n v="5"/>
    <s v="Grab"/>
    <n v="186"/>
  </r>
  <r>
    <x v="21"/>
    <d v="2026-12-15T00:00:00"/>
    <s v="23-04-2024"/>
    <d v="1899-12-30T00:00:00"/>
    <s v="Burger King"/>
    <s v="Hyderabad"/>
    <s v="Italian"/>
    <n v="60"/>
    <n v="1"/>
    <s v="21mins"/>
    <n v="2287"/>
    <n v="75"/>
    <s v="Credit Card"/>
    <x v="1"/>
    <n v="3"/>
    <s v="In-House"/>
    <n v="67"/>
  </r>
  <r>
    <x v="22"/>
    <d v="2026-12-27T00:00:00"/>
    <s v="03-02-2024"/>
    <d v="1899-12-30T00:00:00"/>
    <s v="Kfc"/>
    <s v="Chennai"/>
    <s v="Biryani"/>
    <n v="39"/>
    <n v="2.9"/>
    <s v="63 mins"/>
    <n v="2420"/>
    <n v="100"/>
    <s v="Net Banking"/>
    <x v="1"/>
    <n v="5"/>
    <s v="Rapido"/>
    <n v="43"/>
  </r>
  <r>
    <x v="23"/>
    <d v="2026-11-02T00:00:00"/>
    <s v="23-05-2024"/>
    <d v="1899-12-30T00:00:00"/>
    <s v="Dominos Pizza"/>
    <s v="Pune"/>
    <s v="North Indian"/>
    <n v="26"/>
    <n v="2.5"/>
    <s v="68mins"/>
    <n v="1518"/>
    <n v="150"/>
    <s v="Upi"/>
    <x v="2"/>
    <n v="4"/>
    <s v="Dunzo"/>
    <n v="100"/>
  </r>
  <r>
    <x v="24"/>
    <d v="2026-03-26T00:00:00"/>
    <s v="18-02-2024"/>
    <d v="1899-12-30T00:00:00"/>
    <s v="Paradise Biryani"/>
    <s v="Delhi"/>
    <s v="Bakery"/>
    <n v="32"/>
    <n v="1.6"/>
    <s v="15mins"/>
    <n v="780"/>
    <n v="120"/>
    <s v="Debit Card"/>
    <x v="5"/>
    <n v="4"/>
    <s v="Rapido"/>
    <n v="63"/>
  </r>
  <r>
    <x v="25"/>
    <d v="2026-08-19T00:00:00"/>
    <s v="05-01-2024"/>
    <d v="1899-12-30T15:18:00"/>
    <s v="Wow! Momo"/>
    <s v="Jaipur"/>
    <s v="Mughlai"/>
    <n v="46"/>
    <n v="1.3"/>
    <s v="23mins"/>
    <n v="420"/>
    <n v="150"/>
    <s v="Debit Card"/>
    <x v="1"/>
    <n v="9"/>
    <s v="In-House"/>
    <n v="213"/>
  </r>
  <r>
    <x v="26"/>
    <d v="2026-12-28T00:00:00"/>
    <s v="05-07-2024"/>
    <d v="1899-12-30T00:00:00"/>
    <s v="Kfc"/>
    <s v="Mumbai"/>
    <s v="Desserts"/>
    <n v="39"/>
    <n v="2.6"/>
    <s v="69mins"/>
    <n v="2186"/>
    <n v="120"/>
    <s v="Debit Card"/>
    <x v="1"/>
    <n v="6"/>
    <s v="Zomato Valet"/>
    <n v="186"/>
  </r>
  <r>
    <x v="27"/>
    <d v="2026-08-11T00:00:00"/>
    <s v="06-06-2024"/>
    <d v="1899-12-30T23:02:00"/>
    <s v="Bik@Nerv@L@"/>
    <s v="Kolkata"/>
    <s v="North Indian"/>
    <n v="65"/>
    <n v="1.1000000000000001"/>
    <s v="42mins"/>
    <n v="1015"/>
    <n v="0.2"/>
    <s v="Wallet"/>
    <x v="1"/>
    <n v="2"/>
    <s v="Dunzo"/>
    <n v="120"/>
  </r>
  <r>
    <x v="28"/>
    <d v="2026-08-30T00:00:00"/>
    <s v="29-03-2024"/>
    <d v="1899-12-30T00:00:00"/>
    <s v="Faasos"/>
    <s v="Pune"/>
    <s v="Chinese"/>
    <n v="38"/>
    <n v="3"/>
    <s v="31mins"/>
    <n v="1025"/>
    <n v="150"/>
    <s v="Debit Card"/>
    <x v="1"/>
    <n v="7"/>
    <s v="Rapido"/>
    <n v="16"/>
  </r>
  <r>
    <x v="29"/>
    <d v="2026-03-09T00:00:00"/>
    <s v="07-06-2024"/>
    <d v="1899-12-30T00:00:00"/>
    <s v="Kfc"/>
    <s v="Jaipur"/>
    <s v="Chinese"/>
    <n v="50"/>
    <n v="4.0999999999999996"/>
    <s v="33mins"/>
    <n v="682"/>
    <n v="0.6"/>
    <s v="Credit Card"/>
    <x v="1"/>
    <n v="10"/>
    <s v="In-House"/>
    <n v="205"/>
  </r>
  <r>
    <x v="30"/>
    <d v="2026-05-09T00:00:00"/>
    <s v="23-04-2024"/>
    <d v="1899-12-30T00:00:00"/>
    <s v="Burger King"/>
    <s v="Delhi"/>
    <s v="South Indian"/>
    <n v="65"/>
    <n v="2.8"/>
    <s v="39mins"/>
    <n v="885"/>
    <n v="0.1"/>
    <s v="Cash On Delivery"/>
    <x v="1"/>
    <n v="8"/>
    <s v="Grab"/>
    <n v="40"/>
  </r>
  <r>
    <x v="31"/>
    <d v="2026-12-29T00:00:00"/>
    <s v="22-06-2024"/>
    <d v="1899-12-30T00:00:00"/>
    <s v="Faasos"/>
    <s v="Pune"/>
    <s v="Bakery"/>
    <n v="40"/>
    <n v="3.6"/>
    <s v="31mins"/>
    <n v="1536"/>
    <n v="0.5"/>
    <s v="Wallet"/>
    <x v="1"/>
    <n v="1"/>
    <s v="Dunzo"/>
    <n v="33"/>
  </r>
  <r>
    <x v="32"/>
    <d v="2026-06-22T00:00:00"/>
    <s v="09-02-2024"/>
    <d v="1899-12-30T00:00:00"/>
    <s v="Haldiram'S"/>
    <s v="Chennai"/>
    <s v="Fast Food"/>
    <n v="28"/>
    <n v="1.2"/>
    <s v="45mins"/>
    <n v="2428"/>
    <n v="100"/>
    <s v="Credit Card"/>
    <x v="1"/>
    <n v="10"/>
    <s v="Grab"/>
    <n v="46"/>
  </r>
  <r>
    <x v="33"/>
    <d v="2026-03-10T00:00:00"/>
    <s v="03-06-2024"/>
    <d v="1899-12-30T00:00:00"/>
    <s v="Bikanervala"/>
    <s v="Jaipur"/>
    <s v="Biryani"/>
    <n v="32"/>
    <n v="4.5"/>
    <s v="68mins"/>
    <n v="247"/>
    <n v="0.1"/>
    <s v="Debit Card"/>
    <x v="2"/>
    <n v="8"/>
    <s v="In-House"/>
    <n v="75"/>
  </r>
  <r>
    <x v="34"/>
    <d v="2026-05-20T00:00:00"/>
    <s v="08-02-2024"/>
    <d v="1899-12-30T00:00:00"/>
    <s v="Chai Point"/>
    <s v="Delhi"/>
    <s v="South Indian"/>
    <n v="18"/>
    <n v="2"/>
    <s v="42 mins"/>
    <n v="124"/>
    <n v="50"/>
    <s v="Wallet"/>
    <x v="1"/>
    <n v="1"/>
    <s v="Grab"/>
    <n v="48"/>
  </r>
  <r>
    <x v="35"/>
    <d v="2026-05-18T00:00:00"/>
    <s v="18-01-2024"/>
    <d v="1899-12-30T00:00:00"/>
    <s v="Faasos"/>
    <s v="Delhi"/>
    <s v="Mughlai"/>
    <n v="63"/>
    <n v="2.8"/>
    <s v="20mins"/>
    <n v="2003"/>
    <n v="0.2"/>
    <s v="Net Banking"/>
    <x v="1"/>
    <n v="1"/>
    <s v="In-House"/>
    <n v="41"/>
  </r>
  <r>
    <x v="36"/>
    <d v="2026-09-28T00:00:00"/>
    <s v="08-04-2024"/>
    <d v="1899-12-30T00:00:00"/>
    <s v="Paradise Biryani"/>
    <s v="Mumbai"/>
    <s v="Bakery"/>
    <n v="38"/>
    <n v="2.2000000000000002"/>
    <s v="69mins"/>
    <n v="517"/>
    <n v="150"/>
    <s v="Debit Card"/>
    <x v="1"/>
    <n v="3"/>
    <s v="Zomato Valet"/>
    <m/>
  </r>
  <r>
    <x v="37"/>
    <d v="2026-01-27T00:00:00"/>
    <s v="03-04-2024"/>
    <d v="1899-12-30T00:00:00"/>
    <s v="Unknown"/>
    <s v="Bangalore"/>
    <s v="South Indian"/>
    <n v="33"/>
    <n v="1.1000000000000001"/>
    <s v="48 mins"/>
    <n v="1041"/>
    <n v="0.2"/>
    <s v="Wallet"/>
    <x v="1"/>
    <n v="3"/>
    <s v="In-House"/>
    <n v="145"/>
  </r>
  <r>
    <x v="38"/>
    <d v="2026-07-04T00:00:00"/>
    <s v="17-01-2024"/>
    <d v="1899-12-30T00:00:00"/>
    <s v="Burger King"/>
    <s v="Chennai"/>
    <s v="Fast Food"/>
    <n v="47"/>
    <n v="3.2"/>
    <s v="26mins"/>
    <n v="276"/>
    <n v="100"/>
    <s v="Net Banking"/>
    <x v="3"/>
    <n v="9"/>
    <s v="Dunzo"/>
    <n v="102"/>
  </r>
  <r>
    <x v="39"/>
    <d v="2026-09-06T00:00:00"/>
    <s v="08-05-2024"/>
    <d v="1899-12-30T00:00:00"/>
    <s v="Wow! Momo"/>
    <s v="Chennai"/>
    <s v="South Indian"/>
    <n v="37"/>
    <n v="1.4"/>
    <s v="34mins"/>
    <n v="527"/>
    <n v="75"/>
    <s v="Net Banking"/>
    <x v="1"/>
    <n v="10"/>
    <s v="Unknown"/>
    <n v="213"/>
  </r>
  <r>
    <x v="40"/>
    <d v="2026-08-05T00:00:00"/>
    <s v="03-03-2024"/>
    <d v="1899-12-30T00:00:00"/>
    <s v="Haldiram'S"/>
    <s v="Chennai"/>
    <s v="Desserts"/>
    <n v="38"/>
    <n v="1.5"/>
    <s v="33mins"/>
    <n v="350"/>
    <n v="0.6"/>
    <s v="Cash On Delivery"/>
    <x v="2"/>
    <n v="3"/>
    <s v="Grab"/>
    <n v="210"/>
  </r>
  <r>
    <x v="41"/>
    <d v="2026-01-15T00:00:00"/>
    <s v="27-04-2024"/>
    <d v="1899-12-30T00:00:00"/>
    <s v="Unknown"/>
    <s v="Kolkata"/>
    <s v="Mughlai, South Indian"/>
    <n v="34"/>
    <n v="4.0999999999999996"/>
    <s v="66mins"/>
    <n v="242"/>
    <n v="0.2"/>
    <s v="Upi"/>
    <x v="1"/>
    <n v="7"/>
    <s v="Dunzo"/>
    <n v="230"/>
  </r>
  <r>
    <x v="42"/>
    <d v="2026-03-19T00:00:00"/>
    <s v="08-05-2024"/>
    <d v="1899-12-30T00:00:00"/>
    <s v="Barbeque Nation"/>
    <s v="Jaipur"/>
    <s v="Italian"/>
    <n v="50"/>
    <n v="3.8"/>
    <s v="17mins"/>
    <n v="997"/>
    <n v="120"/>
    <s v="Debit Card"/>
    <x v="1"/>
    <n v="10"/>
    <s v="Rapido"/>
    <n v="79"/>
  </r>
  <r>
    <x v="43"/>
    <d v="2026-06-16T00:00:00"/>
    <s v="07-04-2024"/>
    <d v="1899-12-30T00:00:00"/>
    <s v="Unknown"/>
    <s v="Mumbai"/>
    <s v="Italian"/>
    <n v="65"/>
    <n v="3.8"/>
    <s v="56mins"/>
    <n v="2496"/>
    <n v="0.15"/>
    <s v="Cash On Delivery"/>
    <x v="2"/>
    <n v="9"/>
    <s v="Dunzo"/>
    <n v="18"/>
  </r>
  <r>
    <x v="44"/>
    <d v="2026-01-24T00:00:00"/>
    <s v="22-03-2024"/>
    <d v="1899-12-30T00:00:00"/>
    <s v="Behrouz Biryani"/>
    <s v="Pune"/>
    <s v="Biryani"/>
    <n v="59"/>
    <n v="2.9"/>
    <s v="49 mins"/>
    <n v="765"/>
    <n v="0.1"/>
    <s v="Net Banking"/>
    <x v="1"/>
    <n v="6"/>
    <s v="In-House"/>
    <n v="35"/>
  </r>
  <r>
    <x v="45"/>
    <d v="2026-03-08T00:00:00"/>
    <s v="16-06-2024"/>
    <d v="1899-12-30T00:00:00"/>
    <s v="Dominos Pizza"/>
    <s v="Mumbai"/>
    <s v="North Indian"/>
    <n v="20"/>
    <n v="2.6"/>
    <s v="52mins"/>
    <n v="500"/>
    <n v="0"/>
    <s v="Debit Card"/>
    <x v="1"/>
    <n v="5"/>
    <s v="Shadowfax"/>
    <n v="161"/>
  </r>
  <r>
    <x v="46"/>
    <d v="2026-12-18T00:00:00"/>
    <s v="03-16-2024"/>
    <d v="1899-12-30T19:22:00"/>
    <s v="Dominos Pizza"/>
    <s v="Jaipur"/>
    <s v="Fast Food"/>
    <n v="46"/>
    <n v="4.8"/>
    <s v="16mins"/>
    <n v="742"/>
    <n v="0.1"/>
    <s v="Cash On Delivery"/>
    <x v="2"/>
    <n v="6"/>
    <s v="Rapido"/>
    <n v="78"/>
  </r>
  <r>
    <x v="47"/>
    <d v="2026-11-06T00:00:00"/>
    <s v="28-06-2024"/>
    <d v="1899-12-30T00:00:00"/>
    <s v="Wow! Momo"/>
    <s v="Lucknow"/>
    <s v="Desserts"/>
    <n v="50"/>
    <n v="3.1"/>
    <s v="69 mins"/>
    <n v="1358"/>
    <n v="0.6"/>
    <s v="Cash On Delivery"/>
    <x v="1"/>
    <n v="9"/>
    <s v="Grab"/>
    <n v="73"/>
  </r>
  <r>
    <x v="3"/>
    <d v="2026-08-26T00:00:00"/>
    <s v="25-02-2024"/>
    <d v="1899-12-30T00:00:00"/>
    <s v="Subway"/>
    <s v="Mumbai"/>
    <s v="Fast Food"/>
    <n v="44"/>
    <n v="4.5999999999999996"/>
    <s v="63mins"/>
    <n v="1014"/>
    <n v="120"/>
    <s v="Credit Card"/>
    <x v="1"/>
    <n v="1"/>
    <s v="Zomato Valet"/>
    <n v="157"/>
  </r>
  <r>
    <x v="48"/>
    <d v="2026-01-28T00:00:00"/>
    <s v="27-04-2024"/>
    <d v="1899-12-30T00:00:00"/>
    <s v="Dominos Pizza"/>
    <s v="Pune"/>
    <s v="Chinese"/>
    <n v="63"/>
    <n v="2"/>
    <s v="15 mins"/>
    <n v="1165"/>
    <n v="0"/>
    <s v="Credit Card"/>
    <x v="1"/>
    <n v="6"/>
    <s v="Shadowfax"/>
    <n v="138"/>
  </r>
  <r>
    <x v="49"/>
    <d v="2026-04-06T00:00:00"/>
    <s v="05-31-2024"/>
    <d v="1899-12-30T05:58:00"/>
    <s v="Subway"/>
    <s v="Pune"/>
    <s v="Fast Food"/>
    <n v="32"/>
    <n v="3.8"/>
    <s v="22mins"/>
    <n v="1458"/>
    <n v="50"/>
    <s v="Cash On Delivery"/>
    <x v="1"/>
    <n v="4"/>
    <s v="Zomato Valet"/>
    <n v="119"/>
  </r>
  <r>
    <x v="50"/>
    <d v="2026-08-01T00:00:00"/>
    <s v="04-07-2024"/>
    <d v="1899-12-30T00:00:00"/>
    <s v="Paradise Biryani"/>
    <s v="Hyderabad"/>
    <s v="Mughlai"/>
    <n v="33"/>
    <n v="4.0999999999999996"/>
    <s v="60mins"/>
    <n v="854"/>
    <n v="100"/>
    <s v="Upi"/>
    <x v="2"/>
    <n v="10"/>
    <s v="Shadowfax"/>
    <n v="103"/>
  </r>
  <r>
    <x v="51"/>
    <d v="2026-06-22T00:00:00"/>
    <s v="20-02-2024"/>
    <d v="1899-12-30T00:00:00"/>
    <s v="Chai Point"/>
    <s v="Kolkata"/>
    <s v="Mughlai"/>
    <n v="52"/>
    <n v="4.7"/>
    <s v="22mins"/>
    <n v="1367"/>
    <n v="0"/>
    <s v="Wallet"/>
    <x v="3"/>
    <n v="1"/>
    <s v="Shadowfax"/>
    <n v="124"/>
  </r>
  <r>
    <x v="52"/>
    <d v="2026-08-25T00:00:00"/>
    <m/>
    <d v="1899-12-30T00:00:00"/>
    <s v="Wow! Momo"/>
    <s v="Jaipur"/>
    <s v="Italian"/>
    <n v="27"/>
    <n v="3.5"/>
    <s v="60mins"/>
    <n v="756"/>
    <n v="0.5"/>
    <s v="Cash On Delivery"/>
    <x v="1"/>
    <n v="2"/>
    <s v="Grab"/>
    <m/>
  </r>
  <r>
    <x v="53"/>
    <d v="2026-05-13T00:00:00"/>
    <s v="03-28-2024"/>
    <d v="1899-12-30T20:39:00"/>
    <s v="Chai Point"/>
    <s v="Kolkata"/>
    <s v="Street Food"/>
    <n v="23"/>
    <n v="2.2000000000000002"/>
    <s v="19 mins"/>
    <n v="315"/>
    <n v="150"/>
    <s v="Credit Card"/>
    <x v="1"/>
    <n v="2"/>
    <s v="Shadowfax"/>
    <n v="104"/>
  </r>
  <r>
    <x v="54"/>
    <d v="2026-12-26T00:00:00"/>
    <s v="21-05-2024"/>
    <d v="1899-12-30T00:00:00"/>
    <s v="Kfc"/>
    <s v="Mumbai"/>
    <s v="Chinese"/>
    <n v="37"/>
    <n v="1.6"/>
    <s v="32 mins"/>
    <n v="1122"/>
    <n v="0"/>
    <s v="Debit Card"/>
    <x v="1"/>
    <n v="7"/>
    <s v="Dunzo"/>
    <n v="205"/>
  </r>
  <r>
    <x v="55"/>
    <d v="2026-11-01T00:00:00"/>
    <s v="15-06-2024"/>
    <d v="1899-12-30T00:00:00"/>
    <s v="Kfc"/>
    <s v="Pune"/>
    <s v="Mughlai"/>
    <n v="43"/>
    <n v="4.7"/>
    <s v="49 mins"/>
    <n v="548"/>
    <n v="0"/>
    <s v="Wallet"/>
    <x v="2"/>
    <n v="7"/>
    <s v="In-House"/>
    <n v="0"/>
  </r>
  <r>
    <x v="56"/>
    <d v="2026-04-26T00:00:00"/>
    <s v="19-01-2024"/>
    <d v="1899-12-30T00:00:00"/>
    <s v="Paradise Biryani"/>
    <s v="Pune"/>
    <s v="Street Food"/>
    <n v="60"/>
    <n v="3.6"/>
    <s v="15 mins"/>
    <n v="2461"/>
    <n v="0.2"/>
    <s v="Cash On Delivery"/>
    <x v="1"/>
    <n v="6"/>
    <s v="Grab"/>
    <n v="148"/>
  </r>
  <r>
    <x v="57"/>
    <d v="2026-08-08T00:00:00"/>
    <s v="16-03-2024"/>
    <d v="1899-12-30T00:00:00"/>
    <s v="Haldiram'S"/>
    <s v="Ahmedabad"/>
    <s v="South Indian"/>
    <n v="63"/>
    <n v="4.4000000000000004"/>
    <s v="36mins"/>
    <n v="2333"/>
    <n v="120"/>
    <s v="Credit Card"/>
    <x v="1"/>
    <n v="7"/>
    <s v="Zomato Valet"/>
    <n v="68"/>
  </r>
  <r>
    <x v="3"/>
    <d v="2026-06-29T00:00:00"/>
    <s v="24-02-2024"/>
    <d v="1899-12-30T00:00:00"/>
    <s v="Behrouz Biryani"/>
    <s v="Jaipur"/>
    <s v="Biryani"/>
    <n v="42"/>
    <n v="3.3"/>
    <s v="73mins"/>
    <n v="1589"/>
    <n v="75"/>
    <s v="Net Banking"/>
    <x v="3"/>
    <n v="9"/>
    <s v="Grab"/>
    <n v="47"/>
  </r>
  <r>
    <x v="58"/>
    <d v="2026-10-07T00:00:00"/>
    <s v="14-06-2024"/>
    <d v="1899-12-30T00:00:00"/>
    <s v="Paradise Biryani"/>
    <s v="Chennai"/>
    <s v="Italian"/>
    <n v="44"/>
    <n v="2.8"/>
    <s v="51 mins"/>
    <n v="193"/>
    <n v="0.2"/>
    <s v="Credit Card"/>
    <x v="1"/>
    <n v="9"/>
    <s v="Dunzo"/>
    <n v="171"/>
  </r>
  <r>
    <x v="59"/>
    <d v="2026-09-11T00:00:00"/>
    <s v="07-07-2024"/>
    <d v="1899-12-30T22:18:00"/>
    <s v="Burger King"/>
    <s v="Mumbai"/>
    <s v="Chinese"/>
    <n v="57"/>
    <n v="1.7"/>
    <s v="28 mins"/>
    <n v="2056"/>
    <n v="120"/>
    <s v="Debit Card"/>
    <x v="2"/>
    <n v="2"/>
    <s v="Shadowfax"/>
    <n v="223"/>
  </r>
  <r>
    <x v="60"/>
    <d v="2026-11-11T00:00:00"/>
    <s v="03-02-2024"/>
    <d v="1899-12-30T00:00:00"/>
    <s v="Kfc"/>
    <s v="Lucknow"/>
    <s v="South Indian"/>
    <n v="35"/>
    <n v="4.5"/>
    <s v="77mins"/>
    <n v="500"/>
    <n v="150"/>
    <s v="Upi"/>
    <x v="2"/>
    <n v="7"/>
    <s v="Shadowfax"/>
    <n v="14"/>
  </r>
  <r>
    <x v="61"/>
    <d v="2026-03-29T00:00:00"/>
    <s v="03-28-2024"/>
    <d v="1899-12-30T23:17:00"/>
    <s v="Bikanervala"/>
    <s v="Bangalore"/>
    <s v="Italian"/>
    <n v="28"/>
    <n v="4.5"/>
    <s v="38 mins"/>
    <n v="716"/>
    <n v="50"/>
    <s v="Upi"/>
    <x v="3"/>
    <n v="4"/>
    <s v="Grab"/>
    <n v="91"/>
  </r>
  <r>
    <x v="62"/>
    <d v="2026-10-07T00:00:00"/>
    <s v="22-03-2024"/>
    <d v="1899-12-30T00:00:00"/>
    <s v="Chai Point"/>
    <s v="Jaipur"/>
    <s v="Mughlai"/>
    <n v="47"/>
    <n v="2.5"/>
    <s v="51 mins"/>
    <n v="1987"/>
    <n v="0.2"/>
    <s v="Net Banking"/>
    <x v="1"/>
    <n v="0"/>
    <s v="Unknown"/>
    <n v="99"/>
  </r>
  <r>
    <x v="46"/>
    <d v="2026-02-09T00:00:00"/>
    <s v="01-01-2024"/>
    <d v="1899-12-30T00:00:00"/>
    <s v="Behrouz Biryani"/>
    <s v="Ahmedabad"/>
    <s v="Biryani"/>
    <n v="62"/>
    <n v="2.8"/>
    <s v="27mins"/>
    <n v="1323"/>
    <n v="0.6"/>
    <s v="Net Banking"/>
    <x v="2"/>
    <n v="6"/>
    <s v="Dunzo"/>
    <n v="231"/>
  </r>
  <r>
    <x v="63"/>
    <d v="2026-05-11T00:00:00"/>
    <s v="28-01-2024"/>
    <d v="1899-12-30T00:00:00"/>
    <s v="Kfc"/>
    <s v="Kolkata"/>
    <s v="Biryani"/>
    <n v="38"/>
    <n v="3.8"/>
    <s v="65mins"/>
    <n v="1342"/>
    <n v="0.15"/>
    <s v="Upi"/>
    <x v="1"/>
    <n v="3"/>
    <s v="Unknown"/>
    <n v="194"/>
  </r>
  <r>
    <x v="64"/>
    <d v="2026-09-05T00:00:00"/>
    <s v="05-04-2024"/>
    <d v="1899-12-30T00:00:00"/>
    <s v="H@Ldir@M'S"/>
    <s v="Mumbai"/>
    <s v="South Indian"/>
    <n v="18"/>
    <n v="1.7"/>
    <s v="65mins"/>
    <n v="1301"/>
    <n v="75"/>
    <s v="Credit Card"/>
    <x v="3"/>
    <n v="5"/>
    <s v="Grab"/>
    <n v="60"/>
  </r>
  <r>
    <x v="65"/>
    <d v="2026-12-06T00:00:00"/>
    <s v="05-14-2024"/>
    <d v="1899-12-30T08:30:00"/>
    <s v="Wow! Momo"/>
    <s v="Jaipur"/>
    <s v="Desserts"/>
    <n v="35"/>
    <n v="2.5"/>
    <s v="60mins"/>
    <n v="1945"/>
    <n v="0"/>
    <s v="Credit Card"/>
    <x v="1"/>
    <n v="7"/>
    <s v="Dunzo"/>
    <n v="23"/>
  </r>
  <r>
    <x v="66"/>
    <d v="2026-05-21T00:00:00"/>
    <m/>
    <d v="1899-12-30T00:00:00"/>
    <s v="Behrouz Biryani"/>
    <s v="Ahmedabad"/>
    <s v="North Indian"/>
    <n v="18"/>
    <n v="1.8"/>
    <s v="60 mins"/>
    <n v="542"/>
    <n v="0"/>
    <s v="Upi"/>
    <x v="1"/>
    <n v="6"/>
    <s v="In-House"/>
    <n v="47"/>
  </r>
  <r>
    <x v="67"/>
    <d v="2026-12-29T00:00:00"/>
    <s v="21-04-2024"/>
    <d v="1899-12-30T00:00:00"/>
    <s v="Faasos"/>
    <s v="Lucknow"/>
    <s v="Fast Food"/>
    <n v="18"/>
    <n v="4.8"/>
    <s v="19mins"/>
    <n v="553"/>
    <n v="120"/>
    <s v="Credit Card"/>
    <x v="2"/>
    <n v="3"/>
    <s v="In-House"/>
    <n v="154"/>
  </r>
  <r>
    <x v="68"/>
    <d v="2026-12-02T00:00:00"/>
    <s v="08-03-2024"/>
    <d v="1899-12-30T00:00:00"/>
    <s v="Haldiram'S"/>
    <s v="Ahmedabad"/>
    <s v="Mughlai"/>
    <n v="54"/>
    <n v="3.7"/>
    <s v="19 mins"/>
    <n v="500"/>
    <n v="0"/>
    <s v="Debit Card"/>
    <x v="1"/>
    <n v="2"/>
    <s v="Dunzo"/>
    <m/>
  </r>
  <r>
    <x v="69"/>
    <d v="2026-06-27T00:00:00"/>
    <s v="21-04-2024"/>
    <d v="1899-12-30T00:00:00"/>
    <s v="Kfc"/>
    <s v="Jaipur"/>
    <s v="North Indian"/>
    <n v="18"/>
    <n v="2.2000000000000002"/>
    <s v="76mins"/>
    <n v="500"/>
    <n v="0.2"/>
    <s v="Upi"/>
    <x v="1"/>
    <n v="9"/>
    <s v="Grab"/>
    <n v="42"/>
  </r>
  <r>
    <x v="70"/>
    <d v="2026-07-14T00:00:00"/>
    <s v="27-02-2024"/>
    <d v="1899-12-30T00:00:00"/>
    <s v="Barbeque Nation"/>
    <s v="Jaipur"/>
    <s v="North Indian"/>
    <n v="48"/>
    <n v="1.9"/>
    <s v="65mins"/>
    <n v="2269"/>
    <n v="120"/>
    <s v="Net Banking"/>
    <x v="1"/>
    <n v="4"/>
    <s v="Unknown"/>
    <n v="54"/>
  </r>
  <r>
    <x v="71"/>
    <d v="2026-09-16T00:00:00"/>
    <s v="07-02-2024"/>
    <d v="1899-12-30T00:00:00"/>
    <s v="Behrouz Biryani"/>
    <s v="Pune"/>
    <s v="North Indian"/>
    <n v="44"/>
    <n v="3.3"/>
    <s v="27mins"/>
    <n v="2321"/>
    <n v="0.2"/>
    <s v="Net Banking"/>
    <x v="1"/>
    <n v="7"/>
    <s v="Shadowfax"/>
    <n v="53"/>
  </r>
  <r>
    <x v="72"/>
    <d v="2026-07-29T00:00:00"/>
    <s v="13-01-2024"/>
    <d v="1899-12-30T00:00:00"/>
    <s v="Unknown"/>
    <s v="Kolkata"/>
    <s v="South Indian"/>
    <n v="38"/>
    <n v="2.7"/>
    <s v="39mins"/>
    <n v="1171"/>
    <n v="100"/>
    <s v="Net Banking"/>
    <x v="3"/>
    <n v="9"/>
    <s v="Unknown"/>
    <n v="16"/>
  </r>
  <r>
    <x v="73"/>
    <d v="2026-11-20T00:00:00"/>
    <s v="26-04-2024"/>
    <d v="1899-12-30T00:00:00"/>
    <s v="Behrouz Biryani"/>
    <s v="Mumbai"/>
    <s v="Mughlai"/>
    <n v="28"/>
    <n v="2"/>
    <s v="26mins"/>
    <n v="798"/>
    <n v="0.6"/>
    <s v="Credit Card"/>
    <x v="2"/>
    <n v="1"/>
    <s v="Grab"/>
    <m/>
  </r>
  <r>
    <x v="74"/>
    <d v="2026-02-16T00:00:00"/>
    <s v="19-03-2024"/>
    <d v="1899-12-30T00:00:00"/>
    <s v="Subway"/>
    <s v="Jaipur"/>
    <s v="Street Food"/>
    <n v="56"/>
    <n v="2.2000000000000002"/>
    <s v="19 mins"/>
    <n v="920"/>
    <n v="0.2"/>
    <s v="Debit Card"/>
    <x v="3"/>
    <n v="10"/>
    <s v="Grab"/>
    <n v="158"/>
  </r>
  <r>
    <x v="75"/>
    <d v="2026-11-09T00:00:00"/>
    <s v="17-04-2024"/>
    <d v="1899-12-30T00:00:00"/>
    <s v="Bikanervala"/>
    <s v="Hyderabad"/>
    <s v="Desserts"/>
    <n v="29"/>
    <n v="2.9"/>
    <s v="38mins"/>
    <n v="2374"/>
    <n v="50"/>
    <s v="Debit Card"/>
    <x v="2"/>
    <n v="2"/>
    <s v="Grab"/>
    <n v="112"/>
  </r>
  <r>
    <x v="76"/>
    <d v="2026-04-08T00:00:00"/>
    <s v="31-01-2024"/>
    <d v="1899-12-30T00:00:00"/>
    <s v="Burger King"/>
    <s v="Chennai"/>
    <s v="Mughlai"/>
    <n v="39"/>
    <n v="1.7"/>
    <s v="15mins"/>
    <n v="1196"/>
    <n v="120"/>
    <s v="Credit Card"/>
    <x v="1"/>
    <n v="8"/>
    <s v="Unknown"/>
    <n v="96"/>
  </r>
  <r>
    <x v="77"/>
    <d v="2026-04-23T00:00:00"/>
    <s v="12-07-2024"/>
    <d v="1899-12-30T00:00:00"/>
    <s v="Unknown"/>
    <s v="Hyderabad"/>
    <s v="South Indian"/>
    <n v="37"/>
    <n v="2.8"/>
    <s v="58mins"/>
    <n v="1152"/>
    <n v="0.5"/>
    <s v="Debit Card"/>
    <x v="5"/>
    <n v="3"/>
    <s v="Shadowfax"/>
    <n v="24"/>
  </r>
  <r>
    <x v="78"/>
    <d v="2026-07-23T00:00:00"/>
    <s v="03-06-2024"/>
    <d v="1899-12-30T18:15:00"/>
    <s v="Ch@I P0Int"/>
    <s v="Mumbai"/>
    <s v="Mughlai"/>
    <n v="18"/>
    <n v="1.4"/>
    <s v="32mins"/>
    <n v="1117"/>
    <n v="120"/>
    <s v="Upi"/>
    <x v="1"/>
    <n v="4"/>
    <s v="Dunzo"/>
    <n v="67"/>
  </r>
  <r>
    <x v="79"/>
    <d v="2026-03-06T00:00:00"/>
    <m/>
    <d v="1899-12-30T00:00:00"/>
    <s v="Faasos"/>
    <s v="Mumbai"/>
    <s v="South Indian"/>
    <n v="34"/>
    <n v="1.4"/>
    <s v="17 mins"/>
    <n v="2148"/>
    <n v="100"/>
    <s v="Wallet"/>
    <x v="1"/>
    <n v="6"/>
    <s v="Grab"/>
    <n v="162"/>
  </r>
  <r>
    <x v="80"/>
    <d v="2026-12-22T00:00:00"/>
    <s v="12-04-2024"/>
    <d v="1899-12-30T00:00:00"/>
    <s v="Subway"/>
    <s v="Bangalore"/>
    <s v="Fast Food"/>
    <n v="46"/>
    <n v="2.5"/>
    <s v="18mins"/>
    <n v="2173"/>
    <n v="50"/>
    <s v="Cash On Delivery"/>
    <x v="1"/>
    <n v="0"/>
    <s v="In-House"/>
    <n v="159"/>
  </r>
  <r>
    <x v="81"/>
    <d v="2026-04-10T00:00:00"/>
    <s v="05-12-2024"/>
    <d v="1899-12-30T17:51:00"/>
    <s v="Chai Point"/>
    <s v="Pune"/>
    <s v="Bakery"/>
    <n v="49"/>
    <n v="1.3"/>
    <s v="45mins"/>
    <n v="908"/>
    <n v="120"/>
    <s v="Wallet"/>
    <x v="1"/>
    <n v="8"/>
    <s v="Dunzo"/>
    <n v="136"/>
  </r>
  <r>
    <x v="82"/>
    <d v="2026-08-21T00:00:00"/>
    <s v="01-01-2024"/>
    <d v="1899-12-30T03:06:00"/>
    <s v="Chai Point"/>
    <s v="Ahmedabad"/>
    <s v="Chinese"/>
    <n v="63"/>
    <n v="3.9"/>
    <s v="63 mins"/>
    <n v="500"/>
    <n v="0.2"/>
    <s v="Net Banking"/>
    <x v="3"/>
    <n v="7"/>
    <s v="Zomato Valet"/>
    <n v="40"/>
  </r>
  <r>
    <x v="83"/>
    <d v="2026-09-17T00:00:00"/>
    <s v="18-02-2024"/>
    <d v="1899-12-30T00:00:00"/>
    <s v="Unknown"/>
    <s v="Lucknow"/>
    <s v="Bakery"/>
    <n v="21"/>
    <n v="2.7"/>
    <s v="80mins"/>
    <n v="1979"/>
    <n v="50"/>
    <s v="Wallet"/>
    <x v="1"/>
    <n v="10"/>
    <s v="In-House"/>
    <n v="238"/>
  </r>
  <r>
    <x v="84"/>
    <d v="2026-01-19T00:00:00"/>
    <s v="04-15-2024"/>
    <d v="1899-12-30T20:33:00"/>
    <s v="Behrouz Biryani"/>
    <s v="Jaipur"/>
    <s v="Biryani"/>
    <n v="29"/>
    <n v="3.8"/>
    <s v="29mins"/>
    <n v="1931"/>
    <n v="150"/>
    <s v="Wallet"/>
    <x v="2"/>
    <n v="0"/>
    <s v="Unknown"/>
    <n v="32"/>
  </r>
  <r>
    <x v="85"/>
    <d v="2026-07-03T00:00:00"/>
    <s v="02-11-2024"/>
    <d v="1899-12-30T09:46:00"/>
    <s v="Barbeque Nation"/>
    <s v="Delhi"/>
    <s v="Street Food"/>
    <n v="62"/>
    <n v="3.7"/>
    <s v="64mins"/>
    <n v="1111"/>
    <n v="120"/>
    <s v="Unknown"/>
    <x v="2"/>
    <n v="8"/>
    <s v="Shadowfax"/>
    <n v="134"/>
  </r>
  <r>
    <x v="86"/>
    <d v="2026-04-21T00:00:00"/>
    <s v="17-07-2024"/>
    <d v="1899-12-30T00:00:00"/>
    <s v="Barbeque Nation"/>
    <s v="Jaipur"/>
    <s v="Biryani"/>
    <n v="39"/>
    <n v="4.7"/>
    <s v="15 mins"/>
    <n v="2330"/>
    <n v="150"/>
    <s v="Net Banking"/>
    <x v="1"/>
    <n v="4"/>
    <s v="Shadowfax"/>
    <n v="27"/>
  </r>
  <r>
    <x v="87"/>
    <d v="2026-05-15T00:00:00"/>
    <s v="24-02-2024"/>
    <d v="1899-12-30T00:00:00"/>
    <s v="Kfc"/>
    <s v="Jaipur"/>
    <s v="Desserts"/>
    <n v="20"/>
    <n v="2.2999999999999998"/>
    <s v="29mins"/>
    <n v="1038"/>
    <n v="0.6"/>
    <s v="Debit Card"/>
    <x v="2"/>
    <n v="2"/>
    <s v="Shadowfax"/>
    <n v="96"/>
  </r>
  <r>
    <x v="88"/>
    <d v="2026-09-18T00:00:00"/>
    <s v="24-02-2024"/>
    <d v="1899-12-30T00:00:00"/>
    <s v="Dominos Pizza"/>
    <s v="Mumbai"/>
    <s v="Unknown"/>
    <n v="29"/>
    <n v="3.2"/>
    <s v="44mins"/>
    <n v="2288"/>
    <n v="100"/>
    <s v="Cash On Delivery"/>
    <x v="1"/>
    <n v="10"/>
    <s v="Zomato Valet"/>
    <n v="226"/>
  </r>
  <r>
    <x v="89"/>
    <d v="2026-03-15T00:00:00"/>
    <s v="01-30-2024"/>
    <d v="1899-12-30T06:11:00"/>
    <s v="Chai Point"/>
    <s v="Ahmedabad"/>
    <s v="South Indian"/>
    <n v="40"/>
    <n v="3.6"/>
    <s v="54 mins"/>
    <n v="286"/>
    <n v="75"/>
    <s v="Net Banking"/>
    <x v="1"/>
    <n v="1"/>
    <s v="Dunzo"/>
    <n v="164"/>
  </r>
  <r>
    <x v="90"/>
    <d v="2026-10-17T00:00:00"/>
    <s v="06-07-2024"/>
    <d v="1899-12-30T00:00:00"/>
    <s v="Paradise Biryani"/>
    <s v="Lucknow"/>
    <s v="Street Food"/>
    <n v="19"/>
    <n v="3.5"/>
    <s v="66mins"/>
    <n v="1951"/>
    <n v="0"/>
    <s v="Debit Card"/>
    <x v="3"/>
    <n v="5"/>
    <s v="Shadowfax"/>
    <n v="51"/>
  </r>
  <r>
    <x v="91"/>
    <d v="2026-01-01T00:00:00"/>
    <s v="06-06-2024"/>
    <d v="1899-12-30T05:39:00"/>
    <s v="Barbeque Nation"/>
    <s v="Bangalore"/>
    <s v="Chinese"/>
    <n v="60"/>
    <n v="4.5999999999999996"/>
    <s v="75mins"/>
    <n v="2305"/>
    <n v="0"/>
    <s v="Wallet"/>
    <x v="2"/>
    <n v="3"/>
    <s v="Grab"/>
    <n v="136"/>
  </r>
  <r>
    <x v="92"/>
    <d v="2026-01-22T00:00:00"/>
    <s v="27-02-2024"/>
    <d v="1899-12-30T00:00:00"/>
    <s v="Kfc"/>
    <s v="Bangalore"/>
    <s v="Biryani"/>
    <n v="25"/>
    <n v="2.7"/>
    <s v="29mins"/>
    <n v="1266"/>
    <n v="0.15"/>
    <s v="Wallet"/>
    <x v="1"/>
    <n v="9"/>
    <s v="Zomato Valet"/>
    <n v="25"/>
  </r>
  <r>
    <x v="93"/>
    <d v="2026-03-12T00:00:00"/>
    <s v="31-01-2024"/>
    <d v="1899-12-30T00:00:00"/>
    <s v="Barbeque Nation"/>
    <s v="Pune"/>
    <s v="Street Food"/>
    <n v="40"/>
    <n v="4"/>
    <s v="27mins"/>
    <n v="1133"/>
    <n v="0"/>
    <s v="Debit Card"/>
    <x v="1"/>
    <n v="2"/>
    <s v="Unknown"/>
    <n v="136"/>
  </r>
  <r>
    <x v="94"/>
    <d v="2026-05-07T00:00:00"/>
    <s v="02-09-2024"/>
    <d v="1899-12-30T14:32:00"/>
    <s v="Burger King"/>
    <s v="Pune"/>
    <s v="Mughlai"/>
    <n v="54"/>
    <n v="3.8"/>
    <s v="30mins"/>
    <n v="1900"/>
    <n v="50"/>
    <s v="Upi"/>
    <x v="1"/>
    <n v="7"/>
    <s v="Unknown"/>
    <n v="50"/>
  </r>
  <r>
    <x v="95"/>
    <d v="2026-10-24T00:00:00"/>
    <s v="17-01-2024"/>
    <d v="1899-12-30T00:00:00"/>
    <s v="Haldiram'S"/>
    <s v="Jaipur"/>
    <s v="Fast Food"/>
    <n v="51"/>
    <n v="1.1000000000000001"/>
    <s v="44mins"/>
    <n v="1584"/>
    <n v="0.1"/>
    <s v="Credit Card"/>
    <x v="1"/>
    <n v="0"/>
    <s v="In-House"/>
    <n v="14"/>
  </r>
  <r>
    <x v="96"/>
    <d v="2026-12-04T00:00:00"/>
    <s v="03-11-2024"/>
    <d v="1899-12-30T07:43:00"/>
    <s v="Dominos Pizza"/>
    <s v="Bangalore"/>
    <s v="Biryani"/>
    <n v="52"/>
    <n v="3.3"/>
    <s v="63mins"/>
    <n v="1460"/>
    <n v="100"/>
    <s v="Wallet"/>
    <x v="1"/>
    <n v="4"/>
    <s v="In-House"/>
    <n v="56"/>
  </r>
  <r>
    <x v="97"/>
    <d v="2026-12-15T00:00:00"/>
    <s v="08-03-2024"/>
    <d v="1899-12-30T00:00:00"/>
    <s v="Subway"/>
    <s v="Ahmedabad"/>
    <s v="Fast Food"/>
    <n v="30"/>
    <n v="2"/>
    <s v="44mins"/>
    <n v="603"/>
    <n v="50"/>
    <s v="Upi"/>
    <x v="1"/>
    <n v="1"/>
    <s v="Grab"/>
    <n v="216"/>
  </r>
  <r>
    <x v="98"/>
    <d v="2026-02-20T00:00:00"/>
    <s v="16-02-2024"/>
    <d v="1899-12-30T00:00:00"/>
    <s v="Dominos Pizza"/>
    <s v="Unknown"/>
    <s v="Desserts"/>
    <n v="62"/>
    <n v="2.2999999999999998"/>
    <s v="15 mins"/>
    <n v="1724"/>
    <n v="0.2"/>
    <s v="Net Banking"/>
    <x v="2"/>
    <n v="8"/>
    <s v="Grab"/>
    <n v="43"/>
  </r>
  <r>
    <x v="99"/>
    <d v="2026-04-07T00:00:00"/>
    <s v="02-03-2024"/>
    <d v="1899-12-30T19:39:00"/>
    <s v="Haldiram'S"/>
    <s v="Hyderabad"/>
    <s v="North Indian"/>
    <n v="51"/>
    <n v="2.2999999999999998"/>
    <s v="47mins"/>
    <n v="1458"/>
    <n v="0.15"/>
    <s v="Upi"/>
    <x v="1"/>
    <n v="9"/>
    <s v="Rapido"/>
    <n v="73"/>
  </r>
  <r>
    <x v="3"/>
    <d v="2026-05-05T00:00:00"/>
    <s v="07-05-2024"/>
    <d v="1899-12-30T08:00:00"/>
    <s v="Behrouz Biryani"/>
    <s v="Mumbai"/>
    <s v="Unknown"/>
    <n v="23"/>
    <n v="3.5"/>
    <s v="74 mins"/>
    <n v="2227"/>
    <n v="0.2"/>
    <s v="Cash On Delivery"/>
    <x v="1"/>
    <n v="8"/>
    <s v="Grab"/>
    <n v="10"/>
  </r>
  <r>
    <x v="100"/>
    <d v="2026-06-30T00:00:00"/>
    <s v="15-02-2024"/>
    <d v="1899-12-30T00:00:00"/>
    <s v="Faasos"/>
    <s v="Jaipur"/>
    <s v="South Indian"/>
    <n v="18"/>
    <n v="4"/>
    <s v="33 mins"/>
    <n v="500"/>
    <n v="100"/>
    <s v="Unknown"/>
    <x v="1"/>
    <n v="9"/>
    <s v="Dunzo"/>
    <n v="64"/>
  </r>
  <r>
    <x v="101"/>
    <d v="2026-08-04T00:00:00"/>
    <s v="06-04-2024"/>
    <d v="1899-12-30T00:00:00"/>
    <s v="Subway"/>
    <s v="Kolkata"/>
    <s v="Italian, Fast Food"/>
    <n v="58"/>
    <n v="2.8"/>
    <s v="77mins"/>
    <n v="500"/>
    <n v="0"/>
    <s v="Unknown"/>
    <x v="1"/>
    <n v="1"/>
    <s v="Shadowfax"/>
    <n v="8"/>
  </r>
  <r>
    <x v="102"/>
    <d v="2026-09-26T00:00:00"/>
    <s v="04-05-2024"/>
    <d v="1899-12-30T15:49:00"/>
    <s v="Bikanervala"/>
    <s v="Pune"/>
    <s v="Biryani"/>
    <n v="33"/>
    <n v="4.9000000000000004"/>
    <s v="17 mins"/>
    <n v="594"/>
    <n v="0"/>
    <s v="Wallet"/>
    <x v="2"/>
    <n v="9"/>
    <s v="Rapido"/>
    <n v="19"/>
  </r>
  <r>
    <x v="103"/>
    <d v="2026-09-16T00:00:00"/>
    <s v="01-29-2024"/>
    <d v="1899-12-30T08:03:00"/>
    <s v="Unknown"/>
    <s v="Kolkata"/>
    <s v="North Indian"/>
    <n v="23"/>
    <n v="3"/>
    <s v="58mins"/>
    <n v="2335"/>
    <n v="0"/>
    <s v="Debit Card"/>
    <x v="3"/>
    <n v="6"/>
    <s v="Grab"/>
    <n v="45"/>
  </r>
  <r>
    <x v="104"/>
    <d v="2026-01-15T00:00:00"/>
    <s v="22-04-2024"/>
    <d v="1899-12-30T00:00:00"/>
    <s v="Behrouz Biryani"/>
    <s v="Ahmedabad"/>
    <s v="Street Food"/>
    <n v="52"/>
    <n v="1"/>
    <s v="63mins"/>
    <n v="1866"/>
    <n v="75"/>
    <s v="Net Banking"/>
    <x v="1"/>
    <n v="9"/>
    <s v="Shadowfax"/>
    <n v="132"/>
  </r>
  <r>
    <x v="105"/>
    <d v="2026-02-23T00:00:00"/>
    <s v="03-02-2024"/>
    <d v="1899-12-30T00:00:00"/>
    <s v="Dominos Pizza"/>
    <s v="Pune"/>
    <s v="Biryani"/>
    <n v="18"/>
    <n v="3.6"/>
    <s v="25mins"/>
    <n v="1234"/>
    <n v="0.5"/>
    <s v="Debit Card"/>
    <x v="1"/>
    <n v="4"/>
    <s v="Rapido"/>
    <n v="95"/>
  </r>
  <r>
    <x v="106"/>
    <d v="2026-10-26T00:00:00"/>
    <s v="09-06-2024"/>
    <d v="1899-12-30T00:00:00"/>
    <s v="Wow! Momo"/>
    <s v="Ahmedabad"/>
    <s v="Fast Food"/>
    <n v="56"/>
    <n v="2.4"/>
    <s v="56mins"/>
    <n v="2131"/>
    <n v="150"/>
    <s v="Debit Card"/>
    <x v="1"/>
    <n v="8"/>
    <s v="Unknown"/>
    <n v="69"/>
  </r>
  <r>
    <x v="3"/>
    <d v="2026-07-15T00:00:00"/>
    <m/>
    <d v="1899-12-30T00:00:00"/>
    <s v="Dominos Pizza"/>
    <s v="Kolkata"/>
    <s v="Bakery, Desserts"/>
    <n v="34"/>
    <n v="3.3"/>
    <s v="66 mins"/>
    <n v="835"/>
    <n v="50"/>
    <s v="Wallet"/>
    <x v="1"/>
    <n v="2"/>
    <s v="Rapido"/>
    <n v="187"/>
  </r>
  <r>
    <x v="107"/>
    <d v="2026-01-30T00:00:00"/>
    <s v="26-03-2024"/>
    <d v="1899-12-30T00:00:00"/>
    <s v="Subway"/>
    <s v="Lucknow"/>
    <s v="North Indian, Street Food"/>
    <n v="38"/>
    <n v="1.9"/>
    <s v="61 mins"/>
    <n v="2494"/>
    <n v="120"/>
    <s v="Net Banking"/>
    <x v="3"/>
    <n v="1"/>
    <s v="Rapido"/>
    <n v="86"/>
  </r>
  <r>
    <x v="108"/>
    <d v="2026-02-14T00:00:00"/>
    <s v="23-05-2024"/>
    <d v="1899-12-30T00:00:00"/>
    <s v="Faasos"/>
    <s v="Hyderabad"/>
    <s v="Bakery"/>
    <n v="38"/>
    <n v="3.6"/>
    <s v="36mins"/>
    <n v="2471"/>
    <n v="100"/>
    <s v="Net Banking"/>
    <x v="3"/>
    <n v="2"/>
    <s v="Zomato Valet"/>
    <n v="125"/>
  </r>
  <r>
    <x v="109"/>
    <d v="2026-09-26T00:00:00"/>
    <s v="20-03-2024"/>
    <d v="1899-12-30T00:00:00"/>
    <s v="Wow! Momo"/>
    <s v="Hyderabad"/>
    <s v="Street Food"/>
    <n v="59"/>
    <n v="4.7"/>
    <s v="30mins"/>
    <n v="558"/>
    <n v="0.1"/>
    <s v="Debit Card"/>
    <x v="1"/>
    <n v="5"/>
    <s v="Shadowfax"/>
    <n v="19"/>
  </r>
  <r>
    <x v="110"/>
    <d v="2026-01-25T00:00:00"/>
    <s v="25-05-2024"/>
    <d v="1899-12-30T00:00:00"/>
    <s v="Dominos Pizza"/>
    <s v="Ahmedabad"/>
    <s v="Desserts"/>
    <n v="32"/>
    <n v="2.5"/>
    <s v="16mins"/>
    <n v="2323"/>
    <n v="0.15"/>
    <s v="Credit Card"/>
    <x v="1"/>
    <n v="4"/>
    <s v="Grab"/>
    <n v="163"/>
  </r>
  <r>
    <x v="111"/>
    <d v="2026-10-14T00:00:00"/>
    <s v="09-07-2024"/>
    <d v="1899-12-30T00:00:00"/>
    <s v="Wow! Momo"/>
    <s v="Bombay"/>
    <s v="Chinese"/>
    <n v="51"/>
    <n v="4.9000000000000004"/>
    <s v="43 mins"/>
    <n v="1067"/>
    <n v="100"/>
    <s v="Credit Card"/>
    <x v="1"/>
    <n v="2"/>
    <s v="In-House"/>
    <n v="113"/>
  </r>
  <r>
    <x v="112"/>
    <d v="2026-06-22T00:00:00"/>
    <m/>
    <d v="1899-12-30T00:00:00"/>
    <s v="Paradise Biryani"/>
    <s v="Kolkata"/>
    <s v="Fast Food"/>
    <n v="41"/>
    <n v="3.8"/>
    <s v="80mins"/>
    <n v="1577"/>
    <n v="0"/>
    <s v="Credit Card"/>
    <x v="3"/>
    <n v="1"/>
    <s v="Grab"/>
    <n v="237"/>
  </r>
  <r>
    <x v="113"/>
    <d v="2026-02-05T00:00:00"/>
    <s v="02-21-2024"/>
    <d v="1899-12-30T00:07:00"/>
    <s v="Unknown"/>
    <s v="Ahmedabad"/>
    <s v="Mughlai"/>
    <n v="23"/>
    <n v="1"/>
    <s v="50mins"/>
    <n v="1595"/>
    <n v="0"/>
    <s v="Cash Card"/>
    <x v="1"/>
    <n v="2"/>
    <s v="Zomato Valet"/>
    <n v="27"/>
  </r>
  <r>
    <x v="114"/>
    <d v="2026-09-19T00:00:00"/>
    <s v="26-05-2024"/>
    <d v="1899-12-30T00:00:00"/>
    <s v="Paradise Biryani"/>
    <s v="Kolkata"/>
    <s v="Italian, Mughlai"/>
    <n v="62"/>
    <n v="2.2999999999999998"/>
    <s v="41mins"/>
    <n v="1776"/>
    <n v="0.6"/>
    <s v="Upi"/>
    <x v="2"/>
    <n v="10"/>
    <s v="Rapido"/>
    <n v="106"/>
  </r>
  <r>
    <x v="115"/>
    <d v="2026-11-22T00:00:00"/>
    <s v="16-02-2024"/>
    <d v="1899-12-30T00:00:00"/>
    <s v="Burger King"/>
    <s v="Mumbai"/>
    <s v="Italian"/>
    <n v="18"/>
    <n v="3.8"/>
    <s v="23mins"/>
    <n v="852"/>
    <n v="0.1"/>
    <s v="Upi"/>
    <x v="1"/>
    <n v="6"/>
    <s v="In-House"/>
    <n v="68"/>
  </r>
  <r>
    <x v="116"/>
    <d v="2026-10-06T00:00:00"/>
    <s v="17-05-2024"/>
    <d v="1899-12-30T00:00:00"/>
    <s v="Subway"/>
    <s v="Lucknow"/>
    <s v="Chinese"/>
    <n v="22"/>
    <n v="2.1"/>
    <s v="15 mins"/>
    <n v="2461"/>
    <n v="120"/>
    <s v="Net Banking"/>
    <x v="2"/>
    <n v="0"/>
    <s v="Grab"/>
    <n v="43"/>
  </r>
  <r>
    <x v="117"/>
    <d v="2026-05-23T00:00:00"/>
    <s v="14-02-2024"/>
    <d v="1899-12-30T00:00:00"/>
    <s v="Bik@Nerv@L@"/>
    <s v="Ahmedabad"/>
    <s v="Mughlai"/>
    <n v="24"/>
    <n v="4.8"/>
    <s v="31mins"/>
    <n v="500"/>
    <n v="0.6"/>
    <s v="Unknown"/>
    <x v="1"/>
    <n v="8"/>
    <s v="Zomato Valet"/>
    <m/>
  </r>
  <r>
    <x v="118"/>
    <d v="2026-11-07T00:00:00"/>
    <s v="23-02-2024"/>
    <d v="1899-12-30T00:00:00"/>
    <s v="Burger King"/>
    <s v="Bangalore"/>
    <s v="Street Food"/>
    <n v="27"/>
    <n v="4.2"/>
    <s v="36mins"/>
    <n v="290"/>
    <n v="0.5"/>
    <s v="Upi"/>
    <x v="1"/>
    <n v="10"/>
    <s v="Rapido"/>
    <n v="67"/>
  </r>
  <r>
    <x v="119"/>
    <d v="2026-01-13T00:00:00"/>
    <s v="13-07-2024"/>
    <d v="1899-12-30T00:00:00"/>
    <s v="Haldiram'S"/>
    <s v="Ahmedabad"/>
    <s v="Mughlai"/>
    <n v="34"/>
    <n v="2.6"/>
    <s v="57mins"/>
    <n v="1997"/>
    <n v="0"/>
    <s v="Upi"/>
    <x v="3"/>
    <n v="9"/>
    <s v="Zomato Valet"/>
    <n v="45"/>
  </r>
  <r>
    <x v="120"/>
    <d v="2026-07-19T00:00:00"/>
    <s v="28-04-2024"/>
    <d v="1899-12-30T00:00:00"/>
    <s v="Dominos Pizza"/>
    <s v="Chennai"/>
    <s v="Italian"/>
    <n v="60"/>
    <n v="4.7"/>
    <s v="77mins"/>
    <n v="392"/>
    <n v="0.1"/>
    <s v="Cash On Delivery"/>
    <x v="1"/>
    <n v="6"/>
    <s v="Grab"/>
    <n v="8"/>
  </r>
  <r>
    <x v="121"/>
    <d v="2026-07-31T00:00:00"/>
    <s v="01-01-2024"/>
    <d v="1899-12-30T05:00:00"/>
    <s v="Paradise Biryani"/>
    <s v="Chennai"/>
    <s v="Italian"/>
    <n v="57"/>
    <n v="2.6"/>
    <s v="33 mins"/>
    <n v="269"/>
    <n v="0"/>
    <s v="Wallet"/>
    <x v="2"/>
    <n v="7"/>
    <s v="In-House"/>
    <n v="46"/>
  </r>
  <r>
    <x v="122"/>
    <d v="2026-02-19T00:00:00"/>
    <s v="18-02-2024"/>
    <d v="1899-12-30T00:00:00"/>
    <s v="Kfc"/>
    <s v="Unknown"/>
    <s v="North Indian"/>
    <n v="26"/>
    <n v="3.6"/>
    <s v="73mins"/>
    <n v="2247"/>
    <n v="120"/>
    <s v="Credit Card"/>
    <x v="1"/>
    <n v="10"/>
    <s v="Grab"/>
    <n v="86"/>
  </r>
  <r>
    <x v="123"/>
    <d v="2026-04-03T00:00:00"/>
    <s v="10-01-2024"/>
    <d v="1899-12-30T00:00:00"/>
    <s v="Kfc"/>
    <s v="Jaipur"/>
    <s v="Mughlai"/>
    <n v="58"/>
    <n v="4.8"/>
    <s v="55 mins"/>
    <n v="1403"/>
    <n v="75"/>
    <s v="Net Banking"/>
    <x v="1"/>
    <n v="5"/>
    <s v="Dunzo"/>
    <n v="117"/>
  </r>
  <r>
    <x v="124"/>
    <d v="2026-12-23T00:00:00"/>
    <s v="10-06-2024"/>
    <d v="1899-12-30T00:00:00"/>
    <s v="Chai Point"/>
    <s v="Kolkata"/>
    <s v="Biryani"/>
    <n v="65"/>
    <n v="1.7"/>
    <s v="34mins"/>
    <n v="1689"/>
    <n v="0.15"/>
    <s v="Cod"/>
    <x v="1"/>
    <n v="8"/>
    <s v="Grab"/>
    <n v="65"/>
  </r>
  <r>
    <x v="125"/>
    <d v="2026-01-03T00:00:00"/>
    <s v="03-29-2024"/>
    <d v="1899-12-30T01:51:00"/>
    <s v="Haldiram'S"/>
    <s v="Jaipur"/>
    <s v="Biryani"/>
    <n v="46"/>
    <n v="2.2999999999999998"/>
    <s v="20mins"/>
    <n v="352"/>
    <n v="0.5"/>
    <s v="Net Banking"/>
    <x v="2"/>
    <n v="8"/>
    <s v="In-House"/>
    <n v="114"/>
  </r>
  <r>
    <x v="126"/>
    <d v="2026-05-05T00:00:00"/>
    <s v="16-02-2024"/>
    <d v="1899-12-30T00:00:00"/>
    <s v="Unknown"/>
    <s v="Unknown"/>
    <s v="South Indian"/>
    <n v="34"/>
    <n v="1.1000000000000001"/>
    <s v="75 mins"/>
    <n v="1534"/>
    <n v="0.6"/>
    <s v="Wallet"/>
    <x v="1"/>
    <n v="10"/>
    <s v="Shadowfax"/>
    <n v="4"/>
  </r>
  <r>
    <x v="127"/>
    <d v="2026-07-28T00:00:00"/>
    <s v="03-11-2024"/>
    <d v="1899-12-30T14:34:00"/>
    <s v="Faasos"/>
    <s v="Delhi"/>
    <s v="Biryani, Chinese"/>
    <n v="29"/>
    <n v="1.4"/>
    <s v="70mins"/>
    <n v="640"/>
    <n v="150"/>
    <s v="Debit Card"/>
    <x v="0"/>
    <n v="1"/>
    <s v="Zomato Valet"/>
    <n v="151"/>
  </r>
  <r>
    <x v="128"/>
    <d v="2026-08-02T00:00:00"/>
    <s v="16-07-2024"/>
    <d v="1899-12-30T00:00:00"/>
    <s v="Subway"/>
    <s v="Delhi"/>
    <s v="South Indian"/>
    <n v="43"/>
    <n v="2.5"/>
    <s v="26mins"/>
    <n v="990"/>
    <n v="0.5"/>
    <s v="Debit Card"/>
    <x v="1"/>
    <n v="2"/>
    <s v="In-House"/>
    <n v="212"/>
  </r>
  <r>
    <x v="129"/>
    <d v="2026-04-29T00:00:00"/>
    <s v="03-07-2024"/>
    <d v="1899-12-30T00:00:00"/>
    <s v="Subway"/>
    <s v="Ahmedabad"/>
    <s v="Desserts"/>
    <n v="59"/>
    <n v="2.8"/>
    <s v="34mins"/>
    <n v="1884"/>
    <n v="0"/>
    <s v="Wallet"/>
    <x v="1"/>
    <n v="3"/>
    <s v="Unknown"/>
    <n v="21"/>
  </r>
  <r>
    <x v="130"/>
    <d v="2026-04-27T00:00:00"/>
    <s v="31-05-2024"/>
    <d v="1899-12-30T00:00:00"/>
    <s v="Haldiram'S"/>
    <s v="Hyderabad"/>
    <s v="Italian"/>
    <n v="31"/>
    <n v="3.4"/>
    <s v="30mins"/>
    <n v="772"/>
    <n v="0.2"/>
    <s v="Net Banking"/>
    <x v="3"/>
    <n v="3"/>
    <s v="Zomato Valet"/>
    <n v="78"/>
  </r>
  <r>
    <x v="131"/>
    <d v="2026-03-21T00:00:00"/>
    <s v="03-13-2024"/>
    <d v="1899-12-30T14:12:00"/>
    <s v="Paradise Biryani"/>
    <s v="Pune"/>
    <s v="Bakery"/>
    <n v="37"/>
    <n v="1"/>
    <s v="22 mins"/>
    <n v="2468"/>
    <n v="120"/>
    <s v="Net Banking"/>
    <x v="2"/>
    <n v="8"/>
    <s v="Grab"/>
    <n v="66"/>
  </r>
  <r>
    <x v="132"/>
    <d v="2026-05-29T00:00:00"/>
    <s v="10-03-2024"/>
    <d v="1899-12-30T00:00:00"/>
    <s v="Bikanervala"/>
    <s v="Ahmedabad"/>
    <s v="Biryani"/>
    <n v="28"/>
    <n v="3.2"/>
    <s v="41 mins"/>
    <n v="2160"/>
    <n v="120"/>
    <s v="Cash On Delivery"/>
    <x v="3"/>
    <n v="10"/>
    <s v="Shadowfax"/>
    <m/>
  </r>
  <r>
    <x v="133"/>
    <d v="2026-01-28T00:00:00"/>
    <s v="09-05-2024"/>
    <d v="1899-12-30T00:00:00"/>
    <s v="Subway"/>
    <s v="Hyderabad"/>
    <s v="Italian"/>
    <n v="23"/>
    <n v="2.5"/>
    <s v="35mins"/>
    <n v="1794"/>
    <n v="0"/>
    <s v="Cash On Delivery"/>
    <x v="3"/>
    <n v="1"/>
    <s v="In-House"/>
    <m/>
  </r>
  <r>
    <x v="134"/>
    <d v="2026-07-04T00:00:00"/>
    <s v="05-06-2024"/>
    <d v="1899-12-30T00:00:00"/>
    <s v="Dominos Pizza"/>
    <s v="Delhi"/>
    <s v="North Indian"/>
    <n v="29"/>
    <n v="3.8"/>
    <s v="41mins"/>
    <n v="449"/>
    <n v="150"/>
    <s v="Cash On Delivery"/>
    <x v="3"/>
    <n v="5"/>
    <s v="Rapido"/>
    <n v="59"/>
  </r>
  <r>
    <x v="135"/>
    <d v="2026-05-17T00:00:00"/>
    <s v="02-01-2024"/>
    <d v="1899-12-30T16:02:00"/>
    <s v="Faasos"/>
    <s v="Mumbai"/>
    <s v="Italian"/>
    <n v="35"/>
    <n v="1.6"/>
    <s v="28 mins"/>
    <n v="1359"/>
    <n v="0.6"/>
    <s v="Credit Card"/>
    <x v="1"/>
    <n v="4"/>
    <s v="Rapido"/>
    <n v="33"/>
  </r>
  <r>
    <x v="136"/>
    <d v="2026-10-15T00:00:00"/>
    <s v="27-04-2024"/>
    <d v="1899-12-30T00:00:00"/>
    <s v="Behrouz Biryani"/>
    <s v="Kolkata"/>
    <s v="Fast Food"/>
    <n v="25"/>
    <n v="4.5999999999999996"/>
    <s v="50 mins"/>
    <n v="500"/>
    <n v="50"/>
    <s v="Cash On Delivery"/>
    <x v="3"/>
    <n v="5"/>
    <s v="Unknown"/>
    <n v="98"/>
  </r>
  <r>
    <x v="137"/>
    <d v="2026-09-28T00:00:00"/>
    <s v="23-01-2024"/>
    <d v="1899-12-30T00:00:00"/>
    <s v="Burger King"/>
    <s v="Bangalore"/>
    <s v="Mughlai"/>
    <n v="53"/>
    <n v="1.9"/>
    <s v="34mins"/>
    <n v="745"/>
    <n v="100"/>
    <s v="Upi"/>
    <x v="1"/>
    <n v="0"/>
    <s v="Dunzo"/>
    <n v="118"/>
  </r>
  <r>
    <x v="138"/>
    <d v="2026-07-08T00:00:00"/>
    <s v="03-07-2024"/>
    <d v="1899-12-30T21:26:00"/>
    <s v="Behr0Uz Biry@Ni"/>
    <s v="Kolkata"/>
    <s v="Desserts"/>
    <n v="41"/>
    <n v="4.5999999999999996"/>
    <s v="52mins"/>
    <n v="814"/>
    <n v="0"/>
    <s v="Credit Card"/>
    <x v="3"/>
    <n v="5"/>
    <s v="Dunzo"/>
    <n v="48"/>
  </r>
  <r>
    <x v="139"/>
    <d v="2026-05-05T00:00:00"/>
    <s v="03-13-2024"/>
    <d v="1899-12-30T12:43:00"/>
    <s v="Subway"/>
    <s v="Hyderabad"/>
    <s v="Street Food"/>
    <n v="44"/>
    <n v="1.3"/>
    <s v="17mins"/>
    <n v="1261"/>
    <n v="0.5"/>
    <s v="Net Banking"/>
    <x v="5"/>
    <n v="4"/>
    <s v="Shadowfax"/>
    <n v="5"/>
  </r>
  <r>
    <x v="140"/>
    <d v="2026-05-11T00:00:00"/>
    <s v="05-05-2024"/>
    <d v="1899-12-30T00:00:00"/>
    <s v="Paradise Biryani"/>
    <s v="Lucknow"/>
    <s v="Fast Food"/>
    <n v="43"/>
    <n v="4.4000000000000004"/>
    <s v="50mins"/>
    <n v="1940"/>
    <n v="150"/>
    <s v="Cash On Delivery"/>
    <x v="1"/>
    <n v="2"/>
    <s v="Dunzo"/>
    <m/>
  </r>
  <r>
    <x v="141"/>
    <d v="2026-11-26T00:00:00"/>
    <m/>
    <d v="1899-12-30T00:00:00"/>
    <s v="Barbeque Nation"/>
    <s v="Mumbai"/>
    <s v="Mughlai"/>
    <n v="34"/>
    <n v="4.2"/>
    <s v="17mins"/>
    <n v="500"/>
    <n v="0"/>
    <s v="Cash On Delivery"/>
    <x v="1"/>
    <n v="5"/>
    <s v="In-House"/>
    <n v="23"/>
  </r>
  <r>
    <x v="142"/>
    <d v="2026-02-28T00:00:00"/>
    <s v="05-05-2024"/>
    <d v="1899-12-30T00:00:00"/>
    <s v="Wow! Momo"/>
    <s v="Pune"/>
    <s v="Desserts"/>
    <n v="26"/>
    <n v="2.4"/>
    <s v="18mins"/>
    <n v="1941"/>
    <n v="0.5"/>
    <s v="Debit Card"/>
    <x v="3"/>
    <n v="2"/>
    <s v="Dunzo"/>
    <m/>
  </r>
  <r>
    <x v="143"/>
    <d v="2026-07-05T00:00:00"/>
    <s v="02-23-2024"/>
    <d v="1899-12-30T11:51:00"/>
    <s v="Faasos"/>
    <s v="Chennai"/>
    <s v="Mughlai"/>
    <n v="51"/>
    <n v="3.3"/>
    <s v="67 mins"/>
    <n v="1886"/>
    <n v="120"/>
    <s v="Net Banking"/>
    <x v="1"/>
    <n v="3"/>
    <s v="In-House"/>
    <n v="64"/>
  </r>
  <r>
    <x v="144"/>
    <d v="2026-06-01T00:00:00"/>
    <s v="22-02-2024"/>
    <d v="1899-12-30T00:00:00"/>
    <s v="Burger King"/>
    <s v="Mumbai"/>
    <s v="Biryani"/>
    <n v="20"/>
    <n v="2.1"/>
    <s v="15 mins"/>
    <n v="1999"/>
    <n v="150"/>
    <s v="Upi"/>
    <x v="1"/>
    <n v="7"/>
    <s v="Dunzo"/>
    <n v="51"/>
  </r>
  <r>
    <x v="145"/>
    <d v="2026-06-04T00:00:00"/>
    <s v="26-05-2024"/>
    <d v="1899-12-30T00:00:00"/>
    <s v="Wow! Momo"/>
    <s v="Ahmedabad"/>
    <s v="Desserts"/>
    <n v="33"/>
    <n v="1.9"/>
    <s v="28 mins"/>
    <n v="2428"/>
    <n v="0.6"/>
    <s v="Upi"/>
    <x v="2"/>
    <n v="5"/>
    <s v="Shadowfax"/>
    <m/>
  </r>
  <r>
    <x v="146"/>
    <d v="2026-08-09T00:00:00"/>
    <s v="07-08-2024"/>
    <d v="1899-12-30T22:36:00"/>
    <s v="Bikanervala"/>
    <s v="Kolkata"/>
    <s v="South Indian"/>
    <n v="18"/>
    <n v="4.7"/>
    <s v="53mins"/>
    <n v="335"/>
    <n v="0.15"/>
    <s v="Credit Card"/>
    <x v="1"/>
    <n v="8"/>
    <s v="Grab"/>
    <n v="30"/>
  </r>
  <r>
    <x v="147"/>
    <d v="2026-07-16T00:00:00"/>
    <s v="11-02-2024"/>
    <d v="1899-12-30T00:00:00"/>
    <s v="Kfc"/>
    <s v="Delhi"/>
    <s v="Mughlai"/>
    <n v="38"/>
    <n v="1.4"/>
    <s v="60 mins"/>
    <n v="2428"/>
    <n v="120"/>
    <s v="Wallet"/>
    <x v="3"/>
    <n v="5"/>
    <s v="Shadowfax"/>
    <n v="50"/>
  </r>
  <r>
    <x v="148"/>
    <d v="2026-02-05T00:00:00"/>
    <s v="06-01-2024"/>
    <d v="1899-12-30T00:00:00"/>
    <s v="Faasos"/>
    <s v="Kolkata"/>
    <s v="Italian"/>
    <n v="54"/>
    <n v="3.9"/>
    <s v="73mins"/>
    <n v="2089"/>
    <n v="0.15"/>
    <s v="Credit Card"/>
    <x v="1"/>
    <n v="4"/>
    <s v="Dunzo"/>
    <n v="20"/>
  </r>
  <r>
    <x v="3"/>
    <d v="2026-07-24T00:00:00"/>
    <s v="03-08-2024"/>
    <d v="1899-12-30T08:02:00"/>
    <s v="D0Min0S Pizz@"/>
    <s v="Bangalore"/>
    <s v="Chinese"/>
    <n v="24"/>
    <n v="1.2"/>
    <s v="75mins"/>
    <n v="2282"/>
    <n v="120"/>
    <s v="Wallet"/>
    <x v="2"/>
    <n v="6"/>
    <s v="Shadowfax"/>
    <n v="112"/>
  </r>
  <r>
    <x v="149"/>
    <d v="2026-01-13T00:00:00"/>
    <s v="29-04-2024"/>
    <d v="1899-12-30T00:00:00"/>
    <s v="Behrouz Biryani"/>
    <s v="Bangalore"/>
    <s v="Desserts"/>
    <n v="34"/>
    <n v="2.7"/>
    <s v="62 mins"/>
    <n v="2487"/>
    <n v="0.5"/>
    <s v="Upi"/>
    <x v="1"/>
    <n v="8"/>
    <s v="Zomato Valet"/>
    <n v="105"/>
  </r>
  <r>
    <x v="150"/>
    <d v="2026-08-16T00:00:00"/>
    <s v="07-02-2024"/>
    <d v="1899-12-30T00:00:00"/>
    <s v="Dominos Pizza"/>
    <s v="Kolkata"/>
    <s v="North Indian"/>
    <n v="49"/>
    <n v="4.5"/>
    <s v="15 mins"/>
    <n v="1742"/>
    <n v="0.6"/>
    <s v="Upi"/>
    <x v="1"/>
    <n v="1"/>
    <s v="Dunzo"/>
    <n v="234"/>
  </r>
  <r>
    <x v="151"/>
    <d v="2026-12-17T00:00:00"/>
    <s v="25-05-2024"/>
    <d v="1899-12-30T00:00:00"/>
    <s v="Bikanervala"/>
    <s v="Jaipur"/>
    <s v="Fast Food"/>
    <n v="18"/>
    <n v="2.6"/>
    <s v="34mins"/>
    <n v="407"/>
    <n v="75"/>
    <s v="Wallet"/>
    <x v="2"/>
    <n v="8"/>
    <s v="Dunzo"/>
    <n v="170"/>
  </r>
  <r>
    <x v="152"/>
    <d v="2026-07-15T00:00:00"/>
    <s v="10-04-2024"/>
    <d v="1899-12-30T00:00:00"/>
    <s v="Behrouz Biryani"/>
    <s v="Lucknow"/>
    <s v="Fast Food, Bakery"/>
    <n v="61"/>
    <n v="3.1"/>
    <s v="15 mins"/>
    <n v="398"/>
    <n v="150"/>
    <s v="Cash On Delivery"/>
    <x v="1"/>
    <n v="7"/>
    <s v="Dunzo"/>
    <n v="17"/>
  </r>
  <r>
    <x v="153"/>
    <d v="2026-02-06T00:00:00"/>
    <s v="07-01-2024"/>
    <d v="1899-12-30T00:00:00"/>
    <s v="Barbeque Nation"/>
    <s v="Hyderabad"/>
    <s v="Unknown"/>
    <n v="27"/>
    <n v="2.8"/>
    <s v="17mins"/>
    <n v="2166"/>
    <n v="0.6"/>
    <s v="Cash On Delivery"/>
    <x v="1"/>
    <n v="10"/>
    <s v="In-House"/>
    <n v="81"/>
  </r>
  <r>
    <x v="154"/>
    <d v="2026-05-17T00:00:00"/>
    <s v="22-06-2024"/>
    <d v="1899-12-30T00:00:00"/>
    <s v="Bikanervala"/>
    <s v="Pune"/>
    <s v="Desserts"/>
    <n v="48"/>
    <n v="1.9"/>
    <s v="73 mins"/>
    <n v="1750"/>
    <n v="150"/>
    <s v="Wallet"/>
    <x v="1"/>
    <n v="6"/>
    <s v="Grab"/>
    <n v="125"/>
  </r>
  <r>
    <x v="155"/>
    <d v="2026-04-17T00:00:00"/>
    <s v="03-02-2024"/>
    <d v="1899-12-30T00:00:00"/>
    <s v="Chai Point"/>
    <s v="Hyderabad"/>
    <s v="North Indian"/>
    <n v="50"/>
    <n v="2.5"/>
    <s v="42 mins"/>
    <n v="391"/>
    <n v="100"/>
    <s v="Debit Card"/>
    <x v="1"/>
    <n v="9"/>
    <s v="Rapido"/>
    <n v="226"/>
  </r>
  <r>
    <x v="156"/>
    <d v="2026-10-23T00:00:00"/>
    <s v="01-29-2024"/>
    <d v="1899-12-30T03:36:00"/>
    <s v="Chai Point"/>
    <s v="Mumbai"/>
    <s v="Desserts"/>
    <n v="64"/>
    <n v="1.6"/>
    <s v="32mins"/>
    <n v="413"/>
    <n v="0"/>
    <s v="Credit Card"/>
    <x v="3"/>
    <n v="6"/>
    <s v="In-House"/>
    <n v="169"/>
  </r>
  <r>
    <x v="157"/>
    <d v="2026-11-21T00:00:00"/>
    <s v="05-19-2024"/>
    <d v="1899-12-30T21:18:00"/>
    <s v="Faasos"/>
    <s v="Hyderabad"/>
    <s v="Italian"/>
    <n v="36"/>
    <n v="3"/>
    <s v="58mins"/>
    <n v="1922"/>
    <n v="0"/>
    <s v="Net Banking"/>
    <x v="1"/>
    <n v="6"/>
    <s v="Dunzo"/>
    <n v="64"/>
  </r>
  <r>
    <x v="158"/>
    <d v="2026-06-05T00:00:00"/>
    <s v="07-07-2024"/>
    <d v="1899-12-30T00:00:00"/>
    <s v="Dominos Pizza"/>
    <s v="Jaipur"/>
    <s v="Bakery"/>
    <n v="38"/>
    <n v="1.8"/>
    <s v="73mins"/>
    <n v="353"/>
    <n v="0"/>
    <s v="Upi"/>
    <x v="1"/>
    <n v="9"/>
    <s v="Rapido"/>
    <n v="113"/>
  </r>
  <r>
    <x v="159"/>
    <d v="2026-06-08T00:00:00"/>
    <s v="05-05-2024"/>
    <d v="1899-12-30T00:00:00"/>
    <s v="Barbeque Nation"/>
    <s v="Jaipur"/>
    <s v="Unknown"/>
    <n v="53"/>
    <n v="4.8"/>
    <s v="67mins"/>
    <n v="383"/>
    <n v="0.6"/>
    <s v="Credit Card"/>
    <x v="2"/>
    <n v="10"/>
    <s v="Unknown"/>
    <n v="215"/>
  </r>
  <r>
    <x v="160"/>
    <d v="2026-11-24T00:00:00"/>
    <s v="05-05-2024"/>
    <d v="1899-12-30T00:00:00"/>
    <s v="Kfc"/>
    <s v="Kolkata"/>
    <s v="Mughlai"/>
    <n v="58"/>
    <n v="2.8"/>
    <s v="56mins"/>
    <n v="333"/>
    <n v="100"/>
    <s v="Cash Card"/>
    <x v="1"/>
    <n v="1"/>
    <s v="Rapido"/>
    <n v="22"/>
  </r>
  <r>
    <x v="161"/>
    <d v="2026-05-08T00:00:00"/>
    <s v="06-02-2024"/>
    <d v="1899-12-30T00:00:00"/>
    <s v="Barbeque Nation"/>
    <s v="Ahmedabad"/>
    <s v="Bakery"/>
    <n v="48"/>
    <n v="2"/>
    <s v="59mins"/>
    <n v="2125"/>
    <n v="75"/>
    <s v="Upi"/>
    <x v="1"/>
    <n v="9"/>
    <s v="Dunzo"/>
    <n v="87"/>
  </r>
  <r>
    <x v="162"/>
    <d v="2026-02-26T00:00:00"/>
    <s v="11-06-2024"/>
    <d v="1899-12-30T00:00:00"/>
    <s v="Behrouz Biryani"/>
    <s v="Ahmedabad"/>
    <s v="Fast Food, Mughlai"/>
    <n v="18"/>
    <n v="2.5"/>
    <s v="50 mins"/>
    <n v="2251"/>
    <n v="120"/>
    <s v="Upi"/>
    <x v="1"/>
    <n v="2"/>
    <s v="Dunzo"/>
    <n v="118"/>
  </r>
  <r>
    <x v="163"/>
    <d v="2026-12-24T00:00:00"/>
    <s v="03-01-2024"/>
    <d v="1899-12-30T00:00:00"/>
    <s v="Dominos Pizza"/>
    <s v="Kolkata"/>
    <s v="Bakery"/>
    <n v="41"/>
    <n v="2.5"/>
    <s v="41mins"/>
    <n v="137"/>
    <n v="0"/>
    <s v="Debit Card"/>
    <x v="1"/>
    <n v="10"/>
    <s v="Shadowfax"/>
    <n v="228"/>
  </r>
  <r>
    <x v="164"/>
    <d v="2026-05-02T00:00:00"/>
    <s v="11-03-2024"/>
    <d v="1899-12-30T00:00:00"/>
    <s v="Bikanervala"/>
    <s v="Jaipur"/>
    <s v="Italian"/>
    <n v="45"/>
    <n v="2.6"/>
    <s v="48 mins"/>
    <n v="1230"/>
    <n v="150"/>
    <s v="Credit Card"/>
    <x v="5"/>
    <n v="2"/>
    <s v="Rapido"/>
    <n v="6"/>
  </r>
  <r>
    <x v="165"/>
    <d v="2026-03-03T00:00:00"/>
    <s v="20-02-2024"/>
    <d v="1899-12-30T00:00:00"/>
    <s v="Haldiram'S"/>
    <s v="Delhi"/>
    <s v="Biryani"/>
    <n v="39"/>
    <n v="1.9"/>
    <s v="53 mins"/>
    <n v="1595"/>
    <n v="120"/>
    <s v="Upi"/>
    <x v="2"/>
    <n v="1"/>
    <s v="Grab"/>
    <n v="63"/>
  </r>
  <r>
    <x v="166"/>
    <d v="2026-06-27T00:00:00"/>
    <s v="07-04-2024"/>
    <d v="1899-12-30T00:00:00"/>
    <s v="Subw@Y"/>
    <s v="Pune"/>
    <s v="South Indian"/>
    <n v="39"/>
    <n v="1.4"/>
    <s v="15 mins"/>
    <n v="1818"/>
    <n v="120"/>
    <s v="Credit Card"/>
    <x v="1"/>
    <n v="1"/>
    <s v="Shadowfax"/>
    <n v="237"/>
  </r>
  <r>
    <x v="167"/>
    <d v="2026-02-12T00:00:00"/>
    <s v="17-07-2024"/>
    <d v="1899-12-30T00:00:00"/>
    <s v="Burger King"/>
    <s v="Bangalore"/>
    <s v="North Indian"/>
    <n v="22"/>
    <n v="3.7"/>
    <s v="74mins"/>
    <n v="1547"/>
    <n v="75"/>
    <s v="Net Banking"/>
    <x v="1"/>
    <n v="4"/>
    <s v="Grab"/>
    <n v="162"/>
  </r>
  <r>
    <x v="168"/>
    <d v="2026-02-25T00:00:00"/>
    <s v="22-02-2024"/>
    <d v="1899-12-30T00:00:00"/>
    <s v="Bikanervala"/>
    <s v="Mumbai"/>
    <s v="Desserts, Chinese"/>
    <n v="32"/>
    <n v="3.9"/>
    <s v="46mins"/>
    <n v="500"/>
    <n v="0"/>
    <s v="Upi"/>
    <x v="1"/>
    <n v="6"/>
    <s v="Dunzo"/>
    <n v="242"/>
  </r>
  <r>
    <x v="169"/>
    <d v="2026-01-21T00:00:00"/>
    <s v="17-01-2024"/>
    <d v="1899-12-30T00:00:00"/>
    <s v="Barbeque Nation"/>
    <s v="Lucknow"/>
    <s v="Bakery"/>
    <n v="33"/>
    <n v="2.5"/>
    <s v="31mins"/>
    <n v="2147"/>
    <n v="50"/>
    <s v="Wallet"/>
    <x v="1"/>
    <n v="9"/>
    <s v="Dunzo"/>
    <n v="26"/>
  </r>
  <r>
    <x v="170"/>
    <d v="2026-04-27T00:00:00"/>
    <s v="11-03-2024"/>
    <d v="1899-12-30T00:00:00"/>
    <s v="Haldiram'S"/>
    <s v="Kolkata"/>
    <s v="Biryani"/>
    <n v="63"/>
    <n v="4.5999999999999996"/>
    <s v="15 mins"/>
    <n v="833"/>
    <n v="100"/>
    <s v="Cod"/>
    <x v="1"/>
    <n v="4"/>
    <s v="Shadowfax"/>
    <n v="3"/>
  </r>
  <r>
    <x v="171"/>
    <d v="2026-04-20T00:00:00"/>
    <s v="04-28-2024"/>
    <d v="1899-12-30T11:37:00"/>
    <s v="Kfc"/>
    <s v="Ahmedabad"/>
    <s v="Bakery"/>
    <n v="60"/>
    <n v="2.4"/>
    <s v="66mins"/>
    <n v="1936"/>
    <n v="0.6"/>
    <s v="Upi"/>
    <x v="3"/>
    <n v="10"/>
    <s v="Rapido"/>
    <n v="46"/>
  </r>
  <r>
    <x v="172"/>
    <d v="2026-05-24T00:00:00"/>
    <s v="01-05-2024"/>
    <d v="1899-12-30T00:00:00"/>
    <s v="Paradise Biryani"/>
    <s v="Unknown"/>
    <s v="Bakery"/>
    <n v="36"/>
    <n v="2.2000000000000002"/>
    <s v="73mins"/>
    <n v="257"/>
    <n v="0.5"/>
    <s v="Cash On Delivery"/>
    <x v="1"/>
    <n v="4"/>
    <s v="Shadowfax"/>
    <n v="190"/>
  </r>
  <r>
    <x v="173"/>
    <d v="2026-03-29T00:00:00"/>
    <s v="20-03-2024"/>
    <d v="1899-12-30T00:00:00"/>
    <s v="Behrouz Biryani"/>
    <s v="Bangalore"/>
    <s v="Chinese"/>
    <n v="54"/>
    <n v="2.5"/>
    <s v="56 mins"/>
    <n v="2217"/>
    <n v="150"/>
    <s v="Debit Card"/>
    <x v="1"/>
    <n v="8"/>
    <s v="Grab"/>
    <n v="108"/>
  </r>
  <r>
    <x v="174"/>
    <d v="2026-12-08T00:00:00"/>
    <s v="03-27-2024"/>
    <d v="1899-12-30T06:33:00"/>
    <s v="Haldiram'S"/>
    <s v="Bangalore"/>
    <s v="Street Food"/>
    <n v="31"/>
    <n v="2.6"/>
    <s v="44mins"/>
    <n v="629"/>
    <n v="0.5"/>
    <s v="Wallet"/>
    <x v="1"/>
    <n v="1"/>
    <s v="Zomato Valet"/>
    <n v="173"/>
  </r>
  <r>
    <x v="175"/>
    <d v="2026-05-31T00:00:00"/>
    <s v="25-05-2024"/>
    <d v="1899-12-30T00:00:00"/>
    <s v="Haldiram'S"/>
    <s v="Bangalore"/>
    <s v="Desserts"/>
    <n v="18"/>
    <n v="2.8"/>
    <s v="44mins"/>
    <n v="1318"/>
    <n v="0"/>
    <s v="Upi"/>
    <x v="1"/>
    <n v="6"/>
    <s v="Grab"/>
    <m/>
  </r>
  <r>
    <x v="176"/>
    <d v="2026-10-06T00:00:00"/>
    <s v="23-04-2024"/>
    <d v="1899-12-30T00:00:00"/>
    <s v="Kfc"/>
    <s v="Kolkata"/>
    <s v="Desserts"/>
    <n v="33"/>
    <n v="3.8"/>
    <s v="70 mins"/>
    <n v="1028"/>
    <n v="0"/>
    <s v="Upi"/>
    <x v="3"/>
    <n v="9"/>
    <s v="Shadowfax"/>
    <n v="159"/>
  </r>
  <r>
    <x v="177"/>
    <d v="2026-02-14T00:00:00"/>
    <s v="15-02-2024"/>
    <d v="1899-12-30T00:00:00"/>
    <s v="Burger King"/>
    <s v="Ahmedabad"/>
    <s v="Fast Food"/>
    <n v="27"/>
    <n v="4.2"/>
    <s v="15 mins"/>
    <n v="1028"/>
    <n v="75"/>
    <s v="Net Banking"/>
    <x v="1"/>
    <n v="10"/>
    <s v="Grab"/>
    <n v="75"/>
  </r>
  <r>
    <x v="178"/>
    <d v="2026-01-05T00:00:00"/>
    <s v="05-07-2024"/>
    <d v="1899-12-30T00:00:00"/>
    <s v="Subway"/>
    <s v="Lucknow"/>
    <s v="South Indian"/>
    <n v="34"/>
    <n v="4"/>
    <s v="77mins"/>
    <n v="1631"/>
    <n v="0"/>
    <s v="Cash On Delivery"/>
    <x v="1"/>
    <n v="1"/>
    <s v="In-House"/>
    <n v="120"/>
  </r>
  <r>
    <x v="179"/>
    <d v="2026-10-03T00:00:00"/>
    <s v="06-16-2024"/>
    <d v="1899-12-30T09:50:00"/>
    <s v="Barbeque Nation"/>
    <s v="Jaipur"/>
    <s v="Fast Food"/>
    <n v="44"/>
    <n v="4.7"/>
    <s v="55 mins"/>
    <n v="515"/>
    <n v="0.2"/>
    <s v="Upi"/>
    <x v="5"/>
    <n v="1"/>
    <s v="In-House"/>
    <n v="48"/>
  </r>
  <r>
    <x v="3"/>
    <d v="2026-03-10T00:00:00"/>
    <s v="03-06-2024"/>
    <d v="1899-12-30T00:00:00"/>
    <s v="Burger King"/>
    <s v="Chennai"/>
    <s v="Chinese"/>
    <n v="40"/>
    <n v="4.2"/>
    <s v="15 mins"/>
    <n v="2192"/>
    <n v="50"/>
    <s v="Upi"/>
    <x v="3"/>
    <n v="8"/>
    <s v="Rapido"/>
    <n v="245"/>
  </r>
  <r>
    <x v="180"/>
    <d v="2026-10-14T00:00:00"/>
    <s v="01-12-2024"/>
    <d v="1899-12-30T11:06:00"/>
    <s v="Dominos Pizza"/>
    <s v="Pune"/>
    <s v="South Indian"/>
    <n v="51"/>
    <n v="4.0999999999999996"/>
    <s v="19mins"/>
    <n v="424"/>
    <n v="0.6"/>
    <s v="Cash On Delivery"/>
    <x v="1"/>
    <n v="2"/>
    <s v="Zomato Valet"/>
    <n v="27"/>
  </r>
  <r>
    <x v="181"/>
    <d v="2026-08-22T00:00:00"/>
    <s v="02-26-2024"/>
    <d v="1899-12-30T08:47:00"/>
    <s v="Faasos"/>
    <s v="Mumbai"/>
    <s v="Bakery"/>
    <n v="63"/>
    <n v="3.9"/>
    <s v="70mins"/>
    <n v="2044"/>
    <n v="0.1"/>
    <s v="Upi"/>
    <x v="1"/>
    <n v="7"/>
    <s v="Rapido"/>
    <n v="115"/>
  </r>
  <r>
    <x v="182"/>
    <d v="2026-11-21T00:00:00"/>
    <s v="07-16-2024"/>
    <d v="1899-12-30T12:27:00"/>
    <s v="Barbeque Nation"/>
    <s v="Jaipur"/>
    <s v="Biryani"/>
    <n v="27"/>
    <n v="4.4000000000000004"/>
    <s v="19mins"/>
    <n v="1545"/>
    <n v="0"/>
    <s v="Debit Card"/>
    <x v="3"/>
    <n v="6"/>
    <s v="Shadowfax"/>
    <n v="162"/>
  </r>
  <r>
    <x v="183"/>
    <d v="2026-08-19T00:00:00"/>
    <s v="17-07-2024"/>
    <d v="1899-12-30T00:00:00"/>
    <s v="Behrouz Biryani"/>
    <s v="Delhi"/>
    <s v="Desserts"/>
    <n v="62"/>
    <n v="3.8"/>
    <s v="27mins"/>
    <n v="432"/>
    <n v="0"/>
    <s v="Wallet"/>
    <x v="1"/>
    <n v="4"/>
    <s v="In-House"/>
    <n v="40"/>
  </r>
  <r>
    <x v="184"/>
    <d v="2026-10-05T00:00:00"/>
    <s v="07-02-2024"/>
    <d v="1899-12-30T00:00:00"/>
    <s v="Subway"/>
    <s v="Ahmedabad"/>
    <s v="Street Food"/>
    <n v="43"/>
    <n v="1.5"/>
    <s v="53mins"/>
    <n v="1757"/>
    <n v="100"/>
    <s v="Wallet"/>
    <x v="1"/>
    <n v="8"/>
    <s v="Unknown"/>
    <n v="42"/>
  </r>
  <r>
    <x v="185"/>
    <d v="2026-12-05T00:00:00"/>
    <s v="27-02-2024"/>
    <d v="1899-12-30T00:00:00"/>
    <s v="Chai Point"/>
    <s v="Pune"/>
    <s v="Bakery"/>
    <n v="52"/>
    <n v="4.3"/>
    <s v="15 mins"/>
    <n v="1443"/>
    <n v="100"/>
    <s v="Upi"/>
    <x v="1"/>
    <n v="2"/>
    <s v="Shadowfax"/>
    <n v="78"/>
  </r>
  <r>
    <x v="186"/>
    <d v="2026-02-04T00:00:00"/>
    <s v="22-02-2024"/>
    <d v="1899-12-30T00:00:00"/>
    <s v="Wow! Momo"/>
    <s v="Kolkata"/>
    <s v="North Indian, Street Food"/>
    <n v="36"/>
    <n v="2.8"/>
    <s v="55mins"/>
    <n v="1364"/>
    <n v="0.6"/>
    <s v="Net Banking"/>
    <x v="3"/>
    <n v="4"/>
    <s v="Shadowfax"/>
    <n v="38"/>
  </r>
  <r>
    <x v="187"/>
    <d v="2026-01-12T00:00:00"/>
    <s v="29-04-2024"/>
    <d v="1899-12-30T00:00:00"/>
    <s v="Subway"/>
    <s v="Mumbai"/>
    <s v="South Indian, Chinese"/>
    <n v="28"/>
    <n v="1.3"/>
    <s v="78mins"/>
    <n v="500"/>
    <n v="150"/>
    <s v="Net Banking"/>
    <x v="1"/>
    <n v="1"/>
    <s v="In-House"/>
    <n v="34"/>
  </r>
  <r>
    <x v="188"/>
    <d v="2026-07-24T00:00:00"/>
    <s v="05-15-2024"/>
    <d v="1899-12-30T23:20:00"/>
    <s v="Chai Point"/>
    <s v="Hyderabad"/>
    <s v="Desserts"/>
    <n v="25"/>
    <n v="3.7"/>
    <s v="30mins"/>
    <n v="810"/>
    <n v="0.1"/>
    <s v="Wallet"/>
    <x v="0"/>
    <n v="8"/>
    <s v="Zomato Valet"/>
    <n v="28"/>
  </r>
  <r>
    <x v="3"/>
    <d v="2026-11-29T00:00:00"/>
    <s v="03-07-2024"/>
    <d v="1899-12-30T00:00:00"/>
    <s v="Bikanervala"/>
    <s v="Bangalore"/>
    <s v="Biryani"/>
    <n v="29"/>
    <n v="2.1"/>
    <s v="71mins"/>
    <n v="505"/>
    <n v="75"/>
    <s v="Wallet"/>
    <x v="1"/>
    <n v="0"/>
    <s v="In-House"/>
    <n v="140"/>
  </r>
  <r>
    <x v="189"/>
    <d v="2026-08-26T00:00:00"/>
    <s v="23-06-2024"/>
    <d v="1899-12-30T00:00:00"/>
    <s v="Subway"/>
    <s v="Mumbai"/>
    <s v="Desserts"/>
    <n v="39"/>
    <n v="3.4"/>
    <s v="15 mins"/>
    <n v="1263"/>
    <n v="0"/>
    <s v="Cash On Delivery"/>
    <x v="3"/>
    <n v="4"/>
    <s v="In-House"/>
    <n v="153"/>
  </r>
  <r>
    <x v="190"/>
    <d v="2026-10-05T00:00:00"/>
    <s v="16-02-2024"/>
    <d v="1899-12-30T00:00:00"/>
    <s v="Chai Point"/>
    <s v="Kolkata"/>
    <s v="Bakery"/>
    <n v="62"/>
    <n v="1.9"/>
    <s v="76mins"/>
    <n v="266"/>
    <n v="0"/>
    <s v="Upi"/>
    <x v="1"/>
    <n v="1"/>
    <s v="Zomato Valet"/>
    <n v="14"/>
  </r>
  <r>
    <x v="191"/>
    <d v="2026-02-06T00:00:00"/>
    <s v="05-03-2024"/>
    <d v="1899-12-30T00:00:00"/>
    <s v="Burger King"/>
    <s v="Bangalore"/>
    <s v="Bakery"/>
    <n v="42"/>
    <n v="1.4"/>
    <s v="30mins"/>
    <n v="218"/>
    <n v="50"/>
    <s v="Credit Card"/>
    <x v="1"/>
    <n v="4"/>
    <s v="Rapido"/>
    <n v="17"/>
  </r>
  <r>
    <x v="192"/>
    <d v="2026-09-03T00:00:00"/>
    <s v="23-05-2024"/>
    <d v="1899-12-30T00:00:00"/>
    <s v="Paradise Biryani"/>
    <s v="Jaipur"/>
    <s v="Bakery"/>
    <n v="21"/>
    <n v="3.8"/>
    <s v="65mins"/>
    <n v="1298"/>
    <n v="0"/>
    <s v="Credit Card"/>
    <x v="1"/>
    <n v="3"/>
    <s v="Rapido"/>
    <n v="210"/>
  </r>
  <r>
    <x v="193"/>
    <d v="2026-02-17T00:00:00"/>
    <s v="14-05-2024"/>
    <d v="1899-12-30T00:00:00"/>
    <s v="Dominos Pizza"/>
    <s v="Jaipur"/>
    <s v="Fast Food"/>
    <n v="21"/>
    <n v="2"/>
    <s v="29mins"/>
    <n v="123"/>
    <n v="75"/>
    <s v="Debit Card"/>
    <x v="3"/>
    <n v="1"/>
    <s v="In-House"/>
    <n v="8"/>
  </r>
  <r>
    <x v="194"/>
    <d v="2026-10-31T00:00:00"/>
    <s v="17-05-2024"/>
    <d v="1899-12-30T00:00:00"/>
    <s v="Chai Point"/>
    <s v="Lucknow"/>
    <s v="Biryani"/>
    <n v="46"/>
    <n v="3.9"/>
    <s v="76mins"/>
    <n v="343"/>
    <n v="0.15"/>
    <s v="Credit Card"/>
    <x v="5"/>
    <n v="3"/>
    <s v="Grab"/>
    <n v="33"/>
  </r>
  <r>
    <x v="195"/>
    <d v="2026-06-30T00:00:00"/>
    <s v="04-13-2024"/>
    <d v="1899-12-30T03:25:00"/>
    <s v="Barbeque Nation"/>
    <s v="Delhi"/>
    <s v="North Indian"/>
    <n v="56"/>
    <n v="2.5"/>
    <s v="28mins"/>
    <n v="1411"/>
    <n v="0"/>
    <s v="Credit Card"/>
    <x v="3"/>
    <n v="9"/>
    <s v="In-House"/>
    <m/>
  </r>
  <r>
    <x v="196"/>
    <d v="2026-08-08T00:00:00"/>
    <s v="07-01-2024"/>
    <d v="1899-12-30T02:36:00"/>
    <s v="Barbeque Nation"/>
    <s v="Ahmedabad"/>
    <s v="Biryani"/>
    <n v="40"/>
    <n v="2.7"/>
    <s v="67mins"/>
    <n v="1552"/>
    <n v="0.15"/>
    <s v="Cash On Delivery"/>
    <x v="1"/>
    <n v="7"/>
    <s v="Rapido"/>
    <n v="167"/>
  </r>
  <r>
    <x v="129"/>
    <d v="2026-03-11T00:00:00"/>
    <s v="02-04-2024"/>
    <d v="1899-12-30T00:00:00"/>
    <s v="Barbeque Nation"/>
    <s v="Bangalore"/>
    <s v="Italian"/>
    <n v="62"/>
    <n v="2.5"/>
    <s v="15 mins"/>
    <n v="2416"/>
    <n v="150"/>
    <s v="Net Banking"/>
    <x v="1"/>
    <n v="1"/>
    <s v="Rapido"/>
    <n v="173"/>
  </r>
  <r>
    <x v="197"/>
    <d v="2026-09-27T00:00:00"/>
    <s v="17-03-2024"/>
    <d v="1899-12-30T00:00:00"/>
    <s v="Kfc"/>
    <s v="Bombay"/>
    <s v="Fast Food, Italian"/>
    <n v="47"/>
    <n v="4.3"/>
    <s v="79mins"/>
    <n v="848"/>
    <n v="75"/>
    <s v="Upi"/>
    <x v="3"/>
    <n v="9"/>
    <s v="Rapido"/>
    <n v="75"/>
  </r>
  <r>
    <x v="198"/>
    <d v="2026-07-20T00:00:00"/>
    <s v="12-02-2024"/>
    <d v="1899-12-30T00:00:00"/>
    <s v="Faasos"/>
    <s v="Unknown"/>
    <s v="Biryani"/>
    <n v="18"/>
    <n v="1.8"/>
    <s v="74 mins"/>
    <n v="197"/>
    <n v="120"/>
    <s v="Upi"/>
    <x v="2"/>
    <n v="5"/>
    <s v="Grab"/>
    <n v="49"/>
  </r>
  <r>
    <x v="199"/>
    <d v="2026-07-30T00:00:00"/>
    <s v="25-03-2024"/>
    <d v="1899-12-30T00:00:00"/>
    <s v="Wow! Momo"/>
    <s v="Pune"/>
    <s v="Fast Food"/>
    <n v="63"/>
    <n v="1.9"/>
    <s v="33mins"/>
    <n v="1950"/>
    <n v="120"/>
    <s v="Wallet"/>
    <x v="1"/>
    <n v="7"/>
    <s v="Zomato Valet"/>
    <n v="48"/>
  </r>
  <r>
    <x v="200"/>
    <d v="2026-06-04T00:00:00"/>
    <s v="02-09-2024"/>
    <d v="1899-12-30T19:21:00"/>
    <s v="Paradise Biryani"/>
    <s v="Kolkata"/>
    <s v="South Indian"/>
    <n v="22"/>
    <n v="2.5"/>
    <s v="26 mins"/>
    <n v="1811"/>
    <n v="75"/>
    <s v="Cash On Delivery"/>
    <x v="1"/>
    <n v="7"/>
    <s v="Rapido"/>
    <n v="41"/>
  </r>
  <r>
    <x v="201"/>
    <d v="2026-12-02T00:00:00"/>
    <s v="23-06-2024"/>
    <d v="1899-12-30T00:00:00"/>
    <s v="Burger King"/>
    <s v="Delhi"/>
    <s v="North Indian"/>
    <n v="22"/>
    <n v="4.5"/>
    <s v="59mins"/>
    <n v="1229"/>
    <n v="100"/>
    <s v="Upi"/>
    <x v="1"/>
    <n v="6"/>
    <s v="Dunzo"/>
    <n v="152"/>
  </r>
  <r>
    <x v="202"/>
    <d v="2026-06-22T00:00:00"/>
    <s v="04-30-2024"/>
    <d v="1899-12-30T04:58:00"/>
    <s v="Kfc"/>
    <s v="Chennai"/>
    <s v="Chinese"/>
    <n v="58"/>
    <n v="1.6"/>
    <s v="25mins"/>
    <n v="830"/>
    <n v="120"/>
    <s v="Credit Card"/>
    <x v="1"/>
    <n v="5"/>
    <s v="Shadowfax"/>
    <n v="79"/>
  </r>
  <r>
    <x v="203"/>
    <d v="2026-12-27T00:00:00"/>
    <s v="21-04-2024"/>
    <d v="1899-12-30T00:00:00"/>
    <s v="Chai Point"/>
    <s v="Lucknow"/>
    <s v="Fast Food"/>
    <n v="65"/>
    <n v="1.1000000000000001"/>
    <s v="33mins"/>
    <n v="1309"/>
    <n v="150"/>
    <s v="Cash On Delivery"/>
    <x v="3"/>
    <n v="1"/>
    <s v="Shadowfax"/>
    <n v="150"/>
  </r>
  <r>
    <x v="204"/>
    <d v="2026-12-30T00:00:00"/>
    <s v="23-02-2024"/>
    <d v="1899-12-30T00:00:00"/>
    <s v="Chai Point"/>
    <s v="Kolkata"/>
    <s v="Mughlai"/>
    <n v="39"/>
    <n v="1.7"/>
    <s v="37mins"/>
    <n v="1436"/>
    <n v="75"/>
    <s v="Wallet"/>
    <x v="1"/>
    <n v="2"/>
    <s v="Zomato Valet"/>
    <n v="228"/>
  </r>
  <r>
    <x v="205"/>
    <d v="2026-04-05T00:00:00"/>
    <s v="05-19-2024"/>
    <d v="1899-12-30T03:24:00"/>
    <s v="Wow! Momo"/>
    <s v="Pune"/>
    <s v="South Indian"/>
    <n v="47"/>
    <n v="4.3"/>
    <s v="65mins"/>
    <n v="138"/>
    <n v="0.2"/>
    <s v="Debit Card"/>
    <x v="0"/>
    <n v="0"/>
    <s v="Zomato Valet"/>
    <n v="190"/>
  </r>
  <r>
    <x v="206"/>
    <d v="2026-09-25T00:00:00"/>
    <s v="26-05-2024"/>
    <d v="1899-12-30T00:00:00"/>
    <s v="Subway"/>
    <s v="Lucknow"/>
    <s v="Fast Food"/>
    <n v="63"/>
    <n v="3"/>
    <s v="65mins"/>
    <n v="2126"/>
    <n v="0.6"/>
    <s v="Credit Card"/>
    <x v="5"/>
    <n v="3"/>
    <s v="Zomato Valet"/>
    <n v="241"/>
  </r>
  <r>
    <x v="3"/>
    <d v="2026-08-15T00:00:00"/>
    <s v="06-07-2024"/>
    <d v="1899-12-30T00:00:00"/>
    <s v="Faasos"/>
    <s v="Kolkata"/>
    <s v="Italian"/>
    <n v="58"/>
    <n v="2.5"/>
    <s v="28mins"/>
    <n v="384"/>
    <n v="0.15"/>
    <s v="Debit Card"/>
    <x v="2"/>
    <n v="1"/>
    <s v="Grab"/>
    <n v="55"/>
  </r>
  <r>
    <x v="207"/>
    <d v="2026-06-18T00:00:00"/>
    <s v="25-04-2024"/>
    <d v="1899-12-30T00:00:00"/>
    <s v="Bikanervala"/>
    <s v="Mumbai"/>
    <s v="Bakery, Street Food"/>
    <n v="25"/>
    <n v="1.1000000000000001"/>
    <s v="15 mins"/>
    <n v="1338"/>
    <n v="0"/>
    <s v="Unknown"/>
    <x v="3"/>
    <n v="5"/>
    <s v="Dunzo"/>
    <n v="35"/>
  </r>
  <r>
    <x v="208"/>
    <d v="2026-07-29T00:00:00"/>
    <s v="06-05-2024"/>
    <d v="1899-12-30T00:00:00"/>
    <s v="Subway"/>
    <s v="Kolkata"/>
    <s v="Bakery"/>
    <n v="46"/>
    <n v="4"/>
    <s v="28mins"/>
    <n v="1565"/>
    <n v="75"/>
    <s v="Wallet"/>
    <x v="1"/>
    <n v="9"/>
    <s v="Dunzo"/>
    <n v="187"/>
  </r>
  <r>
    <x v="209"/>
    <d v="2026-12-19T00:00:00"/>
    <s v="25-02-2024"/>
    <d v="1899-12-30T00:00:00"/>
    <s v="B@Rbeque N@Ti0N"/>
    <s v="Chennai"/>
    <s v="Chinese"/>
    <n v="24"/>
    <n v="3.9"/>
    <s v="24mins"/>
    <n v="1486"/>
    <n v="100"/>
    <s v="Debit Card"/>
    <x v="1"/>
    <n v="2"/>
    <s v="Grab"/>
    <n v="46"/>
  </r>
  <r>
    <x v="210"/>
    <d v="2026-02-25T00:00:00"/>
    <s v="27-05-2024"/>
    <d v="1899-12-30T00:00:00"/>
    <s v="Burger King"/>
    <s v="Jaipur"/>
    <s v="North Indian, Italian"/>
    <n v="35"/>
    <n v="2.4"/>
    <s v="64 mins"/>
    <n v="865"/>
    <n v="0.5"/>
    <s v="Cash On Delivery"/>
    <x v="2"/>
    <n v="1"/>
    <s v="Shadowfax"/>
    <n v="147"/>
  </r>
  <r>
    <x v="211"/>
    <d v="2026-07-28T00:00:00"/>
    <s v="04-04-2024"/>
    <d v="1899-12-30T00:00:00"/>
    <s v="Behrouz Biryani"/>
    <s v="Kolkata"/>
    <s v="Italian"/>
    <n v="26"/>
    <n v="1.6"/>
    <s v="67mins"/>
    <n v="1636"/>
    <n v="50"/>
    <s v="Net Banking"/>
    <x v="1"/>
    <n v="2"/>
    <s v="Dunzo"/>
    <n v="138"/>
  </r>
  <r>
    <x v="212"/>
    <d v="2026-01-06T00:00:00"/>
    <s v="06-05-2024"/>
    <d v="1899-12-30T00:00:00"/>
    <s v="Faasos"/>
    <s v="Hyderabad"/>
    <s v="Desserts"/>
    <n v="50"/>
    <n v="1.5"/>
    <s v="64mins"/>
    <n v="2441"/>
    <n v="100"/>
    <s v="Credit Card"/>
    <x v="1"/>
    <n v="2"/>
    <s v="Unknown"/>
    <n v="72"/>
  </r>
  <r>
    <x v="213"/>
    <d v="2026-09-24T00:00:00"/>
    <s v="02-22-2024"/>
    <d v="1899-12-30T05:50:00"/>
    <s v="Kfc"/>
    <s v="Bangalore"/>
    <s v="Biryani"/>
    <n v="28"/>
    <n v="4.5999999999999996"/>
    <s v="15 mins"/>
    <n v="1705"/>
    <n v="0"/>
    <s v="Debit Card"/>
    <x v="1"/>
    <n v="8"/>
    <s v="Shadowfax"/>
    <n v="74"/>
  </r>
  <r>
    <x v="214"/>
    <d v="2026-04-23T00:00:00"/>
    <s v="05-08-2024"/>
    <d v="1899-12-30T05:42:00"/>
    <s v="Haldiram'S"/>
    <s v="Chennai"/>
    <s v="Desserts"/>
    <n v="51"/>
    <n v="4.4000000000000004"/>
    <s v="76mins"/>
    <n v="388"/>
    <n v="0"/>
    <s v="Credit Card"/>
    <x v="0"/>
    <n v="2"/>
    <s v="Shadowfax"/>
    <n v="44"/>
  </r>
  <r>
    <x v="215"/>
    <d v="2026-07-06T00:00:00"/>
    <s v="25-04-2024"/>
    <d v="1899-12-30T00:00:00"/>
    <s v="Faasos"/>
    <s v="Kolkata"/>
    <s v="Street Food"/>
    <n v="54"/>
    <n v="4.2"/>
    <s v="16mins"/>
    <n v="1307"/>
    <n v="50"/>
    <s v="Net Banking"/>
    <x v="2"/>
    <n v="8"/>
    <s v="Zomato Valet"/>
    <n v="39"/>
  </r>
  <r>
    <x v="216"/>
    <d v="2026-02-02T00:00:00"/>
    <s v="19-05-2024"/>
    <d v="1899-12-30T00:00:00"/>
    <s v="Subway"/>
    <s v="Chennai"/>
    <s v="Italian"/>
    <n v="23"/>
    <n v="3.5"/>
    <s v="46mins"/>
    <n v="1501"/>
    <n v="120"/>
    <s v="Debit Card"/>
    <x v="1"/>
    <n v="1"/>
    <s v="Zomato Valet"/>
    <n v="134"/>
  </r>
  <r>
    <x v="217"/>
    <d v="2026-01-04T00:00:00"/>
    <s v="03-05-2024"/>
    <d v="1899-12-30T00:00:00"/>
    <s v="Haldiram'S"/>
    <s v="Hyderabad"/>
    <s v="Fast Food"/>
    <n v="37"/>
    <n v="4.7"/>
    <s v="40mins"/>
    <n v="500"/>
    <n v="0"/>
    <s v="Net Banking"/>
    <x v="1"/>
    <n v="7"/>
    <s v="Grab"/>
    <n v="198"/>
  </r>
  <r>
    <x v="218"/>
    <d v="2026-10-19T00:00:00"/>
    <s v="17-06-2024"/>
    <d v="1899-12-30T00:00:00"/>
    <s v="Barbeque Nation"/>
    <s v="Bangalore"/>
    <s v="Mughlai"/>
    <n v="60"/>
    <n v="2.5"/>
    <s v="74mins"/>
    <n v="1112"/>
    <n v="0"/>
    <s v="Cash On Delivery"/>
    <x v="1"/>
    <n v="1"/>
    <s v="Dunzo"/>
    <n v="159"/>
  </r>
  <r>
    <x v="219"/>
    <d v="2026-07-22T00:00:00"/>
    <s v="08-05-2024"/>
    <d v="1899-12-30T00:00:00"/>
    <s v="Behrouz Biryani"/>
    <s v="Lucknow"/>
    <s v="Biryani"/>
    <n v="59"/>
    <n v="4.9000000000000004"/>
    <s v="38mins"/>
    <n v="1491"/>
    <n v="120"/>
    <s v="Debit Card"/>
    <x v="2"/>
    <n v="1"/>
    <s v="In-House"/>
    <n v="45"/>
  </r>
  <r>
    <x v="220"/>
    <d v="2026-01-03T00:00:00"/>
    <s v="01-02-2024"/>
    <d v="1899-12-30T12:16:00"/>
    <s v="Chai Point"/>
    <s v="Jaipur"/>
    <s v="Mughlai"/>
    <n v="22"/>
    <n v="3.5"/>
    <s v="25mins"/>
    <n v="423"/>
    <n v="0.5"/>
    <s v="Cash Card"/>
    <x v="2"/>
    <n v="2"/>
    <s v="Shadowfax"/>
    <n v="110"/>
  </r>
  <r>
    <x v="221"/>
    <d v="2026-04-11T00:00:00"/>
    <s v="30-03-2024"/>
    <d v="1899-12-30T00:00:00"/>
    <s v="Unknown"/>
    <s v="Unknown"/>
    <s v="Chinese"/>
    <n v="53"/>
    <n v="2.5"/>
    <s v="31mins"/>
    <n v="1143"/>
    <n v="0.5"/>
    <s v="Upi"/>
    <x v="3"/>
    <n v="2"/>
    <s v="Unknown"/>
    <n v="56"/>
  </r>
  <r>
    <x v="222"/>
    <d v="2026-08-29T00:00:00"/>
    <s v="12-01-2024"/>
    <d v="1899-12-30T00:00:00"/>
    <s v="Dominos Pizza"/>
    <s v="Bangalore"/>
    <s v="Chinese"/>
    <n v="60"/>
    <n v="2"/>
    <s v="78mins"/>
    <n v="1799"/>
    <n v="50"/>
    <s v="Cash On Delivery"/>
    <x v="2"/>
    <n v="6"/>
    <s v="In-House"/>
    <n v="34"/>
  </r>
  <r>
    <x v="223"/>
    <d v="2026-12-04T00:00:00"/>
    <s v="27-03-2024"/>
    <d v="1899-12-30T00:00:00"/>
    <s v="Chai Point"/>
    <s v="Lucknow"/>
    <s v="North Indian"/>
    <n v="36"/>
    <n v="4.8"/>
    <s v="48mins"/>
    <n v="507"/>
    <n v="50"/>
    <s v="Credit Card"/>
    <x v="2"/>
    <n v="6"/>
    <s v="Rapido"/>
    <n v="39"/>
  </r>
  <r>
    <x v="224"/>
    <d v="2026-06-13T00:00:00"/>
    <s v="04-06-2024"/>
    <d v="1899-12-30T00:00:00"/>
    <s v="Chai Point"/>
    <s v="Delhi"/>
    <s v="Mughlai"/>
    <n v="23"/>
    <n v="3.4"/>
    <s v="23mins"/>
    <n v="1168"/>
    <n v="75"/>
    <s v="Cash On Delivery"/>
    <x v="1"/>
    <n v="3"/>
    <s v="In-House"/>
    <n v="25"/>
  </r>
  <r>
    <x v="225"/>
    <d v="2026-05-21T00:00:00"/>
    <m/>
    <d v="1899-12-30T00:00:00"/>
    <s v="Kfc"/>
    <s v="Mumbai"/>
    <s v="Chinese"/>
    <n v="22"/>
    <n v="4.5"/>
    <s v="35 mins"/>
    <n v="1565"/>
    <n v="150"/>
    <s v="Debit Card"/>
    <x v="3"/>
    <n v="10"/>
    <s v="Zomato Valet"/>
    <n v="23"/>
  </r>
  <r>
    <x v="226"/>
    <d v="2026-03-25T00:00:00"/>
    <s v="01-07-2024"/>
    <d v="1899-12-30T00:00:00"/>
    <s v="Subway"/>
    <s v="Pune"/>
    <s v="Chinese"/>
    <n v="52"/>
    <n v="4.4000000000000004"/>
    <s v="21mins"/>
    <n v="1565"/>
    <n v="75"/>
    <s v="Debit Card"/>
    <x v="2"/>
    <n v="8"/>
    <s v="Dunzo"/>
    <n v="0"/>
  </r>
  <r>
    <x v="227"/>
    <d v="2026-08-20T00:00:00"/>
    <s v="31-03-2024"/>
    <d v="1899-12-30T00:00:00"/>
    <s v="Kfc"/>
    <s v="Lucknow"/>
    <s v="Chinese"/>
    <n v="34"/>
    <n v="2.4"/>
    <s v="41 mins"/>
    <n v="1122"/>
    <n v="150"/>
    <s v="Cash Card"/>
    <x v="1"/>
    <n v="8"/>
    <s v="In-House"/>
    <m/>
  </r>
  <r>
    <x v="228"/>
    <d v="2026-08-09T00:00:00"/>
    <s v="11-05-2024"/>
    <d v="1899-12-30T00:00:00"/>
    <s v="Subway"/>
    <s v="Mumbai"/>
    <s v="Bakery"/>
    <n v="40"/>
    <n v="4.5999999999999996"/>
    <s v="70mins"/>
    <n v="809"/>
    <n v="0.15"/>
    <s v="Wallet"/>
    <x v="4"/>
    <n v="8"/>
    <s v="Grab"/>
    <n v="158"/>
  </r>
  <r>
    <x v="229"/>
    <d v="2026-05-01T00:00:00"/>
    <s v="05-18-2024"/>
    <d v="1899-12-30T18:21:00"/>
    <s v="Bikanervala"/>
    <s v="Lucknow"/>
    <s v="Mughlai"/>
    <n v="46"/>
    <n v="3"/>
    <s v="23 mins"/>
    <n v="2484"/>
    <n v="0.2"/>
    <s v="Upi"/>
    <x v="3"/>
    <n v="9"/>
    <s v="In-House"/>
    <n v="24"/>
  </r>
  <r>
    <x v="230"/>
    <d v="2026-08-16T00:00:00"/>
    <s v="13-05-2024"/>
    <d v="1899-12-30T00:00:00"/>
    <s v="Wow! Momo"/>
    <s v="Delhi"/>
    <s v="Chinese"/>
    <n v="64"/>
    <n v="1.5"/>
    <s v="26mins"/>
    <n v="2383"/>
    <n v="0"/>
    <s v="Cash On Delivery"/>
    <x v="3"/>
    <n v="10"/>
    <s v="Shadowfax"/>
    <n v="137"/>
  </r>
  <r>
    <x v="231"/>
    <d v="2026-02-07T00:00:00"/>
    <s v="15-03-2024"/>
    <d v="1899-12-30T00:00:00"/>
    <s v="Faasos"/>
    <s v="Mumbai"/>
    <s v="Italian"/>
    <n v="47"/>
    <n v="3.6"/>
    <s v="65mins"/>
    <n v="1797"/>
    <n v="100"/>
    <s v="Net Banking"/>
    <x v="1"/>
    <n v="9"/>
    <s v="Dunzo"/>
    <n v="49"/>
  </r>
  <r>
    <x v="232"/>
    <d v="2026-09-17T00:00:00"/>
    <s v="03-09-2024"/>
    <d v="1899-12-30T16:34:00"/>
    <s v="Kfc"/>
    <s v="Hyderabad"/>
    <s v="South Indian"/>
    <n v="19"/>
    <n v="1.1000000000000001"/>
    <s v="57mins"/>
    <n v="2291"/>
    <n v="150"/>
    <s v="Upi"/>
    <x v="3"/>
    <n v="5"/>
    <s v="Shadowfax"/>
    <n v="9"/>
  </r>
  <r>
    <x v="129"/>
    <d v="2026-12-09T00:00:00"/>
    <s v="12-07-2024"/>
    <d v="1899-12-30T00:00:00"/>
    <s v="Subway"/>
    <s v="Delhi"/>
    <s v="Biryani"/>
    <n v="65"/>
    <n v="4.4000000000000004"/>
    <s v="47 mins"/>
    <n v="1839"/>
    <n v="0"/>
    <s v="Wallet"/>
    <x v="1"/>
    <n v="5"/>
    <s v="Dunzo"/>
    <n v="20"/>
  </r>
  <r>
    <x v="233"/>
    <d v="2026-08-15T00:00:00"/>
    <s v="03-07-2024"/>
    <d v="1899-12-30T00:00:00"/>
    <s v="Kfc"/>
    <s v="Jaipur"/>
    <s v="Desserts"/>
    <n v="65"/>
    <n v="4.4000000000000004"/>
    <s v="48 mins"/>
    <n v="1822"/>
    <n v="0.15"/>
    <s v="Cash Card"/>
    <x v="3"/>
    <n v="2"/>
    <s v="Zomato Valet"/>
    <n v="58"/>
  </r>
  <r>
    <x v="234"/>
    <d v="2026-11-10T00:00:00"/>
    <s v="04-01-2024"/>
    <d v="1899-12-30T00:00:00"/>
    <s v="Subway"/>
    <s v="Kolkata"/>
    <s v="Bakery"/>
    <n v="24"/>
    <n v="3.1"/>
    <s v="64mins"/>
    <n v="906"/>
    <n v="75"/>
    <s v="Wallet"/>
    <x v="5"/>
    <n v="4"/>
    <s v="Zomato Valet"/>
    <n v="33"/>
  </r>
  <r>
    <x v="3"/>
    <d v="2026-05-25T00:00:00"/>
    <s v="20-01-2024"/>
    <d v="1899-12-30T00:00:00"/>
    <s v="Paradise Biryani"/>
    <s v="Hyderabad"/>
    <s v="Mughlai"/>
    <n v="56"/>
    <n v="4.8"/>
    <s v="50mins"/>
    <n v="1813"/>
    <n v="100"/>
    <s v="Wallet"/>
    <x v="1"/>
    <n v="8"/>
    <s v="In-House"/>
    <n v="124"/>
  </r>
  <r>
    <x v="235"/>
    <d v="2026-10-02T00:00:00"/>
    <s v="03-02-2024"/>
    <d v="1899-12-30T00:00:00"/>
    <s v="Haldiram'S"/>
    <s v="Jaipur"/>
    <s v="North Indian"/>
    <n v="28"/>
    <n v="3.3"/>
    <s v="16mins"/>
    <n v="2358"/>
    <n v="150"/>
    <s v="Upi"/>
    <x v="2"/>
    <n v="4"/>
    <s v="In-House"/>
    <n v="166"/>
  </r>
  <r>
    <x v="3"/>
    <d v="2026-03-20T00:00:00"/>
    <s v="11-03-2024"/>
    <d v="1899-12-30T00:00:00"/>
    <s v="Kfc"/>
    <s v="Mumbai"/>
    <s v="Fast Food"/>
    <n v="18"/>
    <n v="2.5"/>
    <s v="61 mins"/>
    <n v="2365"/>
    <n v="50"/>
    <s v="Wallet"/>
    <x v="2"/>
    <n v="4"/>
    <s v="Shadowfax"/>
    <n v="243"/>
  </r>
  <r>
    <x v="236"/>
    <d v="2026-02-27T00:00:00"/>
    <s v="31-03-2024"/>
    <d v="1899-12-30T00:00:00"/>
    <s v="Faasos"/>
    <s v="Lucknow"/>
    <s v="Italian"/>
    <n v="62"/>
    <n v="3.2"/>
    <s v="49mins"/>
    <n v="336"/>
    <n v="0.5"/>
    <s v="Unknown"/>
    <x v="1"/>
    <n v="8"/>
    <s v="Rapido"/>
    <n v="137"/>
  </r>
  <r>
    <x v="237"/>
    <d v="2026-10-16T00:00:00"/>
    <s v="01-04-2024"/>
    <d v="1899-12-30T00:00:00"/>
    <s v="Paradise Biryani"/>
    <s v="Kolkata"/>
    <s v="Mughlai"/>
    <n v="43"/>
    <n v="2"/>
    <s v="58mins"/>
    <n v="1268"/>
    <n v="0"/>
    <s v="Credit Card"/>
    <x v="1"/>
    <n v="10"/>
    <s v="Zomato Valet"/>
    <n v="19"/>
  </r>
  <r>
    <x v="238"/>
    <d v="2026-11-18T00:00:00"/>
    <s v="25-05-2024"/>
    <d v="1899-12-30T00:00:00"/>
    <s v="Kfc"/>
    <s v="Bangalore"/>
    <s v="North Indian"/>
    <n v="29"/>
    <n v="1.8"/>
    <s v="30 mins"/>
    <n v="487"/>
    <n v="0"/>
    <s v="Cash On Delivery"/>
    <x v="1"/>
    <n v="8"/>
    <s v="In-House"/>
    <n v="48"/>
  </r>
  <r>
    <x v="239"/>
    <d v="2026-01-26T00:00:00"/>
    <s v="24-03-2024"/>
    <d v="1899-12-30T00:00:00"/>
    <s v="Behrouz Biryani"/>
    <s v="Unknown"/>
    <s v="Bakery"/>
    <n v="18"/>
    <n v="4"/>
    <s v="44mins"/>
    <n v="449"/>
    <n v="0.5"/>
    <s v="Upi"/>
    <x v="2"/>
    <n v="5"/>
    <s v="Grab"/>
    <n v="91"/>
  </r>
  <r>
    <x v="240"/>
    <d v="2026-03-01T00:00:00"/>
    <s v="07-06-2024"/>
    <d v="1899-12-30T03:27:00"/>
    <s v="Subway"/>
    <s v="Lucknow"/>
    <s v="Italian, Italian"/>
    <n v="58"/>
    <n v="4.2"/>
    <s v="79mins"/>
    <n v="1007"/>
    <n v="0.6"/>
    <s v="Debit Card"/>
    <x v="1"/>
    <n v="0"/>
    <s v="In-House"/>
    <n v="188"/>
  </r>
  <r>
    <x v="241"/>
    <d v="2026-12-08T00:00:00"/>
    <s v="13-03-2024"/>
    <d v="1899-12-30T00:00:00"/>
    <s v="Paradise Biryani"/>
    <s v="Chennai"/>
    <s v="North Indian"/>
    <n v="18"/>
    <n v="3.5"/>
    <s v="60mins"/>
    <n v="1862"/>
    <n v="0.15"/>
    <s v="Upi"/>
    <x v="1"/>
    <n v="10"/>
    <s v="Shadowfax"/>
    <n v="228"/>
  </r>
  <r>
    <x v="242"/>
    <d v="2026-09-14T00:00:00"/>
    <s v="22-06-2024"/>
    <d v="1899-12-30T00:00:00"/>
    <s v="Subway"/>
    <s v="Ahmedabad"/>
    <s v="Chinese"/>
    <n v="64"/>
    <n v="4.3"/>
    <s v="57mins"/>
    <n v="1409"/>
    <n v="75"/>
    <s v="Debit Card"/>
    <x v="1"/>
    <n v="5"/>
    <s v="Unknown"/>
    <n v="201"/>
  </r>
  <r>
    <x v="243"/>
    <d v="2026-06-20T00:00:00"/>
    <s v="29-03-2024"/>
    <d v="1899-12-30T00:00:00"/>
    <s v="Wow! Momo"/>
    <s v="Delhi"/>
    <s v="Bakery"/>
    <n v="53"/>
    <n v="5"/>
    <s v="31mins"/>
    <n v="1021"/>
    <n v="0.5"/>
    <s v="Credit Card"/>
    <x v="3"/>
    <n v="9"/>
    <s v="Grab"/>
    <n v="217"/>
  </r>
  <r>
    <x v="244"/>
    <d v="2026-06-07T00:00:00"/>
    <s v="16-06-2024"/>
    <d v="1899-12-30T00:00:00"/>
    <s v="Dominos Pizza"/>
    <s v="Bangalore"/>
    <s v="Fast Food"/>
    <n v="33"/>
    <n v="2.8"/>
    <s v="26 mins"/>
    <n v="2435"/>
    <n v="0.6"/>
    <s v="Debit Card"/>
    <x v="5"/>
    <n v="0"/>
    <s v="In-House"/>
    <n v="75"/>
  </r>
  <r>
    <x v="245"/>
    <d v="2026-08-06T00:00:00"/>
    <s v="02-07-2024"/>
    <d v="1899-12-30T00:00:00"/>
    <s v="Chai Point"/>
    <s v="Ahmedabad"/>
    <s v="Italian"/>
    <n v="50"/>
    <n v="2.8"/>
    <s v="28mins"/>
    <n v="467"/>
    <n v="0"/>
    <s v="Wallet"/>
    <x v="3"/>
    <n v="2"/>
    <s v="Grab"/>
    <n v="1"/>
  </r>
  <r>
    <x v="246"/>
    <d v="2026-08-13T00:00:00"/>
    <s v="25-04-2024"/>
    <d v="1899-12-30T00:00:00"/>
    <s v="Unknown"/>
    <s v="Bangalore"/>
    <s v="Desserts"/>
    <n v="54"/>
    <n v="2.9"/>
    <s v="52mins"/>
    <n v="488"/>
    <n v="0.6"/>
    <s v="Debit Card"/>
    <x v="3"/>
    <n v="0"/>
    <s v="Dunzo"/>
    <n v="249"/>
  </r>
  <r>
    <x v="247"/>
    <d v="2026-05-18T00:00:00"/>
    <s v="29-03-2024"/>
    <d v="1899-12-30T00:00:00"/>
    <s v="Wow! Momo"/>
    <s v="Bangalore"/>
    <s v="Unknown"/>
    <n v="39"/>
    <n v="1.8"/>
    <s v="53 mins"/>
    <n v="1972"/>
    <n v="75"/>
    <s v="Cash On Delivery"/>
    <x v="1"/>
    <n v="1"/>
    <s v="Grab"/>
    <n v="87"/>
  </r>
  <r>
    <x v="248"/>
    <d v="2026-01-12T00:00:00"/>
    <s v="17-05-2024"/>
    <d v="1899-12-30T00:00:00"/>
    <s v="Bikanervala"/>
    <s v="Bangalore"/>
    <s v="Mughlai"/>
    <n v="65"/>
    <n v="4.3"/>
    <s v="72 mins"/>
    <n v="435"/>
    <n v="0.15"/>
    <s v="Net Banking"/>
    <x v="1"/>
    <n v="2"/>
    <s v="Grab"/>
    <n v="99"/>
  </r>
  <r>
    <x v="249"/>
    <d v="2026-03-24T00:00:00"/>
    <s v="28-05-2024"/>
    <d v="1899-12-30T00:00:00"/>
    <s v="Haldiram'S"/>
    <s v="Lucknow"/>
    <s v="Italian"/>
    <n v="50"/>
    <n v="3.6"/>
    <s v="46mins"/>
    <n v="932"/>
    <n v="150"/>
    <s v="Cash On Delivery"/>
    <x v="1"/>
    <n v="3"/>
    <s v="Shadowfax"/>
    <n v="21"/>
  </r>
  <r>
    <x v="250"/>
    <d v="2026-08-31T00:00:00"/>
    <s v="17-05-2024"/>
    <d v="1899-12-30T00:00:00"/>
    <s v="Haldiram'S"/>
    <s v="Jaipur"/>
    <s v="Chinese"/>
    <n v="28"/>
    <n v="3.4"/>
    <s v="48 mins"/>
    <n v="2455"/>
    <n v="150"/>
    <s v="Debit Card"/>
    <x v="2"/>
    <n v="6"/>
    <s v="Grab"/>
    <m/>
  </r>
  <r>
    <x v="251"/>
    <d v="2026-12-10T00:00:00"/>
    <s v="04-14-2024"/>
    <d v="1899-12-30T12:04:00"/>
    <s v="Barbeque Nation"/>
    <s v="Hyderabad"/>
    <s v="Unknown"/>
    <n v="42"/>
    <n v="3.2"/>
    <s v="28 mins"/>
    <n v="1590"/>
    <n v="0.1"/>
    <s v="Credit Card"/>
    <x v="1"/>
    <n v="7"/>
    <s v="In-House"/>
    <n v="2"/>
  </r>
  <r>
    <x v="252"/>
    <d v="2026-10-05T00:00:00"/>
    <s v="15-01-2024"/>
    <d v="1899-12-30T00:00:00"/>
    <s v="Wow! Momo"/>
    <s v="Mumbai"/>
    <s v="Fast Food"/>
    <n v="46"/>
    <n v="3.3"/>
    <s v="48mins"/>
    <n v="1445"/>
    <n v="50"/>
    <s v="Upi"/>
    <x v="2"/>
    <n v="3"/>
    <s v="Dunzo"/>
    <n v="30"/>
  </r>
  <r>
    <x v="253"/>
    <d v="2026-03-06T00:00:00"/>
    <s v="10-07-2024"/>
    <d v="1899-12-30T00:00:00"/>
    <s v="Faasos"/>
    <s v="Jaipur"/>
    <s v="Bakery, Street Food"/>
    <n v="38"/>
    <n v="3"/>
    <s v="23mins"/>
    <n v="1868"/>
    <n v="0"/>
    <s v="Net Banking"/>
    <x v="1"/>
    <n v="2"/>
    <s v="In-House"/>
    <n v="69"/>
  </r>
  <r>
    <x v="254"/>
    <d v="2026-02-27T00:00:00"/>
    <s v="01-19-2024"/>
    <d v="1899-12-30T06:12:00"/>
    <s v="Kfc"/>
    <s v="Delhi"/>
    <s v="Unknown"/>
    <n v="45"/>
    <n v="4.4000000000000004"/>
    <s v="56mins"/>
    <n v="1387"/>
    <n v="0.6"/>
    <s v="Debit Card"/>
    <x v="3"/>
    <n v="1"/>
    <s v="Rapido"/>
    <n v="177"/>
  </r>
  <r>
    <x v="255"/>
    <d v="2026-01-24T00:00:00"/>
    <s v="03-21-2024"/>
    <d v="1899-12-30T07:51:00"/>
    <s v="Dominos Pizza"/>
    <s v="Hyderabad"/>
    <s v="Mughlai"/>
    <n v="65"/>
    <n v="1.2"/>
    <s v="40mins"/>
    <n v="609"/>
    <n v="0"/>
    <s v="Credit Card"/>
    <x v="3"/>
    <n v="10"/>
    <s v="Dunzo"/>
    <n v="17"/>
  </r>
  <r>
    <x v="256"/>
    <d v="2026-10-02T00:00:00"/>
    <s v="06-03-2024"/>
    <d v="1899-12-30T00:00:00"/>
    <s v="Unknown"/>
    <s v="Pune"/>
    <s v="Desserts"/>
    <n v="59"/>
    <n v="5"/>
    <s v="56 mins"/>
    <n v="2048"/>
    <n v="0"/>
    <s v="Debit Card"/>
    <x v="3"/>
    <n v="8"/>
    <s v="Zomato Valet"/>
    <n v="206"/>
  </r>
  <r>
    <x v="257"/>
    <d v="2026-07-10T00:00:00"/>
    <s v="10-02-2024"/>
    <d v="1899-12-30T00:00:00"/>
    <s v="Wow! Momo"/>
    <s v="Mumbai"/>
    <s v="Chinese"/>
    <n v="38"/>
    <n v="2.5"/>
    <s v="15 mins"/>
    <n v="188"/>
    <n v="50"/>
    <s v="Cash On Delivery"/>
    <x v="1"/>
    <n v="4"/>
    <s v="Zomato Valet"/>
    <n v="240"/>
  </r>
  <r>
    <x v="258"/>
    <d v="2026-09-07T00:00:00"/>
    <s v="22-04-2024"/>
    <d v="1899-12-30T00:00:00"/>
    <s v="Unknown"/>
    <s v="Ahmedabad"/>
    <s v="Street Food"/>
    <n v="65"/>
    <n v="3.3"/>
    <s v="47 mins"/>
    <n v="429"/>
    <n v="0.1"/>
    <s v="Wallet"/>
    <x v="1"/>
    <n v="5"/>
    <s v="Dunzo"/>
    <n v="115"/>
  </r>
  <r>
    <x v="259"/>
    <d v="2026-08-30T00:00:00"/>
    <s v="03-02-2024"/>
    <d v="1899-12-30T00:00:00"/>
    <s v="Faasos"/>
    <s v="Pune"/>
    <s v="North Indian, Chinese"/>
    <n v="38"/>
    <n v="2.5"/>
    <s v="59mins"/>
    <n v="567"/>
    <n v="100"/>
    <s v="Cash On Delivery"/>
    <x v="1"/>
    <n v="6"/>
    <s v="Dunzo"/>
    <n v="33"/>
  </r>
  <r>
    <x v="260"/>
    <d v="2026-10-11T00:00:00"/>
    <s v="25-01-2024"/>
    <d v="1899-12-30T00:00:00"/>
    <s v="W0W! M0M0"/>
    <s v="Jaipur"/>
    <s v="South Indian"/>
    <n v="46"/>
    <n v="4.9000000000000004"/>
    <s v="70 mins"/>
    <n v="2433"/>
    <n v="120"/>
    <s v="Credit Card"/>
    <x v="3"/>
    <n v="3"/>
    <s v="Rapido"/>
    <n v="184"/>
  </r>
  <r>
    <x v="261"/>
    <d v="2026-10-13T00:00:00"/>
    <s v="15-05-2024"/>
    <d v="1899-12-30T00:00:00"/>
    <s v="Haldiram'S"/>
    <s v="Bangalore"/>
    <s v="Chinese"/>
    <n v="51"/>
    <n v="4.5999999999999996"/>
    <s v="32mins"/>
    <n v="1837"/>
    <n v="0"/>
    <s v="Wallet"/>
    <x v="1"/>
    <n v="3"/>
    <s v="Shadowfax"/>
    <n v="241"/>
  </r>
  <r>
    <x v="262"/>
    <d v="2026-04-20T00:00:00"/>
    <s v="10-02-2024"/>
    <d v="1899-12-30T00:00:00"/>
    <s v="Chai Point"/>
    <s v="Kolkata"/>
    <s v="Bakery"/>
    <n v="38"/>
    <n v="2.5"/>
    <s v="34 mins"/>
    <n v="1368"/>
    <n v="50"/>
    <s v="Wallet"/>
    <x v="1"/>
    <n v="6"/>
    <s v="Dunzo"/>
    <n v="197"/>
  </r>
  <r>
    <x v="263"/>
    <d v="2026-09-09T00:00:00"/>
    <s v="02-13-2024"/>
    <d v="1899-12-30T16:37:00"/>
    <s v="Dominos Pizza"/>
    <s v="Lucknow"/>
    <s v="Mughlai"/>
    <n v="35"/>
    <n v="3.9"/>
    <s v="80mins"/>
    <n v="903"/>
    <n v="0.2"/>
    <s v="Unknown"/>
    <x v="1"/>
    <n v="5"/>
    <s v="Zomato Valet"/>
    <n v="81"/>
  </r>
  <r>
    <x v="264"/>
    <d v="2026-12-05T00:00:00"/>
    <s v="19-06-2024"/>
    <d v="1899-12-30T00:00:00"/>
    <s v="Haldiram'S"/>
    <s v="Mumbai"/>
    <s v="Bakery"/>
    <n v="46"/>
    <n v="3.3"/>
    <s v="66mins"/>
    <n v="2055"/>
    <n v="150"/>
    <s v="Upi"/>
    <x v="2"/>
    <n v="8"/>
    <s v="Dunzo"/>
    <n v="36"/>
  </r>
  <r>
    <x v="265"/>
    <d v="2026-08-16T00:00:00"/>
    <s v="03-24-2024"/>
    <d v="1899-12-30T15:38:00"/>
    <s v="Faasos"/>
    <s v="Jaipur"/>
    <s v="Fast Food"/>
    <n v="65"/>
    <n v="4.9000000000000004"/>
    <s v="54mins"/>
    <n v="361"/>
    <n v="75"/>
    <s v="Net Banking"/>
    <x v="2"/>
    <n v="8"/>
    <s v="Dunzo"/>
    <n v="27"/>
  </r>
  <r>
    <x v="266"/>
    <d v="2026-08-05T00:00:00"/>
    <s v="28-06-2024"/>
    <d v="1899-12-30T00:00:00"/>
    <s v="Wow! Momo"/>
    <s v="Mumbai"/>
    <s v="Biryani"/>
    <n v="42"/>
    <n v="4.8"/>
    <s v="52mins"/>
    <n v="1580"/>
    <n v="0.15"/>
    <s v="Cash On Delivery"/>
    <x v="5"/>
    <n v="4"/>
    <s v="Shadowfax"/>
    <n v="188"/>
  </r>
  <r>
    <x v="267"/>
    <d v="2026-08-24T00:00:00"/>
    <s v="05-06-2024"/>
    <d v="1899-12-30T00:00:00"/>
    <s v="Subway"/>
    <s v="Jaipur"/>
    <s v="Italian"/>
    <n v="34"/>
    <n v="2.5"/>
    <s v="45mins"/>
    <n v="882"/>
    <n v="50"/>
    <s v="Debit Card"/>
    <x v="1"/>
    <n v="9"/>
    <s v="In-House"/>
    <n v="186"/>
  </r>
  <r>
    <x v="268"/>
    <d v="2026-08-05T00:00:00"/>
    <s v="14-06-2024"/>
    <d v="1899-12-30T00:00:00"/>
    <s v="Dominos Pizza"/>
    <s v="Ahmedabad"/>
    <s v="Unknown"/>
    <n v="59"/>
    <n v="2.5"/>
    <s v="33mins"/>
    <n v="272"/>
    <n v="75"/>
    <s v="Net Banking"/>
    <x v="1"/>
    <n v="7"/>
    <s v="Shadowfax"/>
    <n v="150"/>
  </r>
  <r>
    <x v="269"/>
    <d v="2026-07-17T00:00:00"/>
    <s v="10-05-2024"/>
    <d v="1899-12-30T00:00:00"/>
    <s v="Wow! Momo"/>
    <s v="Delhi"/>
    <s v="South Indian"/>
    <n v="33"/>
    <n v="4.0999999999999996"/>
    <s v="38mins"/>
    <n v="190"/>
    <n v="75"/>
    <s v="Upi"/>
    <x v="1"/>
    <n v="6"/>
    <s v="Shadowfax"/>
    <n v="153"/>
  </r>
  <r>
    <x v="270"/>
    <d v="2026-03-11T00:00:00"/>
    <s v="12-04-2024"/>
    <d v="1899-12-30T00:00:00"/>
    <s v="Faasos"/>
    <s v="Delhi"/>
    <s v="Street Food"/>
    <n v="51"/>
    <n v="2.5"/>
    <s v="54mins"/>
    <n v="186"/>
    <n v="0"/>
    <s v="Credit Card"/>
    <x v="3"/>
    <n v="3"/>
    <s v="Rapido"/>
    <n v="65"/>
  </r>
  <r>
    <x v="271"/>
    <d v="2026-07-09T00:00:00"/>
    <s v="04-23-2024"/>
    <d v="1899-12-30T01:02:00"/>
    <s v="Wow! Momo"/>
    <s v="Kolkata"/>
    <s v="Fast Food"/>
    <n v="39"/>
    <n v="4.7"/>
    <s v="64mins"/>
    <n v="1986"/>
    <n v="0"/>
    <s v="Debit Card"/>
    <x v="1"/>
    <n v="8"/>
    <s v="In-House"/>
    <n v="47"/>
  </r>
  <r>
    <x v="272"/>
    <d v="2026-06-17T00:00:00"/>
    <s v="14-05-2024"/>
    <d v="1899-12-30T00:00:00"/>
    <s v="Wow! Momo"/>
    <s v="Bangalore"/>
    <s v="Italian"/>
    <n v="38"/>
    <n v="3.4"/>
    <s v="51mins"/>
    <n v="1955"/>
    <n v="0"/>
    <s v="Credit Card"/>
    <x v="1"/>
    <n v="9"/>
    <s v="Unknown"/>
    <n v="20"/>
  </r>
  <r>
    <x v="273"/>
    <d v="2026-06-25T00:00:00"/>
    <s v="06-24-2024"/>
    <d v="1899-12-30T14:48:00"/>
    <s v="Wow! Momo"/>
    <s v="Hyderabad"/>
    <s v="Desserts"/>
    <n v="18"/>
    <n v="2.5"/>
    <s v="29mins"/>
    <n v="500"/>
    <n v="0.2"/>
    <s v="Credit Card"/>
    <x v="1"/>
    <n v="5"/>
    <s v="Grab"/>
    <n v="218"/>
  </r>
  <r>
    <x v="274"/>
    <d v="2026-11-07T00:00:00"/>
    <s v="03-10-2024"/>
    <d v="1899-12-30T13:58:00"/>
    <s v="Subway"/>
    <s v="Ahmedabad"/>
    <s v="Italian"/>
    <n v="22"/>
    <n v="1.5"/>
    <s v="77mins"/>
    <n v="278"/>
    <n v="0.2"/>
    <s v="Wallet"/>
    <x v="2"/>
    <n v="2"/>
    <s v="Grab"/>
    <n v="234"/>
  </r>
  <r>
    <x v="275"/>
    <d v="2026-12-13T00:00:00"/>
    <s v="10-01-2024"/>
    <d v="1899-12-30T00:00:00"/>
    <s v="Haldiram'S"/>
    <s v="Mumbai"/>
    <s v="Fast Food"/>
    <n v="30"/>
    <n v="3.9"/>
    <s v="15 mins"/>
    <n v="154"/>
    <n v="75"/>
    <s v="Credit Card"/>
    <x v="1"/>
    <n v="4"/>
    <s v="Shadowfax"/>
    <m/>
  </r>
  <r>
    <x v="276"/>
    <d v="2026-04-19T00:00:00"/>
    <s v="26-04-2024"/>
    <d v="1899-12-30T00:00:00"/>
    <s v="Barbeque Nation"/>
    <s v="Bangalore"/>
    <s v="Fast Food, Biryani"/>
    <n v="47"/>
    <n v="4.5"/>
    <s v="66mins"/>
    <n v="418"/>
    <n v="0.5"/>
    <s v="Cash On Delivery"/>
    <x v="1"/>
    <n v="3"/>
    <s v="In-House"/>
    <n v="155"/>
  </r>
  <r>
    <x v="277"/>
    <d v="2026-01-10T00:00:00"/>
    <s v="19-07-2024"/>
    <d v="1899-12-30T00:00:00"/>
    <s v="Paradise Biryani"/>
    <s v="Hyderabad"/>
    <s v="Mughlai"/>
    <n v="21"/>
    <n v="2.4"/>
    <s v="64mins"/>
    <n v="2350"/>
    <n v="0"/>
    <s v="Wallet"/>
    <x v="1"/>
    <n v="4"/>
    <s v="Shadowfax"/>
    <n v="206"/>
  </r>
  <r>
    <x v="278"/>
    <d v="2026-08-30T00:00:00"/>
    <s v="14-07-2024"/>
    <d v="1899-12-30T00:00:00"/>
    <s v="Faasos"/>
    <s v="Delhi"/>
    <s v="South Indian"/>
    <n v="31"/>
    <n v="1.3"/>
    <s v="55mins"/>
    <n v="1509"/>
    <n v="150"/>
    <s v="Credit Card"/>
    <x v="3"/>
    <n v="7"/>
    <s v="Shadowfax"/>
    <n v="151"/>
  </r>
  <r>
    <x v="279"/>
    <d v="2026-09-08T00:00:00"/>
    <s v="05-03-2024"/>
    <d v="1899-12-30T00:00:00"/>
    <s v="Wow! Momo"/>
    <s v="Bangalore"/>
    <s v="Mughlai"/>
    <n v="60"/>
    <n v="1.3"/>
    <s v="31mins"/>
    <n v="2195"/>
    <n v="0"/>
    <s v="Unknown"/>
    <x v="1"/>
    <n v="5"/>
    <s v="In-House"/>
    <n v="89"/>
  </r>
  <r>
    <x v="280"/>
    <d v="2026-10-05T00:00:00"/>
    <s v="02-03-2024"/>
    <d v="1899-12-30T11:49:00"/>
    <s v="Wow! Momo"/>
    <s v="Mumbai"/>
    <s v="Unknown"/>
    <n v="24"/>
    <n v="1.7"/>
    <s v="51 mins"/>
    <n v="2027"/>
    <n v="0"/>
    <s v="Unknown"/>
    <x v="2"/>
    <n v="8"/>
    <s v="In-House"/>
    <n v="45"/>
  </r>
  <r>
    <x v="281"/>
    <d v="2026-05-25T00:00:00"/>
    <s v="09-07-2024"/>
    <d v="1899-12-30T00:00:00"/>
    <s v="Behrouz Biryani"/>
    <s v="Hyderabad"/>
    <s v="Street Food"/>
    <n v="63"/>
    <n v="2.2000000000000002"/>
    <s v="22mins"/>
    <n v="1173"/>
    <n v="0"/>
    <s v="Credit Card"/>
    <x v="3"/>
    <n v="3"/>
    <s v="Dunzo"/>
    <n v="50"/>
  </r>
  <r>
    <x v="282"/>
    <d v="2026-07-06T00:00:00"/>
    <s v="12-06-2024"/>
    <d v="1899-12-30T00:00:00"/>
    <s v="Burger King"/>
    <s v="Kolkata"/>
    <s v="Mughlai"/>
    <n v="23"/>
    <n v="4.5999999999999996"/>
    <s v="26mins"/>
    <n v="878"/>
    <n v="150"/>
    <s v="Wallet"/>
    <x v="2"/>
    <n v="8"/>
    <s v="Dunzo"/>
    <n v="250"/>
  </r>
  <r>
    <x v="283"/>
    <d v="2026-04-25T00:00:00"/>
    <s v="31-03-2024"/>
    <d v="1899-12-30T00:00:00"/>
    <s v="Paradise Biryani"/>
    <s v="Ahmedabad"/>
    <s v="Italian"/>
    <n v="58"/>
    <n v="2.5"/>
    <s v="37mins"/>
    <n v="479"/>
    <n v="0.1"/>
    <s v="Cash On Delivery"/>
    <x v="1"/>
    <n v="9"/>
    <s v="Dunzo"/>
    <n v="159"/>
  </r>
  <r>
    <x v="284"/>
    <d v="2026-11-19T00:00:00"/>
    <s v="19-06-2024"/>
    <d v="1899-12-30T00:00:00"/>
    <s v="Haldiram'S"/>
    <s v="Hyderabad"/>
    <s v="Unknown"/>
    <n v="28"/>
    <n v="2.2000000000000002"/>
    <s v="30mins"/>
    <n v="1546"/>
    <n v="0.2"/>
    <s v="Wallet"/>
    <x v="5"/>
    <n v="4"/>
    <s v="Shadowfax"/>
    <n v="220"/>
  </r>
  <r>
    <x v="285"/>
    <d v="2026-11-04T00:00:00"/>
    <s v="01-05-2024"/>
    <d v="1899-12-30T00:00:00"/>
    <s v="Chai Point"/>
    <s v="Lucknow"/>
    <s v="Chinese"/>
    <n v="38"/>
    <n v="1.4"/>
    <s v="56mins"/>
    <n v="314"/>
    <n v="150"/>
    <s v="Debit Card"/>
    <x v="2"/>
    <n v="8"/>
    <s v="Shadowfax"/>
    <n v="38"/>
  </r>
  <r>
    <x v="286"/>
    <d v="2026-10-12T00:00:00"/>
    <s v="22-03-2024"/>
    <d v="1899-12-30T00:00:00"/>
    <s v="Chai Point"/>
    <s v="Lucknow"/>
    <s v="Chinese"/>
    <n v="62"/>
    <n v="1"/>
    <s v="33mins"/>
    <n v="500"/>
    <n v="100"/>
    <s v="Upi"/>
    <x v="1"/>
    <n v="6"/>
    <s v="Zomato Valet"/>
    <n v="15"/>
  </r>
  <r>
    <x v="287"/>
    <d v="2026-04-04T00:00:00"/>
    <s v="06-13-2024"/>
    <d v="1899-12-30T13:30:00"/>
    <s v="Wow! Momo"/>
    <s v="Kolkata"/>
    <s v="Unknown"/>
    <n v="62"/>
    <n v="1.2"/>
    <s v="29 mins"/>
    <n v="2381"/>
    <n v="0.2"/>
    <s v="Debit Card"/>
    <x v="1"/>
    <n v="7"/>
    <s v="Rapido"/>
    <n v="68"/>
  </r>
  <r>
    <x v="288"/>
    <d v="2026-06-11T00:00:00"/>
    <s v="21-01-2024"/>
    <d v="1899-12-30T00:00:00"/>
    <s v="Wow! Momo"/>
    <s v="Lucknow"/>
    <s v="Fast Food"/>
    <n v="34"/>
    <n v="3.6"/>
    <s v="72mins"/>
    <n v="1556"/>
    <n v="100"/>
    <s v="Credit Card"/>
    <x v="1"/>
    <n v="10"/>
    <s v="In-House"/>
    <n v="142"/>
  </r>
  <r>
    <x v="289"/>
    <d v="2026-12-02T00:00:00"/>
    <s v="18-04-2024"/>
    <d v="1899-12-30T00:00:00"/>
    <s v="Subway"/>
    <s v="Mumbai"/>
    <s v="Chinese"/>
    <n v="48"/>
    <n v="1.5"/>
    <s v="73mins"/>
    <n v="2190"/>
    <n v="75"/>
    <s v="Upi"/>
    <x v="3"/>
    <n v="1"/>
    <s v="Grab"/>
    <m/>
  </r>
  <r>
    <x v="290"/>
    <d v="2026-07-03T00:00:00"/>
    <s v="06-05-2024"/>
    <d v="1899-12-30T00:00:00"/>
    <s v="Kfc"/>
    <s v="Bangalore"/>
    <s v="Street Food"/>
    <n v="58"/>
    <n v="2.4"/>
    <s v="35mins"/>
    <n v="2146"/>
    <n v="50"/>
    <s v="Wallet"/>
    <x v="1"/>
    <n v="5"/>
    <s v="Rapido"/>
    <n v="5"/>
  </r>
  <r>
    <x v="291"/>
    <d v="2026-09-01T00:00:00"/>
    <s v="06-07-2024"/>
    <d v="1899-12-30T00:00:00"/>
    <s v="Subway"/>
    <s v="Pune"/>
    <s v="Mughlai"/>
    <n v="50"/>
    <n v="3"/>
    <s v="54mins"/>
    <n v="696"/>
    <n v="120"/>
    <s v="Wallet"/>
    <x v="1"/>
    <n v="2"/>
    <s v="Zomato Valet"/>
    <n v="59"/>
  </r>
  <r>
    <x v="292"/>
    <d v="2026-12-13T00:00:00"/>
    <s v="17-03-2024"/>
    <d v="1899-12-30T00:00:00"/>
    <s v="Dominos Pizza"/>
    <s v="Lucknow"/>
    <s v="Desserts"/>
    <n v="52"/>
    <n v="2.7"/>
    <s v="59mins"/>
    <n v="2379"/>
    <n v="100"/>
    <s v="Upi"/>
    <x v="2"/>
    <n v="2"/>
    <s v="Grab"/>
    <n v="119"/>
  </r>
  <r>
    <x v="293"/>
    <d v="2026-05-01T00:00:00"/>
    <s v="29-06-2024"/>
    <d v="1899-12-30T00:00:00"/>
    <s v="Subway"/>
    <s v="Delhi"/>
    <s v="Mughlai"/>
    <n v="64"/>
    <n v="2.5"/>
    <s v="77mins"/>
    <n v="534"/>
    <n v="0"/>
    <s v="Debit Card"/>
    <x v="1"/>
    <n v="0"/>
    <s v="In-House"/>
    <m/>
  </r>
  <r>
    <x v="294"/>
    <d v="2026-03-22T00:00:00"/>
    <s v="24-04-2024"/>
    <d v="1899-12-30T00:00:00"/>
    <s v="Kfc"/>
    <s v="Lucknow"/>
    <s v="Fast Food"/>
    <n v="50"/>
    <n v="1.5"/>
    <s v="16mins"/>
    <n v="842"/>
    <n v="0.15"/>
    <s v="Cash On Delivery"/>
    <x v="1"/>
    <n v="9"/>
    <s v="Zomato Valet"/>
    <n v="88"/>
  </r>
  <r>
    <x v="295"/>
    <d v="2026-12-01T00:00:00"/>
    <s v="19-01-2024"/>
    <d v="1899-12-30T00:00:00"/>
    <s v="Faasos"/>
    <s v="Calcutta"/>
    <s v="Desserts, Desserts"/>
    <n v="56"/>
    <n v="1.9"/>
    <s v="76mins"/>
    <n v="1583"/>
    <n v="150"/>
    <s v="Wallet"/>
    <x v="6"/>
    <n v="3"/>
    <s v="Unknown"/>
    <n v="12"/>
  </r>
  <r>
    <x v="296"/>
    <d v="2026-03-17T00:00:00"/>
    <s v="28-03-2024"/>
    <d v="1899-12-30T00:00:00"/>
    <s v="Chai Point"/>
    <s v="Pune"/>
    <s v="Street Food"/>
    <n v="48"/>
    <n v="3.8"/>
    <s v="23mins"/>
    <n v="719"/>
    <n v="0.2"/>
    <s v="Net Banking"/>
    <x v="3"/>
    <n v="6"/>
    <s v="Rapido"/>
    <n v="117"/>
  </r>
  <r>
    <x v="297"/>
    <d v="2026-03-26T00:00:00"/>
    <s v="05-02-2024"/>
    <d v="1899-12-30T00:00:00"/>
    <s v="Faasos"/>
    <s v="Lucknow"/>
    <s v="Biryani"/>
    <n v="29"/>
    <n v="4.2"/>
    <s v="65mins"/>
    <n v="1273"/>
    <n v="120"/>
    <s v="Debit Card"/>
    <x v="1"/>
    <n v="0"/>
    <s v="Shadowfax"/>
    <n v="83"/>
  </r>
  <r>
    <x v="298"/>
    <d v="2026-12-15T00:00:00"/>
    <s v="10-05-2024"/>
    <d v="1899-12-30T00:00:00"/>
    <s v="Burger King"/>
    <s v="Ahmedabad"/>
    <s v="South Indian"/>
    <n v="35"/>
    <n v="3.1"/>
    <s v="21 mins"/>
    <n v="2323"/>
    <n v="0.6"/>
    <s v="Unknown"/>
    <x v="2"/>
    <n v="4"/>
    <s v="Shadowfax"/>
    <n v="168"/>
  </r>
  <r>
    <x v="299"/>
    <d v="2026-10-26T00:00:00"/>
    <s v="06-01-2024"/>
    <d v="1899-12-30T00:00:00"/>
    <s v="Dominos Pizza"/>
    <s v="Delhi"/>
    <s v="Biryani"/>
    <n v="33"/>
    <n v="1.7"/>
    <s v="29 mins"/>
    <n v="500"/>
    <n v="100"/>
    <s v="Net Banking"/>
    <x v="3"/>
    <n v="8"/>
    <s v="Shadowfax"/>
    <n v="123"/>
  </r>
  <r>
    <x v="300"/>
    <d v="2026-02-06T00:00:00"/>
    <s v="21-06-2024"/>
    <d v="1899-12-30T00:00:00"/>
    <s v="Wow! Momo"/>
    <s v="Pune"/>
    <s v="South Indian"/>
    <n v="31"/>
    <n v="2.4"/>
    <s v="52mins"/>
    <n v="2258"/>
    <n v="0"/>
    <s v="Wallet"/>
    <x v="4"/>
    <n v="1"/>
    <s v="Grab"/>
    <n v="60"/>
  </r>
  <r>
    <x v="301"/>
    <d v="2026-07-08T00:00:00"/>
    <s v="07-03-2024"/>
    <d v="1899-12-30T00:00:00"/>
    <s v="Dominos Pizza"/>
    <s v="Delhi"/>
    <s v="South Indian"/>
    <n v="34"/>
    <n v="4.7"/>
    <s v="52mins"/>
    <n v="457"/>
    <n v="50"/>
    <s v="Credit Card"/>
    <x v="1"/>
    <n v="3"/>
    <s v="Dunzo"/>
    <n v="215"/>
  </r>
  <r>
    <x v="3"/>
    <d v="2026-05-04T00:00:00"/>
    <s v="04-27-2024"/>
    <d v="1899-12-30T18:03:00"/>
    <s v="Faasos"/>
    <s v="Ahmedabad"/>
    <s v="Bakery"/>
    <n v="44"/>
    <n v="4.4000000000000004"/>
    <s v="17 mins"/>
    <n v="612"/>
    <n v="0.2"/>
    <s v="Upi"/>
    <x v="5"/>
    <n v="1"/>
    <s v="Shadowfax"/>
    <n v="31"/>
  </r>
  <r>
    <x v="302"/>
    <d v="2026-06-08T00:00:00"/>
    <s v="15-06-2024"/>
    <d v="1899-12-30T00:00:00"/>
    <s v="Unknown"/>
    <s v="Hyderabad"/>
    <s v="Mughlai"/>
    <n v="33"/>
    <n v="4.5999999999999996"/>
    <s v="52mins"/>
    <n v="1010"/>
    <n v="150"/>
    <s v="Cash On Delivery"/>
    <x v="1"/>
    <n v="8"/>
    <s v="Zomato Valet"/>
    <n v="224"/>
  </r>
  <r>
    <x v="303"/>
    <d v="2026-07-10T00:00:00"/>
    <s v="01-07-2024"/>
    <d v="1899-12-30T00:00:00"/>
    <s v="Bikanervala"/>
    <s v="Chennai"/>
    <s v="Biryani"/>
    <n v="49"/>
    <n v="3.1"/>
    <s v="79mins"/>
    <n v="280"/>
    <n v="100"/>
    <s v="Debit Card"/>
    <x v="2"/>
    <n v="10"/>
    <s v="Grab"/>
    <m/>
  </r>
  <r>
    <x v="304"/>
    <d v="2026-06-02T00:00:00"/>
    <s v="02-19-2024"/>
    <d v="1899-12-30T14:15:00"/>
    <s v="Barbeque Nation"/>
    <s v="Mumbai"/>
    <s v="Mughlai"/>
    <n v="61"/>
    <n v="1.3"/>
    <s v="58mins"/>
    <n v="1588"/>
    <n v="75"/>
    <s v="Net Banking"/>
    <x v="2"/>
    <n v="10"/>
    <s v="Rapido"/>
    <n v="177"/>
  </r>
  <r>
    <x v="305"/>
    <d v="2026-10-03T00:00:00"/>
    <s v="10-03-2024"/>
    <d v="1899-12-30T00:00:00"/>
    <s v="Burger King"/>
    <s v="Kolkata"/>
    <s v="Street Food"/>
    <n v="27"/>
    <n v="3.8"/>
    <s v="67mins"/>
    <n v="1887"/>
    <n v="0.1"/>
    <s v="Credit Card"/>
    <x v="1"/>
    <n v="7"/>
    <s v="Grab"/>
    <n v="70"/>
  </r>
  <r>
    <x v="306"/>
    <d v="2026-11-04T00:00:00"/>
    <s v="05-05-2024"/>
    <d v="1899-12-30T00:00:00"/>
    <s v="Subway"/>
    <s v="Chennai"/>
    <s v="South Indian, North Indian"/>
    <n v="45"/>
    <n v="1.4"/>
    <s v="34mins"/>
    <n v="500"/>
    <n v="0.15"/>
    <s v="Debit Card"/>
    <x v="2"/>
    <n v="5"/>
    <s v="Dunzo"/>
    <m/>
  </r>
  <r>
    <x v="3"/>
    <d v="2026-02-22T00:00:00"/>
    <s v="19-02-2024"/>
    <d v="1899-12-30T00:00:00"/>
    <s v="Paradise Biryani"/>
    <s v="Lucknow"/>
    <s v="Bakery"/>
    <n v="49"/>
    <n v="3.8"/>
    <s v="15 mins"/>
    <n v="2148"/>
    <n v="100"/>
    <s v="Debit Card"/>
    <x v="1"/>
    <n v="5"/>
    <s v="In-House"/>
    <n v="31"/>
  </r>
  <r>
    <x v="307"/>
    <d v="2026-08-12T00:00:00"/>
    <s v="31-01-2024"/>
    <d v="1899-12-30T00:00:00"/>
    <s v="Paradise Biryani"/>
    <s v="Chennai"/>
    <s v="South Indian"/>
    <n v="37"/>
    <n v="1.8"/>
    <s v="19mins"/>
    <n v="987"/>
    <n v="0.1"/>
    <s v="Upi"/>
    <x v="1"/>
    <n v="6"/>
    <s v="Grab"/>
    <n v="239"/>
  </r>
  <r>
    <x v="308"/>
    <d v="2026-05-10T00:00:00"/>
    <s v="31-05-2024"/>
    <d v="1899-12-30T00:00:00"/>
    <s v="Unknown"/>
    <s v="Unknown"/>
    <s v="Bakery"/>
    <n v="47"/>
    <n v="3.4"/>
    <s v="35 mins"/>
    <n v="2107"/>
    <n v="0.1"/>
    <s v="Credit Card"/>
    <x v="0"/>
    <n v="1"/>
    <s v="Unknown"/>
    <n v="55"/>
  </r>
  <r>
    <x v="309"/>
    <d v="2026-09-01T00:00:00"/>
    <s v="12-06-2024"/>
    <d v="1899-12-30T00:00:00"/>
    <s v="Barbeque Nation"/>
    <s v="Hyderabad"/>
    <s v="Biryani"/>
    <n v="52"/>
    <n v="1.5"/>
    <s v="50mins"/>
    <n v="1989"/>
    <n v="0"/>
    <s v="Credit Card"/>
    <x v="1"/>
    <n v="2"/>
    <s v="Zomato Valet"/>
    <n v="92"/>
  </r>
  <r>
    <x v="310"/>
    <d v="2026-06-06T00:00:00"/>
    <s v="05-21-2024"/>
    <d v="1899-12-30T18:49:00"/>
    <s v="Kfc"/>
    <s v="Hyderabad"/>
    <s v="South Indian"/>
    <n v="34"/>
    <n v="5"/>
    <s v="67mins"/>
    <n v="2456"/>
    <n v="0.5"/>
    <s v="Debit Card"/>
    <x v="2"/>
    <n v="9"/>
    <s v="Rapido"/>
    <n v="43"/>
  </r>
  <r>
    <x v="311"/>
    <d v="2026-06-22T00:00:00"/>
    <s v="01-02-2024"/>
    <d v="1899-12-30T00:00:00"/>
    <s v="Chai Point"/>
    <s v="Jaipur"/>
    <s v="Street Food"/>
    <n v="60"/>
    <n v="4.5999999999999996"/>
    <s v="20mins"/>
    <n v="862"/>
    <n v="0"/>
    <s v="Debit Card"/>
    <x v="5"/>
    <n v="1"/>
    <s v="Grab"/>
    <n v="45"/>
  </r>
  <r>
    <x v="312"/>
    <d v="2026-07-14T00:00:00"/>
    <s v="04-03-2024"/>
    <d v="1899-12-30T00:00:00"/>
    <s v="Barbeque Nation"/>
    <s v="Delhi"/>
    <s v="Street Food"/>
    <n v="54"/>
    <n v="4.0999999999999996"/>
    <s v="50 mins"/>
    <n v="686"/>
    <n v="100"/>
    <s v="Credit Card"/>
    <x v="1"/>
    <n v="10"/>
    <s v="Zomato Valet"/>
    <m/>
  </r>
  <r>
    <x v="313"/>
    <d v="2026-10-16T00:00:00"/>
    <s v="07-10-2024"/>
    <d v="1899-12-30T08:38:00"/>
    <s v="Chai Point"/>
    <s v="Bangalore"/>
    <s v="North Indian"/>
    <n v="25"/>
    <n v="3.6"/>
    <s v="16mins"/>
    <n v="1104"/>
    <n v="50"/>
    <s v="Wallet"/>
    <x v="1"/>
    <n v="4"/>
    <s v="In-House"/>
    <n v="18"/>
  </r>
  <r>
    <x v="314"/>
    <d v="2026-03-19T00:00:00"/>
    <s v="05-05-2024"/>
    <d v="1899-12-30T00:00:00"/>
    <s v="Unknown"/>
    <s v="Ahmedabad"/>
    <s v="Mughlai"/>
    <n v="36"/>
    <n v="2.7"/>
    <s v="15 mins"/>
    <n v="1990"/>
    <n v="75"/>
    <s v="Debit Card"/>
    <x v="2"/>
    <n v="8"/>
    <s v="Shadowfax"/>
    <n v="178"/>
  </r>
  <r>
    <x v="315"/>
    <d v="2026-12-24T00:00:00"/>
    <s v="05-21-2024"/>
    <d v="1899-12-30T17:23:00"/>
    <s v="Barbeque Nation"/>
    <s v="Kolkata"/>
    <s v="Unknown"/>
    <n v="24"/>
    <n v="2.1"/>
    <s v="38mins"/>
    <n v="1614"/>
    <n v="0"/>
    <s v="Upi"/>
    <x v="1"/>
    <n v="5"/>
    <s v="In-House"/>
    <n v="186"/>
  </r>
  <r>
    <x v="316"/>
    <d v="2026-08-04T00:00:00"/>
    <s v="03-06-2024"/>
    <d v="1899-12-30T00:00:00"/>
    <s v="Haldiram'S"/>
    <s v="Chennai"/>
    <s v="Mughlai"/>
    <n v="54"/>
    <n v="1.9"/>
    <s v="41mins"/>
    <n v="1232"/>
    <n v="0"/>
    <s v="Wallet"/>
    <x v="3"/>
    <n v="5"/>
    <s v="Zomato Valet"/>
    <n v="247"/>
  </r>
  <r>
    <x v="317"/>
    <d v="2026-03-12T00:00:00"/>
    <s v="24-01-2024"/>
    <d v="1899-12-30T00:00:00"/>
    <s v="Chai Point"/>
    <s v="Hyderabad"/>
    <s v="North Indian"/>
    <n v="39"/>
    <n v="3"/>
    <s v="51 mins"/>
    <n v="781"/>
    <n v="0.2"/>
    <s v="Cash On Delivery"/>
    <x v="5"/>
    <n v="3"/>
    <s v="Shadowfax"/>
    <n v="21"/>
  </r>
  <r>
    <x v="318"/>
    <d v="2026-10-01T00:00:00"/>
    <s v="16-01-2024"/>
    <d v="1899-12-30T00:00:00"/>
    <s v="Chai Point"/>
    <s v="Kolkata"/>
    <s v="Fast Food, Desserts"/>
    <n v="18"/>
    <n v="4.4000000000000004"/>
    <s v="25mins"/>
    <n v="1939"/>
    <n v="0.1"/>
    <s v="Cash On Delivery"/>
    <x v="1"/>
    <n v="10"/>
    <s v="Rapido"/>
    <n v="28"/>
  </r>
  <r>
    <x v="319"/>
    <d v="2026-11-19T00:00:00"/>
    <s v="24-04-2024"/>
    <d v="1899-12-30T00:00:00"/>
    <s v="Paradise Biryani"/>
    <s v="Delhi"/>
    <s v="Mughlai"/>
    <n v="21"/>
    <n v="3.8"/>
    <s v="29mins"/>
    <n v="1453"/>
    <n v="150"/>
    <s v="Wallet"/>
    <x v="3"/>
    <n v="10"/>
    <s v="Rapido"/>
    <n v="102"/>
  </r>
  <r>
    <x v="320"/>
    <d v="2026-06-28T00:00:00"/>
    <s v="26-03-2024"/>
    <d v="1899-12-30T00:00:00"/>
    <s v="Unknown"/>
    <s v="Ahmedabad"/>
    <s v="Chinese, Fast Food"/>
    <n v="22"/>
    <n v="3.5"/>
    <s v="63 mins"/>
    <n v="886"/>
    <n v="0.2"/>
    <s v="Unknown"/>
    <x v="1"/>
    <n v="1"/>
    <s v="Zomato Valet"/>
    <n v="187"/>
  </r>
  <r>
    <x v="321"/>
    <d v="2026-07-24T00:00:00"/>
    <s v="03-03-2024"/>
    <d v="1899-12-30T00:00:00"/>
    <s v="Kfc"/>
    <s v="Pune"/>
    <s v="Biryani"/>
    <n v="18"/>
    <n v="1.7"/>
    <s v="20mins"/>
    <n v="500"/>
    <n v="100"/>
    <s v="Credit Card"/>
    <x v="1"/>
    <n v="0"/>
    <s v="Rapido"/>
    <n v="203"/>
  </r>
  <r>
    <x v="322"/>
    <d v="2026-05-29T00:00:00"/>
    <s v="13-01-2024"/>
    <d v="1899-12-30T00:00:00"/>
    <s v="Burger King"/>
    <s v="Delhi"/>
    <s v="Fast Food"/>
    <n v="30"/>
    <n v="4.0999999999999996"/>
    <s v="23mins"/>
    <n v="1071"/>
    <n v="50"/>
    <s v="Wallet"/>
    <x v="1"/>
    <n v="7"/>
    <s v="Dunzo"/>
    <n v="59"/>
  </r>
  <r>
    <x v="323"/>
    <d v="2026-07-16T00:00:00"/>
    <s v="15-05-2024"/>
    <d v="1899-12-30T00:00:00"/>
    <s v="Burger King"/>
    <s v="Pune"/>
    <s v="Desserts"/>
    <n v="29"/>
    <n v="1.9"/>
    <s v="58mins"/>
    <n v="1413"/>
    <n v="0.1"/>
    <s v="Wallet"/>
    <x v="2"/>
    <n v="9"/>
    <s v="Rapido"/>
    <n v="5"/>
  </r>
  <r>
    <x v="324"/>
    <d v="2026-06-28T00:00:00"/>
    <s v="12-05-2024"/>
    <d v="1899-12-30T00:00:00"/>
    <s v="Burger King"/>
    <s v="Delhi"/>
    <s v="North Indian"/>
    <n v="40"/>
    <n v="3.1"/>
    <s v="30mins"/>
    <n v="1059"/>
    <n v="0.1"/>
    <s v="Upi"/>
    <x v="1"/>
    <n v="10"/>
    <s v="Zomato Valet"/>
    <n v="8"/>
  </r>
  <r>
    <x v="325"/>
    <d v="2026-12-10T00:00:00"/>
    <s v="04-14-2024"/>
    <d v="1899-12-30T01:11:00"/>
    <s v="Haldiram'S"/>
    <s v="Chennai"/>
    <s v="Italian"/>
    <n v="18"/>
    <n v="1.8"/>
    <s v="15 mins"/>
    <n v="2049"/>
    <n v="0.5"/>
    <s v="Upi"/>
    <x v="1"/>
    <n v="8"/>
    <s v="Dunzo"/>
    <n v="117"/>
  </r>
  <r>
    <x v="326"/>
    <d v="2026-04-29T00:00:00"/>
    <s v="07-06-2024"/>
    <d v="1899-12-30T00:00:00"/>
    <s v="Kfc"/>
    <s v="Lucknow"/>
    <s v="Bakery"/>
    <n v="48"/>
    <n v="1.1000000000000001"/>
    <s v="41 mins"/>
    <n v="583"/>
    <n v="0.15"/>
    <s v="Net Banking"/>
    <x v="2"/>
    <n v="1"/>
    <s v="In-House"/>
    <n v="37"/>
  </r>
  <r>
    <x v="327"/>
    <d v="2026-06-26T00:00:00"/>
    <m/>
    <d v="1899-12-30T00:00:00"/>
    <s v="Kfc"/>
    <s v="Delhi"/>
    <s v="Italian, North Indian"/>
    <n v="21"/>
    <n v="1.8"/>
    <s v="26mins"/>
    <n v="2067"/>
    <n v="0.5"/>
    <s v="Upi"/>
    <x v="3"/>
    <n v="1"/>
    <s v="Grab"/>
    <n v="109"/>
  </r>
  <r>
    <x v="328"/>
    <d v="2026-01-12T00:00:00"/>
    <s v="23-05-2024"/>
    <d v="1899-12-30T00:00:00"/>
    <s v="Chai Point"/>
    <s v="Delhi"/>
    <s v="Street Food"/>
    <n v="60"/>
    <n v="3.9"/>
    <s v="67mins"/>
    <n v="230"/>
    <n v="0.1"/>
    <s v="Upi"/>
    <x v="4"/>
    <n v="10"/>
    <s v="In-House"/>
    <n v="109"/>
  </r>
  <r>
    <x v="329"/>
    <d v="2026-01-28T00:00:00"/>
    <s v="06-03-2024"/>
    <d v="1899-12-30T00:00:00"/>
    <s v="Subway"/>
    <s v="Lucknow"/>
    <s v="Biryani"/>
    <n v="61"/>
    <n v="4.9000000000000004"/>
    <s v="52mins"/>
    <n v="466"/>
    <n v="150"/>
    <s v="Net Banking"/>
    <x v="1"/>
    <n v="4"/>
    <s v="Shadowfax"/>
    <n v="197"/>
  </r>
  <r>
    <x v="330"/>
    <d v="2026-03-14T00:00:00"/>
    <s v="17-07-2024"/>
    <d v="1899-12-30T00:00:00"/>
    <s v="Wow! Momo"/>
    <s v="Delhi"/>
    <s v="South Indian"/>
    <n v="29"/>
    <n v="2.2000000000000002"/>
    <s v="44mins"/>
    <n v="1358"/>
    <n v="120"/>
    <s v="Debit Card"/>
    <x v="1"/>
    <n v="1"/>
    <s v="Dunzo"/>
    <n v="41"/>
  </r>
  <r>
    <x v="331"/>
    <d v="2026-02-02T00:00:00"/>
    <s v="28-03-2024"/>
    <d v="1899-12-30T00:00:00"/>
    <s v="Barbeque Nation"/>
    <s v="Kolkata"/>
    <s v="Desserts, Chinese"/>
    <n v="18"/>
    <n v="2.7"/>
    <s v="33mins"/>
    <n v="1944"/>
    <n v="0.2"/>
    <s v="Upi"/>
    <x v="1"/>
    <n v="9"/>
    <s v="Dunzo"/>
    <n v="70"/>
  </r>
  <r>
    <x v="332"/>
    <d v="2026-09-03T00:00:00"/>
    <s v="10-03-2024"/>
    <d v="1899-12-30T00:00:00"/>
    <s v="Paradise Biryani"/>
    <s v="Ahmedabad"/>
    <s v="Italian"/>
    <n v="23"/>
    <n v="3"/>
    <s v="75mins"/>
    <n v="2316"/>
    <n v="120"/>
    <s v="Wallet"/>
    <x v="1"/>
    <n v="2"/>
    <s v="Shadowfax"/>
    <n v="51"/>
  </r>
  <r>
    <x v="333"/>
    <d v="2026-11-17T00:00:00"/>
    <s v="13-02-2024"/>
    <d v="1899-12-30T00:00:00"/>
    <s v="Subw@Y"/>
    <s v="Bangalore"/>
    <s v="Unknown"/>
    <n v="45"/>
    <n v="3.1"/>
    <s v="31mins"/>
    <n v="1233"/>
    <n v="100"/>
    <s v="Upi"/>
    <x v="1"/>
    <n v="3"/>
    <s v="Rapido"/>
    <n v="51"/>
  </r>
  <r>
    <x v="334"/>
    <d v="2026-10-27T00:00:00"/>
    <s v="11-03-2024"/>
    <d v="1899-12-30T00:00:00"/>
    <s v="Dominos Pizza"/>
    <s v="Jaipur"/>
    <s v="Mughlai"/>
    <n v="18"/>
    <n v="1.4"/>
    <s v="38mins"/>
    <n v="364"/>
    <n v="100"/>
    <s v="Credit Card"/>
    <x v="1"/>
    <n v="4"/>
    <s v="Rapido"/>
    <n v="90"/>
  </r>
  <r>
    <x v="335"/>
    <d v="2026-02-05T00:00:00"/>
    <s v="27-03-2024"/>
    <d v="1899-12-30T00:00:00"/>
    <s v="Paradise Biryani"/>
    <s v="Lucknow"/>
    <s v="South Indian"/>
    <n v="33"/>
    <n v="3.1"/>
    <s v="16mins"/>
    <n v="500"/>
    <n v="0"/>
    <s v="Wallet"/>
    <x v="2"/>
    <n v="6"/>
    <s v="Zomato Valet"/>
    <n v="68"/>
  </r>
  <r>
    <x v="336"/>
    <d v="2026-07-03T00:00:00"/>
    <s v="06-07-2024"/>
    <d v="1899-12-30T00:00:00"/>
    <s v="Barbeque Nation"/>
    <s v="Ahmedabad"/>
    <s v="Street Food"/>
    <n v="36"/>
    <n v="4.5"/>
    <s v="31mins"/>
    <n v="500"/>
    <n v="0.1"/>
    <s v="Net Banking"/>
    <x v="1"/>
    <n v="9"/>
    <s v="Dunzo"/>
    <n v="120"/>
  </r>
  <r>
    <x v="337"/>
    <d v="2026-03-10T00:00:00"/>
    <s v="17-01-2024"/>
    <d v="1899-12-30T00:00:00"/>
    <s v="Kfc"/>
    <s v="Delhi"/>
    <s v="Fast Food"/>
    <n v="52"/>
    <n v="3.6"/>
    <s v="15 mins"/>
    <n v="1585"/>
    <n v="120"/>
    <s v="Upi"/>
    <x v="1"/>
    <n v="10"/>
    <s v="Rapido"/>
    <n v="157"/>
  </r>
  <r>
    <x v="338"/>
    <d v="2026-09-26T00:00:00"/>
    <s v="27-05-2024"/>
    <d v="1899-12-30T00:00:00"/>
    <s v="Unknown"/>
    <s v="Jaipur"/>
    <s v="Fast Food"/>
    <n v="19"/>
    <n v="4.5"/>
    <s v="64mins"/>
    <n v="1027"/>
    <n v="120"/>
    <s v="Unknown"/>
    <x v="1"/>
    <n v="6"/>
    <s v="Dunzo"/>
    <n v="93"/>
  </r>
  <r>
    <x v="339"/>
    <d v="2026-02-06T00:00:00"/>
    <s v="05-06-2024"/>
    <d v="1899-12-30T00:00:00"/>
    <s v="Dominos Pizza"/>
    <s v="Kolkata"/>
    <s v="Chinese"/>
    <n v="43"/>
    <n v="1.3"/>
    <s v="56mins"/>
    <n v="564"/>
    <n v="100"/>
    <s v="Credit Card"/>
    <x v="1"/>
    <n v="4"/>
    <s v="Dunzo"/>
    <n v="42"/>
  </r>
  <r>
    <x v="340"/>
    <d v="2026-12-18T00:00:00"/>
    <s v="25-02-2024"/>
    <d v="1899-12-30T00:00:00"/>
    <s v="Dominos Pizza"/>
    <s v="Hyderabad"/>
    <s v="North Indian"/>
    <n v="59"/>
    <n v="2.1"/>
    <s v="26mins"/>
    <n v="204"/>
    <n v="120"/>
    <s v="Net Banking"/>
    <x v="1"/>
    <n v="8"/>
    <s v="Zomato Valet"/>
    <n v="199"/>
  </r>
  <r>
    <x v="341"/>
    <d v="2026-08-01T00:00:00"/>
    <s v="11-02-2024"/>
    <d v="1899-12-30T00:00:00"/>
    <s v="Wow! Momo"/>
    <s v="Chennai"/>
    <s v="Mughlai"/>
    <n v="63"/>
    <n v="2.2999999999999998"/>
    <s v="50mins"/>
    <n v="1408"/>
    <n v="75"/>
    <s v="Debit Card"/>
    <x v="1"/>
    <n v="2"/>
    <s v="In-House"/>
    <n v="35"/>
  </r>
  <r>
    <x v="342"/>
    <d v="2026-04-14T00:00:00"/>
    <s v="03-19-2024"/>
    <d v="1899-12-30T12:42:00"/>
    <s v="Chai Point"/>
    <s v="Mumbai"/>
    <s v="North Indian"/>
    <n v="45"/>
    <n v="1.7"/>
    <s v="34 mins"/>
    <n v="797"/>
    <n v="100"/>
    <s v="Net Banking"/>
    <x v="3"/>
    <n v="5"/>
    <s v="In-House"/>
    <n v="37"/>
  </r>
  <r>
    <x v="343"/>
    <d v="2026-02-11T00:00:00"/>
    <s v="04-04-2024"/>
    <d v="1899-12-30T00:00:00"/>
    <s v="Haldiram'S"/>
    <s v="Mumbai"/>
    <s v="Chinese"/>
    <n v="57"/>
    <n v="2.5"/>
    <s v="15 mins"/>
    <n v="334"/>
    <n v="0.15"/>
    <s v="Cash Card"/>
    <x v="3"/>
    <n v="8"/>
    <s v="Shadowfax"/>
    <n v="78"/>
  </r>
  <r>
    <x v="344"/>
    <d v="2026-07-20T00:00:00"/>
    <s v="09-06-2024"/>
    <d v="1899-12-30T00:00:00"/>
    <s v="Subway"/>
    <s v="Bangalore"/>
    <s v="Mughlai"/>
    <n v="21"/>
    <n v="1.7"/>
    <s v="30mins"/>
    <n v="1656"/>
    <n v="50"/>
    <s v="Credit Card"/>
    <x v="1"/>
    <n v="1"/>
    <s v="Dunzo"/>
    <n v="235"/>
  </r>
  <r>
    <x v="345"/>
    <d v="2026-01-20T00:00:00"/>
    <s v="02-13-2024"/>
    <d v="1899-12-30T03:26:00"/>
    <s v="Kfc"/>
    <s v="Jaipur"/>
    <s v="Desserts"/>
    <n v="31"/>
    <n v="4.8"/>
    <s v="30mins"/>
    <n v="1284"/>
    <n v="100"/>
    <s v="Credit Card"/>
    <x v="1"/>
    <n v="8"/>
    <s v="Rapido"/>
    <n v="215"/>
  </r>
  <r>
    <x v="346"/>
    <d v="2026-06-22T00:00:00"/>
    <s v="01-01-2024"/>
    <d v="1899-12-30T00:00:00"/>
    <s v="Paradise Biryani"/>
    <s v="Lucknow"/>
    <s v="South Indian"/>
    <n v="53"/>
    <n v="3.1"/>
    <s v="16 mins"/>
    <n v="2053"/>
    <n v="0"/>
    <s v="Debit Card"/>
    <x v="6"/>
    <n v="9"/>
    <s v="Grab"/>
    <n v="212"/>
  </r>
  <r>
    <x v="3"/>
    <d v="2026-06-07T00:00:00"/>
    <s v="18-03-2024"/>
    <d v="1899-12-30T00:00:00"/>
    <s v="Faasos"/>
    <s v="Delhi"/>
    <s v="Bakery"/>
    <n v="58"/>
    <n v="1.6"/>
    <s v="22 mins"/>
    <n v="2183"/>
    <n v="100"/>
    <s v="Cash On Delivery"/>
    <x v="1"/>
    <n v="3"/>
    <s v="Zomato Valet"/>
    <n v="67"/>
  </r>
  <r>
    <x v="347"/>
    <d v="2026-08-01T00:00:00"/>
    <s v="13-07-2024"/>
    <d v="1899-12-30T00:00:00"/>
    <s v="Dominos Pizza"/>
    <s v="Hyderabad"/>
    <s v="Fast Food"/>
    <n v="24"/>
    <n v="4.0999999999999996"/>
    <s v="20 mins"/>
    <n v="797"/>
    <n v="150"/>
    <s v="Net Banking"/>
    <x v="2"/>
    <n v="3"/>
    <s v="Zomato Valet"/>
    <n v="151"/>
  </r>
  <r>
    <x v="348"/>
    <d v="2026-02-18T00:00:00"/>
    <m/>
    <d v="1899-12-30T00:00:00"/>
    <s v="Dominos Pizza"/>
    <s v="Lucknow"/>
    <s v="South Indian"/>
    <n v="40"/>
    <n v="3.2"/>
    <s v="31mins"/>
    <n v="500"/>
    <n v="150"/>
    <s v="Unknown"/>
    <x v="1"/>
    <n v="3"/>
    <s v="Grab"/>
    <n v="60"/>
  </r>
  <r>
    <x v="349"/>
    <d v="2026-08-08T00:00:00"/>
    <s v="04-03-2024"/>
    <d v="1899-12-30T00:00:00"/>
    <s v="H@Ldir@M'S"/>
    <s v="Delhi"/>
    <s v="Street Food"/>
    <n v="44"/>
    <n v="1.4"/>
    <s v="26mins"/>
    <n v="1284"/>
    <n v="0"/>
    <s v="Upi"/>
    <x v="1"/>
    <n v="2"/>
    <s v="Dunzo"/>
    <m/>
  </r>
  <r>
    <x v="350"/>
    <d v="2026-11-21T00:00:00"/>
    <s v="28-04-2024"/>
    <d v="1899-12-30T00:00:00"/>
    <s v="Bikanervala"/>
    <s v="Ahmedabad"/>
    <s v="Unknown"/>
    <n v="29"/>
    <n v="4.4000000000000004"/>
    <s v="72mins"/>
    <n v="1134"/>
    <n v="0.1"/>
    <s v="Credit Card"/>
    <x v="3"/>
    <n v="10"/>
    <s v="Grab"/>
    <n v="230"/>
  </r>
  <r>
    <x v="351"/>
    <d v="2026-02-01T00:00:00"/>
    <s v="21-04-2024"/>
    <d v="1899-12-30T00:00:00"/>
    <s v="Chai Point"/>
    <s v="Unknown"/>
    <s v="Biryani"/>
    <n v="55"/>
    <n v="2.5"/>
    <s v="22 mins"/>
    <n v="240"/>
    <n v="0"/>
    <s v="Unknown"/>
    <x v="2"/>
    <n v="2"/>
    <s v="In-House"/>
    <n v="153"/>
  </r>
  <r>
    <x v="352"/>
    <d v="2026-03-14T00:00:00"/>
    <s v="19-06-2024"/>
    <d v="1899-12-30T00:00:00"/>
    <s v="Unknown"/>
    <s v="Lucknow"/>
    <s v="Bakery"/>
    <n v="43"/>
    <n v="3.1"/>
    <s v="43mins"/>
    <n v="1662"/>
    <n v="150"/>
    <s v="Upi"/>
    <x v="2"/>
    <n v="3"/>
    <s v="Shadowfax"/>
    <n v="80"/>
  </r>
  <r>
    <x v="353"/>
    <d v="2026-06-08T00:00:00"/>
    <s v="14-07-2024"/>
    <d v="1899-12-30T00:00:00"/>
    <s v="Dominos Pizza"/>
    <s v="Lucknow"/>
    <s v="North Indian"/>
    <n v="60"/>
    <n v="1.9"/>
    <s v="44 mins"/>
    <n v="2071"/>
    <n v="0.1"/>
    <s v="Cash On Delivery"/>
    <x v="1"/>
    <n v="9"/>
    <s v="Zomato Valet"/>
    <n v="168"/>
  </r>
  <r>
    <x v="354"/>
    <d v="2026-04-20T00:00:00"/>
    <s v="22-05-2024"/>
    <d v="1899-12-30T00:00:00"/>
    <s v="Subway"/>
    <s v="Pune"/>
    <s v="Italian"/>
    <n v="33"/>
    <n v="4.7"/>
    <s v="49mins"/>
    <n v="1198"/>
    <n v="0"/>
    <s v="Upi"/>
    <x v="3"/>
    <n v="7"/>
    <s v="Dunzo"/>
    <n v="86"/>
  </r>
  <r>
    <x v="355"/>
    <d v="2026-12-11T00:00:00"/>
    <s v="16-05-2024"/>
    <d v="1899-12-30T00:00:00"/>
    <s v="Wow! Momo"/>
    <s v="Kolkata"/>
    <s v="Street Food"/>
    <n v="22"/>
    <n v="1.3"/>
    <s v="29mins"/>
    <n v="1516"/>
    <n v="75"/>
    <s v="Wallet"/>
    <x v="3"/>
    <n v="7"/>
    <s v="Zomato Valet"/>
    <n v="66"/>
  </r>
  <r>
    <x v="356"/>
    <d v="2026-08-31T00:00:00"/>
    <s v="08-06-2024"/>
    <d v="1899-12-30T00:00:00"/>
    <s v="Faasos"/>
    <s v="Lucknow"/>
    <s v="Italian"/>
    <n v="54"/>
    <n v="4.5999999999999996"/>
    <s v="36 mins"/>
    <n v="1520"/>
    <n v="0"/>
    <s v="Upi"/>
    <x v="3"/>
    <n v="6"/>
    <s v="Shadowfax"/>
    <n v="149"/>
  </r>
  <r>
    <x v="357"/>
    <d v="2026-04-17T00:00:00"/>
    <s v="23-06-2024"/>
    <d v="1899-12-30T00:00:00"/>
    <s v="Chai Point"/>
    <s v="Chennai"/>
    <s v="South Indian"/>
    <n v="49"/>
    <n v="2.5"/>
    <s v="15 mins"/>
    <n v="1681"/>
    <n v="75"/>
    <s v="Net Banking"/>
    <x v="1"/>
    <n v="9"/>
    <s v="Rapido"/>
    <n v="64"/>
  </r>
  <r>
    <x v="358"/>
    <d v="2026-04-23T00:00:00"/>
    <s v="20-03-2024"/>
    <d v="1899-12-30T00:00:00"/>
    <s v="Kfc"/>
    <s v="Ahmedabad"/>
    <s v="Chinese"/>
    <n v="33"/>
    <n v="2.5"/>
    <s v="63mins"/>
    <n v="1984"/>
    <n v="0.5"/>
    <s v="Debit Card"/>
    <x v="2"/>
    <n v="1"/>
    <s v="In-House"/>
    <n v="202"/>
  </r>
  <r>
    <x v="359"/>
    <d v="2026-05-10T00:00:00"/>
    <s v="14-07-2024"/>
    <d v="1899-12-30T00:00:00"/>
    <s v="Paradise Biryani"/>
    <s v="Lucknow"/>
    <s v="South Indian"/>
    <n v="50"/>
    <n v="2"/>
    <s v="64mins"/>
    <n v="500"/>
    <n v="120"/>
    <s v="Upi"/>
    <x v="1"/>
    <n v="2"/>
    <s v="Shadowfax"/>
    <n v="38"/>
  </r>
  <r>
    <x v="360"/>
    <d v="2026-01-15T00:00:00"/>
    <s v="10-03-2024"/>
    <d v="1899-12-30T00:00:00"/>
    <s v="Behrouz Biryani"/>
    <s v="Mumbai"/>
    <s v="Chinese"/>
    <n v="32"/>
    <n v="3.8"/>
    <s v="21mins"/>
    <n v="1218"/>
    <n v="50"/>
    <s v="Debit Card"/>
    <x v="3"/>
    <n v="9"/>
    <s v="Dunzo"/>
    <n v="168"/>
  </r>
  <r>
    <x v="361"/>
    <d v="2026-06-08T00:00:00"/>
    <s v="19-04-2024"/>
    <d v="1899-12-30T00:00:00"/>
    <s v="Kfc"/>
    <s v="Mumbai"/>
    <s v="Mughlai"/>
    <n v="49"/>
    <n v="3.5"/>
    <s v="25mins"/>
    <n v="1193"/>
    <n v="0.15"/>
    <s v="Credit Card"/>
    <x v="0"/>
    <n v="2"/>
    <s v="Grab"/>
    <n v="99"/>
  </r>
  <r>
    <x v="362"/>
    <d v="2026-08-09T00:00:00"/>
    <s v="04-03-2024"/>
    <d v="1899-12-30T00:00:00"/>
    <s v="Behrouz Biryani"/>
    <s v="Hyderabad"/>
    <s v="Biryani"/>
    <n v="18"/>
    <n v="2.5"/>
    <s v="28mins"/>
    <n v="1345"/>
    <n v="0.5"/>
    <s v="Net Banking"/>
    <x v="2"/>
    <n v="6"/>
    <s v="Dunzo"/>
    <n v="95"/>
  </r>
  <r>
    <x v="363"/>
    <d v="2026-08-09T00:00:00"/>
    <s v="05-01-2024"/>
    <d v="1899-12-30T20:34:00"/>
    <s v="Paradise Biryani"/>
    <s v="Chennai"/>
    <s v="Mughlai"/>
    <n v="42"/>
    <n v="3.3"/>
    <s v="80mins"/>
    <n v="1968"/>
    <n v="120"/>
    <s v="Upi"/>
    <x v="3"/>
    <n v="3"/>
    <s v="Dunzo"/>
    <n v="50"/>
  </r>
  <r>
    <x v="364"/>
    <d v="2026-12-20T00:00:00"/>
    <s v="07-04-2024"/>
    <d v="1899-12-30T00:00:00"/>
    <s v="Barbeque Nation"/>
    <s v="Bangalore"/>
    <s v="Fast Food"/>
    <n v="43"/>
    <n v="1.6"/>
    <s v="41mins"/>
    <n v="2460"/>
    <n v="0"/>
    <s v="Wallet"/>
    <x v="1"/>
    <n v="3"/>
    <s v="Unknown"/>
    <n v="148"/>
  </r>
  <r>
    <x v="365"/>
    <d v="2026-08-26T00:00:00"/>
    <m/>
    <d v="1899-12-30T00:00:00"/>
    <s v="Burger King"/>
    <s v="Bombay"/>
    <s v="Italian"/>
    <n v="18"/>
    <n v="2.6"/>
    <s v="26mins"/>
    <n v="1807"/>
    <n v="50"/>
    <s v="Unknown"/>
    <x v="1"/>
    <n v="10"/>
    <s v="Dunzo"/>
    <m/>
  </r>
  <r>
    <x v="366"/>
    <d v="2026-01-16T00:00:00"/>
    <s v="26-04-2024"/>
    <d v="1899-12-30T00:00:00"/>
    <s v="Wow! Momo"/>
    <s v="Mumbai"/>
    <s v="Bakery"/>
    <n v="39"/>
    <n v="4.9000000000000004"/>
    <s v="46 mins"/>
    <n v="1207"/>
    <n v="50"/>
    <s v="Cash On Delivery"/>
    <x v="1"/>
    <n v="3"/>
    <s v="Dunzo"/>
    <n v="53"/>
  </r>
  <r>
    <x v="367"/>
    <d v="2026-01-06T00:00:00"/>
    <s v="22-04-2024"/>
    <d v="1899-12-30T00:00:00"/>
    <s v="Barbeque Nation"/>
    <s v="Pune"/>
    <s v="Mughlai"/>
    <n v="50"/>
    <n v="2.2000000000000002"/>
    <s v="52mins"/>
    <n v="660"/>
    <n v="120"/>
    <s v="Cash On Delivery"/>
    <x v="1"/>
    <n v="8"/>
    <s v="Zomato Valet"/>
    <n v="237"/>
  </r>
  <r>
    <x v="368"/>
    <d v="2026-09-24T00:00:00"/>
    <s v="01-05-2024"/>
    <d v="1899-12-30T00:00:00"/>
    <s v="Wow! Momo"/>
    <s v="Kolkata"/>
    <s v="Bakery"/>
    <n v="31"/>
    <n v="4.0999999999999996"/>
    <s v="71mins"/>
    <n v="729"/>
    <n v="75"/>
    <s v="Credit Card"/>
    <x v="1"/>
    <n v="10"/>
    <s v="Rapido"/>
    <n v="3"/>
  </r>
  <r>
    <x v="369"/>
    <d v="2026-09-16T00:00:00"/>
    <s v="18-03-2024"/>
    <d v="1899-12-30T00:00:00"/>
    <s v="Dominos Pizza"/>
    <s v="Calcutta"/>
    <s v="Desserts"/>
    <n v="43"/>
    <n v="3.5"/>
    <s v="61mins"/>
    <n v="2407"/>
    <n v="150"/>
    <s v="Upi"/>
    <x v="2"/>
    <n v="1"/>
    <s v="In-House"/>
    <n v="3"/>
  </r>
  <r>
    <x v="370"/>
    <d v="2026-06-29T00:00:00"/>
    <s v="09-05-2024"/>
    <d v="1899-12-30T00:00:00"/>
    <s v="Unknown"/>
    <s v="Chennai"/>
    <s v="Italian"/>
    <n v="18"/>
    <n v="2.5"/>
    <s v="67 mins"/>
    <n v="2309"/>
    <n v="150"/>
    <s v="Credit Card"/>
    <x v="3"/>
    <n v="10"/>
    <s v="Dunzo"/>
    <n v="28"/>
  </r>
  <r>
    <x v="371"/>
    <d v="2026-05-31T00:00:00"/>
    <s v="21-01-2024"/>
    <d v="1899-12-30T00:00:00"/>
    <s v="Dominos Pizza"/>
    <s v="Lucknow"/>
    <s v="North Indian, Mughlai"/>
    <n v="46"/>
    <n v="4.4000000000000004"/>
    <s v="21mins"/>
    <n v="2335"/>
    <n v="75"/>
    <s v="Unknown"/>
    <x v="3"/>
    <n v="7"/>
    <s v="Dunzo"/>
    <n v="240"/>
  </r>
  <r>
    <x v="3"/>
    <d v="2026-07-16T00:00:00"/>
    <s v="25-06-2024"/>
    <d v="1899-12-30T00:00:00"/>
    <s v="Burger King"/>
    <s v="Jaipur"/>
    <s v="South Indian"/>
    <n v="59"/>
    <n v="3.5"/>
    <s v="60mins"/>
    <n v="944"/>
    <n v="150"/>
    <s v="Net Banking"/>
    <x v="1"/>
    <n v="10"/>
    <s v="Unknown"/>
    <n v="74"/>
  </r>
  <r>
    <x v="372"/>
    <d v="2026-06-06T00:00:00"/>
    <s v="20-05-2024"/>
    <d v="1899-12-30T00:00:00"/>
    <s v="Subway"/>
    <s v="Hyderabad"/>
    <s v="Fast Food"/>
    <n v="36"/>
    <n v="3.8"/>
    <s v="43mins"/>
    <n v="169"/>
    <n v="50"/>
    <s v="Debit Card"/>
    <x v="1"/>
    <n v="5"/>
    <s v="Shadowfax"/>
    <n v="45"/>
  </r>
  <r>
    <x v="373"/>
    <d v="2026-05-26T00:00:00"/>
    <s v="17-02-2024"/>
    <d v="1899-12-30T00:00:00"/>
    <s v="Behrouz Biryani"/>
    <s v="Bombay"/>
    <s v="North Indian"/>
    <n v="18"/>
    <n v="3.5"/>
    <s v="67mins"/>
    <n v="1335"/>
    <n v="0.1"/>
    <s v="Upi"/>
    <x v="1"/>
    <n v="8"/>
    <s v="Dunzo"/>
    <n v="104"/>
  </r>
  <r>
    <x v="374"/>
    <d v="2026-07-07T00:00:00"/>
    <s v="17-02-2024"/>
    <d v="1899-12-30T00:00:00"/>
    <s v="Behrouz Biryani"/>
    <s v="Hyderabad"/>
    <s v="North Indian"/>
    <n v="22"/>
    <n v="4.9000000000000004"/>
    <s v="31mins"/>
    <n v="123"/>
    <n v="0"/>
    <s v="Debit Card"/>
    <x v="1"/>
    <n v="2"/>
    <s v="In-House"/>
    <n v="24"/>
  </r>
  <r>
    <x v="375"/>
    <d v="2026-03-07T00:00:00"/>
    <s v="13-05-2024"/>
    <d v="1899-12-30T00:00:00"/>
    <s v="Unknown"/>
    <s v="Chennai"/>
    <s v="Street Food"/>
    <n v="64"/>
    <n v="2.2999999999999998"/>
    <s v="75mins"/>
    <n v="519"/>
    <n v="0.6"/>
    <s v="Upi"/>
    <x v="3"/>
    <n v="4"/>
    <s v="Zomato Valet"/>
    <n v="231"/>
  </r>
  <r>
    <x v="376"/>
    <d v="2026-05-13T00:00:00"/>
    <s v="10-05-2024"/>
    <d v="1899-12-30T00:00:00"/>
    <s v="Burger King"/>
    <s v="Ahmedabad"/>
    <s v="Street Food"/>
    <n v="32"/>
    <n v="4.8"/>
    <s v="20 mins"/>
    <n v="780"/>
    <n v="0.15"/>
    <s v="Wallet"/>
    <x v="1"/>
    <n v="10"/>
    <s v="Rapido"/>
    <n v="142"/>
  </r>
  <r>
    <x v="377"/>
    <d v="2026-04-13T00:00:00"/>
    <s v="11-06-2024"/>
    <d v="1899-12-30T00:00:00"/>
    <s v="Burger King"/>
    <s v="Ahmedabad"/>
    <s v="South Indian"/>
    <n v="26"/>
    <n v="2.7"/>
    <s v="67mins"/>
    <n v="723"/>
    <n v="0"/>
    <s v="Debit Card"/>
    <x v="1"/>
    <n v="2"/>
    <s v="Rapido"/>
    <m/>
  </r>
  <r>
    <x v="378"/>
    <d v="2026-10-29T00:00:00"/>
    <s v="16-04-2024"/>
    <d v="1899-12-30T00:00:00"/>
    <s v="Faasos"/>
    <s v="Lucknow"/>
    <s v="Street Food"/>
    <n v="65"/>
    <n v="2.1"/>
    <s v="65mins"/>
    <n v="506"/>
    <n v="50"/>
    <s v="Upi"/>
    <x v="1"/>
    <n v="7"/>
    <s v="Grab"/>
    <n v="214"/>
  </r>
  <r>
    <x v="379"/>
    <d v="2026-07-26T00:00:00"/>
    <s v="22-01-2024"/>
    <d v="1899-12-30T00:00:00"/>
    <s v="Subway"/>
    <s v="Kolkata"/>
    <s v="Italian"/>
    <n v="63"/>
    <n v="2.7"/>
    <s v="15 mins"/>
    <n v="1660"/>
    <n v="50"/>
    <s v="Credit Card"/>
    <x v="1"/>
    <n v="7"/>
    <s v="In-House"/>
    <n v="33"/>
  </r>
  <r>
    <x v="380"/>
    <d v="2026-06-17T00:00:00"/>
    <s v="02-08-2024"/>
    <d v="1899-12-30T03:27:00"/>
    <s v="Wow! Momo"/>
    <s v="Lucknow"/>
    <s v="Italian"/>
    <n v="23"/>
    <n v="3.3"/>
    <s v="43mins"/>
    <n v="598"/>
    <n v="0.15"/>
    <s v="Wallet"/>
    <x v="3"/>
    <n v="4"/>
    <s v="Shadowfax"/>
    <m/>
  </r>
  <r>
    <x v="381"/>
    <d v="2026-11-11T00:00:00"/>
    <s v="29-06-2024"/>
    <d v="1899-12-30T00:00:00"/>
    <s v="Wow! Momo"/>
    <s v="Kolkata"/>
    <s v="Bakery"/>
    <n v="63"/>
    <n v="4.2"/>
    <s v="57mins"/>
    <n v="2374"/>
    <n v="0.2"/>
    <s v="Net Banking"/>
    <x v="1"/>
    <n v="7"/>
    <s v="Shadowfax"/>
    <n v="22"/>
  </r>
  <r>
    <x v="3"/>
    <d v="2026-05-27T00:00:00"/>
    <s v="27-06-2024"/>
    <d v="1899-12-30T00:00:00"/>
    <s v="Chai Point"/>
    <s v="Pune"/>
    <s v="Bakery"/>
    <n v="33"/>
    <n v="2.5"/>
    <s v="50mins"/>
    <n v="445"/>
    <n v="0"/>
    <s v="Debit Card"/>
    <x v="1"/>
    <n v="10"/>
    <s v="Shadowfax"/>
    <n v="231"/>
  </r>
  <r>
    <x v="382"/>
    <d v="2026-08-01T00:00:00"/>
    <s v="03-20-2024"/>
    <d v="1899-12-30T07:17:00"/>
    <s v="Bikanervala"/>
    <s v="Bombay"/>
    <s v="Street Food"/>
    <n v="40"/>
    <n v="1.6"/>
    <s v="38 mins"/>
    <n v="1857"/>
    <n v="120"/>
    <s v="Debit Card"/>
    <x v="2"/>
    <n v="9"/>
    <s v="Grab"/>
    <n v="135"/>
  </r>
  <r>
    <x v="383"/>
    <d v="2026-08-18T00:00:00"/>
    <s v="13-06-2024"/>
    <d v="1899-12-30T00:00:00"/>
    <s v="Unknown"/>
    <s v="Jaipur"/>
    <s v="Fast Food"/>
    <n v="43"/>
    <n v="2.6"/>
    <s v="15 mins"/>
    <n v="385"/>
    <n v="0"/>
    <s v="Wallet"/>
    <x v="1"/>
    <n v="9"/>
    <s v="In-House"/>
    <n v="224"/>
  </r>
  <r>
    <x v="384"/>
    <d v="2026-04-19T00:00:00"/>
    <s v="17-01-2024"/>
    <d v="1899-12-30T00:00:00"/>
    <s v="P@R@Dise Biry@Ni"/>
    <s v="Kolkata"/>
    <s v="Chinese"/>
    <n v="28"/>
    <n v="1.8"/>
    <s v="54 mins"/>
    <n v="943"/>
    <n v="100"/>
    <s v="Credit Card"/>
    <x v="3"/>
    <n v="4"/>
    <s v="Dunzo"/>
    <n v="123"/>
  </r>
  <r>
    <x v="385"/>
    <d v="2026-10-13T00:00:00"/>
    <s v="01-03-2024"/>
    <d v="1899-12-30T00:00:00"/>
    <s v="Faasos"/>
    <s v="Jaipur"/>
    <s v="Mughlai"/>
    <n v="40"/>
    <n v="1.9"/>
    <s v="79mins"/>
    <n v="500"/>
    <n v="0.1"/>
    <s v="Net Banking"/>
    <x v="3"/>
    <n v="9"/>
    <s v="Shadowfax"/>
    <m/>
  </r>
  <r>
    <x v="386"/>
    <d v="2026-11-25T00:00:00"/>
    <s v="31-03-2024"/>
    <d v="1899-12-30T00:00:00"/>
    <s v="Wow! Momo"/>
    <s v="Bangalore"/>
    <s v="Italian"/>
    <n v="43"/>
    <n v="2.2999999999999998"/>
    <s v="31mins"/>
    <n v="465"/>
    <n v="150"/>
    <s v="Credit Card"/>
    <x v="1"/>
    <n v="3"/>
    <s v="Dunzo"/>
    <n v="164"/>
  </r>
  <r>
    <x v="387"/>
    <d v="2026-11-16T00:00:00"/>
    <s v="10-06-2024"/>
    <d v="1899-12-30T00:00:00"/>
    <s v="Kfc"/>
    <s v="Chennai"/>
    <s v="Chinese"/>
    <n v="33"/>
    <n v="3.6"/>
    <s v="49mins"/>
    <n v="1064"/>
    <n v="0.15"/>
    <s v="Upi"/>
    <x v="2"/>
    <n v="1"/>
    <s v="In-House"/>
    <n v="22"/>
  </r>
  <r>
    <x v="388"/>
    <d v="2026-11-01T00:00:00"/>
    <s v="12-04-2024"/>
    <d v="1899-12-30T00:00:00"/>
    <s v="Behrouz Biryani"/>
    <s v="Ahmedabad"/>
    <s v="Fast Food"/>
    <n v="64"/>
    <n v="1.3"/>
    <s v="58mins"/>
    <n v="905"/>
    <n v="150"/>
    <s v="Upi"/>
    <x v="1"/>
    <n v="3"/>
    <s v="Zomato Valet"/>
    <n v="35"/>
  </r>
  <r>
    <x v="389"/>
    <d v="2026-08-10T00:00:00"/>
    <s v="01-04-2024"/>
    <d v="1899-12-30T02:25:00"/>
    <s v="Faasos"/>
    <s v="Mumbai"/>
    <s v="Italian"/>
    <n v="47"/>
    <n v="3.3"/>
    <s v="42mins"/>
    <n v="297"/>
    <n v="50"/>
    <s v="Upi"/>
    <x v="1"/>
    <n v="0"/>
    <s v="Dunzo"/>
    <n v="96"/>
  </r>
  <r>
    <x v="390"/>
    <d v="2026-09-09T00:00:00"/>
    <s v="12-06-2024"/>
    <d v="1899-12-30T00:00:00"/>
    <s v="Faasos"/>
    <s v="Lucknow"/>
    <s v="Unknown"/>
    <n v="64"/>
    <n v="3.5"/>
    <s v="22 mins"/>
    <n v="464"/>
    <n v="75"/>
    <s v="Upi"/>
    <x v="2"/>
    <n v="8"/>
    <s v="Zomato Valet"/>
    <n v="59"/>
  </r>
  <r>
    <x v="391"/>
    <d v="2026-12-31T00:00:00"/>
    <s v="19-06-2024"/>
    <d v="1899-12-30T00:00:00"/>
    <s v="Burger King"/>
    <s v="Mumbai"/>
    <s v="Italian, Desserts"/>
    <n v="18"/>
    <n v="2.4"/>
    <s v="75mins"/>
    <n v="594"/>
    <n v="0.2"/>
    <s v="Net Banking"/>
    <x v="1"/>
    <n v="3"/>
    <s v="Rapido"/>
    <n v="12"/>
  </r>
  <r>
    <x v="392"/>
    <d v="2026-09-13T00:00:00"/>
    <s v="15-02-2024"/>
    <d v="1899-12-30T00:00:00"/>
    <s v="Barbeque Nation"/>
    <s v="Hyderabad"/>
    <s v="Street Food"/>
    <n v="43"/>
    <n v="2.1"/>
    <s v="46mins"/>
    <n v="831"/>
    <n v="0.2"/>
    <s v="Wallet"/>
    <x v="2"/>
    <n v="10"/>
    <s v="Shadowfax"/>
    <n v="153"/>
  </r>
  <r>
    <x v="393"/>
    <d v="2026-05-12T00:00:00"/>
    <s v="27-02-2024"/>
    <d v="1899-12-30T00:00:00"/>
    <s v="Subway"/>
    <s v="Jaipur"/>
    <s v="Street Food"/>
    <n v="54"/>
    <n v="3.1"/>
    <s v="49mins"/>
    <n v="357"/>
    <n v="120"/>
    <s v="Cash On Delivery"/>
    <x v="1"/>
    <n v="9"/>
    <s v="Dunzo"/>
    <n v="179"/>
  </r>
  <r>
    <x v="394"/>
    <d v="2026-06-24T00:00:00"/>
    <m/>
    <d v="1899-12-30T00:00:00"/>
    <s v="Unknown"/>
    <s v="Kolkata"/>
    <s v="South Indian"/>
    <n v="27"/>
    <n v="4.5"/>
    <s v="64 mins"/>
    <n v="393"/>
    <n v="100"/>
    <s v="Debit Card"/>
    <x v="1"/>
    <n v="1"/>
    <s v="Rapido"/>
    <n v="54"/>
  </r>
  <r>
    <x v="395"/>
    <d v="2026-12-27T00:00:00"/>
    <s v="29-06-2024"/>
    <d v="1899-12-30T00:00:00"/>
    <s v="Dominos Pizza"/>
    <s v="Hyderabad"/>
    <s v="Chinese"/>
    <n v="60"/>
    <n v="1.1000000000000001"/>
    <s v="34 mins"/>
    <n v="1209"/>
    <n v="150"/>
    <s v="Unknown"/>
    <x v="3"/>
    <n v="7"/>
    <s v="Rapido"/>
    <n v="181"/>
  </r>
  <r>
    <x v="396"/>
    <d v="2026-02-07T00:00:00"/>
    <s v="06-02-2024"/>
    <d v="1899-12-30T00:00:00"/>
    <s v="Subway"/>
    <s v="Mumbai"/>
    <s v="Biryani"/>
    <n v="38"/>
    <n v="2.5"/>
    <s v="65 mins"/>
    <n v="2003"/>
    <n v="0"/>
    <s v="Credit Card"/>
    <x v="1"/>
    <n v="3"/>
    <s v="Shadowfax"/>
    <n v="29"/>
  </r>
  <r>
    <x v="3"/>
    <d v="2026-04-18T00:00:00"/>
    <s v="05-01-2024"/>
    <d v="1899-12-30T00:00:00"/>
    <s v="Chai Point"/>
    <s v="Hyderabad"/>
    <s v="South Indian"/>
    <n v="18"/>
    <n v="2.7"/>
    <s v="59mins"/>
    <n v="1907"/>
    <n v="0"/>
    <s v="Credit Card"/>
    <x v="3"/>
    <n v="5"/>
    <s v="Grab"/>
    <n v="9"/>
  </r>
  <r>
    <x v="397"/>
    <d v="2026-12-13T00:00:00"/>
    <s v="18-05-2024"/>
    <d v="1899-12-30T00:00:00"/>
    <s v="Ch@I P0Int"/>
    <s v="Ahmedabad"/>
    <s v="Fast Food"/>
    <n v="64"/>
    <n v="4.3"/>
    <s v="74mins"/>
    <n v="1857"/>
    <n v="100"/>
    <s v="Wallet"/>
    <x v="1"/>
    <n v="3"/>
    <s v="Dunzo"/>
    <n v="99"/>
  </r>
  <r>
    <x v="398"/>
    <d v="2026-05-11T00:00:00"/>
    <s v="06-22-2024"/>
    <d v="1899-12-30T16:00:00"/>
    <s v="Kfc"/>
    <s v="Delhi"/>
    <s v="Italian"/>
    <n v="64"/>
    <n v="4.8"/>
    <s v="39mins"/>
    <n v="1194"/>
    <n v="0"/>
    <s v="Credit Card"/>
    <x v="1"/>
    <n v="6"/>
    <s v="In-House"/>
    <m/>
  </r>
  <r>
    <x v="399"/>
    <d v="2026-07-21T00:00:00"/>
    <s v="19-01-2024"/>
    <d v="1899-12-30T00:00:00"/>
    <s v="Paradise Biryani"/>
    <s v="Hyderabad"/>
    <s v="Bakery"/>
    <n v="25"/>
    <n v="1.7"/>
    <s v="46 mins"/>
    <n v="2370"/>
    <n v="0.6"/>
    <s v="Cash On Delivery"/>
    <x v="2"/>
    <n v="6"/>
    <s v="In-House"/>
    <n v="133"/>
  </r>
  <r>
    <x v="400"/>
    <d v="2026-04-28T00:00:00"/>
    <s v="07-07-2024"/>
    <d v="1899-12-30T00:03:00"/>
    <s v="Dominos Pizza"/>
    <s v="Delhi"/>
    <s v="Bakery"/>
    <n v="18"/>
    <n v="4.4000000000000004"/>
    <s v="63mins"/>
    <n v="1943"/>
    <n v="0"/>
    <s v="Debit Card"/>
    <x v="1"/>
    <n v="4"/>
    <s v="Shadowfax"/>
    <n v="24"/>
  </r>
  <r>
    <x v="401"/>
    <d v="2026-06-06T00:00:00"/>
    <s v="01-07-2024"/>
    <d v="1899-12-30T22:03:00"/>
    <s v="Kfc"/>
    <s v="Delhi"/>
    <s v="Chinese"/>
    <n v="27"/>
    <n v="4.3"/>
    <s v="62mins"/>
    <n v="1903"/>
    <n v="0"/>
    <s v="Wallet"/>
    <x v="1"/>
    <n v="1"/>
    <s v="Zomato Valet"/>
    <n v="28"/>
  </r>
  <r>
    <x v="402"/>
    <d v="2026-11-13T00:00:00"/>
    <s v="15-02-2024"/>
    <d v="1899-12-30T00:00:00"/>
    <s v="Wow! Momo"/>
    <s v="Chennai"/>
    <s v="Bakery"/>
    <n v="46"/>
    <n v="3.8"/>
    <s v="44 mins"/>
    <n v="1920"/>
    <n v="50"/>
    <s v="Net Banking"/>
    <x v="1"/>
    <n v="4"/>
    <s v="Shadowfax"/>
    <n v="166"/>
  </r>
  <r>
    <x v="403"/>
    <d v="2026-03-06T00:00:00"/>
    <s v="18-05-2024"/>
    <d v="1899-12-30T00:00:00"/>
    <s v="Paradise Biryani"/>
    <s v="Delhi"/>
    <s v="Fast Food"/>
    <n v="52"/>
    <n v="3.9"/>
    <s v="72 mins"/>
    <n v="565"/>
    <n v="0"/>
    <s v="Net Banking"/>
    <x v="1"/>
    <n v="2"/>
    <s v="Unknown"/>
    <n v="169"/>
  </r>
  <r>
    <x v="404"/>
    <d v="2026-02-06T00:00:00"/>
    <s v="11-06-2024"/>
    <d v="1899-12-30T00:00:00"/>
    <s v="Faasos"/>
    <s v="Lucknow"/>
    <s v="Street Food"/>
    <n v="52"/>
    <n v="3.2"/>
    <s v="78mins"/>
    <n v="544"/>
    <n v="150"/>
    <s v="Credit Card"/>
    <x v="1"/>
    <n v="6"/>
    <s v="Rapido"/>
    <n v="68"/>
  </r>
  <r>
    <x v="405"/>
    <d v="2026-12-22T00:00:00"/>
    <s v="11-02-2024"/>
    <d v="1899-12-30T00:00:00"/>
    <s v="Chai Point"/>
    <s v="Kolkata"/>
    <s v="Mughlai"/>
    <n v="55"/>
    <n v="2.2000000000000002"/>
    <s v="65mins"/>
    <n v="1273"/>
    <n v="120"/>
    <s v="Cash On Delivery"/>
    <x v="2"/>
    <n v="5"/>
    <s v="Zomato Valet"/>
    <n v="121"/>
  </r>
  <r>
    <x v="406"/>
    <d v="2026-12-07T00:00:00"/>
    <s v="03-03-2024"/>
    <d v="1899-12-30T00:00:00"/>
    <s v="Wow! Momo"/>
    <s v="Jaipur"/>
    <s v="Unknown"/>
    <n v="18"/>
    <n v="1.7"/>
    <s v="65mins"/>
    <n v="2204"/>
    <n v="0.1"/>
    <s v="Cash Card"/>
    <x v="1"/>
    <n v="9"/>
    <s v="Shadowfax"/>
    <n v="38"/>
  </r>
  <r>
    <x v="407"/>
    <d v="2026-11-03T00:00:00"/>
    <s v="18-05-2024"/>
    <d v="1899-12-30T00:00:00"/>
    <s v="Faasos"/>
    <s v="Jaipur"/>
    <s v="South Indian"/>
    <n v="18"/>
    <n v="2.8"/>
    <s v="16mins"/>
    <n v="232"/>
    <n v="150"/>
    <s v="Cash On Delivery"/>
    <x v="1"/>
    <n v="6"/>
    <s v="Grab"/>
    <n v="173"/>
  </r>
  <r>
    <x v="408"/>
    <d v="2026-10-15T00:00:00"/>
    <s v="16-03-2024"/>
    <d v="1899-12-30T00:00:00"/>
    <s v="Bik@Nerv@L@"/>
    <s v="Mumbai"/>
    <s v="Unknown"/>
    <n v="31"/>
    <n v="4.5999999999999996"/>
    <s v="29 mins"/>
    <n v="766"/>
    <n v="75"/>
    <s v="Credit Card"/>
    <x v="2"/>
    <n v="7"/>
    <s v="Dunzo"/>
    <n v="45"/>
  </r>
  <r>
    <x v="409"/>
    <d v="2026-12-28T00:00:00"/>
    <s v="29-03-2024"/>
    <d v="1899-12-30T00:00:00"/>
    <s v="Paradise Biryani"/>
    <s v="Bangalore"/>
    <s v="Chinese"/>
    <n v="19"/>
    <n v="2.2000000000000002"/>
    <s v="53mins"/>
    <n v="1408"/>
    <n v="0.6"/>
    <s v="Credit Card"/>
    <x v="3"/>
    <n v="2"/>
    <s v="Shadowfax"/>
    <n v="8"/>
  </r>
  <r>
    <x v="410"/>
    <d v="2026-09-07T00:00:00"/>
    <s v="01-15-2024"/>
    <d v="1899-12-30T00:06:00"/>
    <s v="Subway"/>
    <s v="Ahmedabad"/>
    <s v="Mughlai"/>
    <n v="64"/>
    <n v="2.4"/>
    <s v="56mins"/>
    <n v="1439"/>
    <n v="75"/>
    <s v="Credit Card"/>
    <x v="2"/>
    <n v="8"/>
    <s v="Dunzo"/>
    <n v="62"/>
  </r>
  <r>
    <x v="411"/>
    <d v="2026-07-09T00:00:00"/>
    <s v="02-04-2024"/>
    <d v="1899-12-30T00:00:00"/>
    <s v="Burger King"/>
    <s v="Hyderabad"/>
    <s v="Street Food"/>
    <n v="47"/>
    <n v="3.3"/>
    <s v="73mins"/>
    <n v="595"/>
    <n v="50"/>
    <s v="Upi"/>
    <x v="3"/>
    <n v="2"/>
    <s v="In-House"/>
    <n v="92"/>
  </r>
  <r>
    <x v="412"/>
    <d v="2026-06-16T00:00:00"/>
    <s v="11-05-2024"/>
    <d v="1899-12-30T00:00:00"/>
    <s v="Barbeque Nation"/>
    <s v="Jaipur"/>
    <s v="Street Food"/>
    <n v="46"/>
    <n v="2.6"/>
    <s v="42mins"/>
    <n v="2325"/>
    <n v="120"/>
    <s v="Upi"/>
    <x v="1"/>
    <n v="7"/>
    <s v="Grab"/>
    <n v="165"/>
  </r>
  <r>
    <x v="413"/>
    <d v="2026-05-12T00:00:00"/>
    <s v="17-01-2024"/>
    <d v="1899-12-30T00:00:00"/>
    <s v="Subway"/>
    <s v="Pune"/>
    <s v="Bakery"/>
    <n v="52"/>
    <n v="2.4"/>
    <s v="16 mins"/>
    <n v="1384"/>
    <n v="150"/>
    <s v="Debit Card"/>
    <x v="1"/>
    <n v="5"/>
    <s v="Grab"/>
    <n v="176"/>
  </r>
  <r>
    <x v="414"/>
    <d v="2026-03-02T00:00:00"/>
    <s v="06-20-2024"/>
    <d v="1899-12-30T20:59:00"/>
    <s v="Chai Point"/>
    <s v="Ahmedabad"/>
    <s v="Street Food"/>
    <n v="29"/>
    <n v="2.8"/>
    <s v="24mins"/>
    <n v="2072"/>
    <n v="150"/>
    <s v="Net Banking"/>
    <x v="1"/>
    <n v="5"/>
    <s v="Dunzo"/>
    <n v="18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s v="ORD_117"/>
    <d v="2026-12-17T00:00:00"/>
    <s v="03-03-2024"/>
    <d v="1899-12-30T00:00:00"/>
    <s v="Haldiram'S"/>
    <s v="Delhi"/>
    <s v="Street Food"/>
    <n v="55"/>
    <n v="4.5"/>
    <s v="35mins"/>
    <n v="1782"/>
    <n v="0.2"/>
    <x v="0"/>
    <s v="Failed"/>
    <n v="7"/>
    <s v="Zomato Valet"/>
    <n v="124"/>
  </r>
  <r>
    <s v="ZOM-10002"/>
    <d v="2026-03-05T00:00:00"/>
    <s v="12-01-2024"/>
    <d v="1899-12-30T00:00:00"/>
    <s v="Burger King"/>
    <s v="Ahmedabad"/>
    <s v="Chinese"/>
    <n v="58"/>
    <n v="3.9"/>
    <s v="39 mins"/>
    <n v="762"/>
    <n v="50"/>
    <x v="1"/>
    <s v="Delivered"/>
    <n v="10"/>
    <s v="In-House"/>
    <n v="51"/>
  </r>
  <r>
    <s v="ZOM-10003"/>
    <d v="2026-03-02T00:00:00"/>
    <s v="04-03-2024"/>
    <d v="1899-12-30T00:00:00"/>
    <s v="Behrouz Biryani"/>
    <s v="Bengaluru"/>
    <s v="Fast Food"/>
    <n v="42"/>
    <n v="2.9"/>
    <s v="16mins"/>
    <n v="1739"/>
    <n v="75"/>
    <x v="1"/>
    <s v="Delivered"/>
    <n v="9"/>
    <s v="Shadowfax"/>
    <n v="126"/>
  </r>
  <r>
    <s v="ZOM-10000"/>
    <d v="2026-08-06T00:00:00"/>
    <s v="21-05-2024"/>
    <d v="1899-12-30T00:00:00"/>
    <s v="Bikanervala"/>
    <s v="Chennai"/>
    <s v="Chinese"/>
    <n v="33"/>
    <n v="4.2"/>
    <s v="21 mins"/>
    <n v="1688"/>
    <n v="150"/>
    <x v="0"/>
    <s v="Delivered"/>
    <n v="4"/>
    <s v="Shadowfax"/>
    <n v="19"/>
  </r>
  <r>
    <s v="ZOM-10006"/>
    <d v="2026-06-11T00:00:00"/>
    <s v="20-05-2024"/>
    <d v="1899-12-30T00:00:00"/>
    <s v="Wow! Momo"/>
    <s v="Bangalore"/>
    <s v="North Indian, Italian"/>
    <n v="47"/>
    <n v="3.8"/>
    <s v="77mins"/>
    <n v="488"/>
    <n v="120"/>
    <x v="1"/>
    <s v="Delivered"/>
    <n v="1"/>
    <s v="Rapido"/>
    <n v="116"/>
  </r>
  <r>
    <s v="ZOM-10007"/>
    <d v="2026-04-17T00:00:00"/>
    <s v="25-05-2024"/>
    <d v="1899-12-30T00:00:00"/>
    <s v="Bikanervala"/>
    <s v="Kolkata"/>
    <s v="Italian"/>
    <n v="22"/>
    <n v="2.5"/>
    <s v="27mins"/>
    <n v="294"/>
    <n v="0.2"/>
    <x v="0"/>
    <s v="Delivered"/>
    <n v="9"/>
    <s v="Zomato Valet"/>
    <n v="227"/>
  </r>
  <r>
    <s v="ZOM-10008"/>
    <d v="2026-07-03T00:00:00"/>
    <s v="28-01-2024"/>
    <d v="1899-12-30T00:00:00"/>
    <s v="Burger King"/>
    <s v="Kolkata"/>
    <s v="North Indian"/>
    <n v="18"/>
    <n v="3.5"/>
    <s v="71mins"/>
    <n v="1433"/>
    <n v="0"/>
    <x v="0"/>
    <s v="Delivered"/>
    <n v="3"/>
    <s v="Zomato Valet"/>
    <n v="183"/>
  </r>
  <r>
    <s v="ZOM-10009"/>
    <d v="2026-10-31T00:00:00"/>
    <s v="04-03-2024"/>
    <d v="1899-12-30T00:00:00"/>
    <s v="Wow! Momo"/>
    <s v="Hyderabad"/>
    <s v="Unknown"/>
    <n v="39"/>
    <n v="2.6"/>
    <s v="46mins"/>
    <n v="755"/>
    <n v="0.1"/>
    <x v="2"/>
    <s v="Refunded"/>
    <n v="4"/>
    <s v="Grab"/>
    <n v="239"/>
  </r>
  <r>
    <s v="ZOM-10010"/>
    <d v="2026-07-21T00:00:00"/>
    <s v="17-05-2024"/>
    <d v="1899-12-30T00:00:00"/>
    <s v="Haldiram'S"/>
    <s v="Delhi"/>
    <s v="Desserts"/>
    <n v="30"/>
    <n v="3.8"/>
    <s v="15 mins"/>
    <n v="2323"/>
    <n v="150"/>
    <x v="1"/>
    <s v="Delivered"/>
    <n v="5"/>
    <s v="Rapido"/>
    <n v="53"/>
  </r>
  <r>
    <s v="ZOM-10011"/>
    <d v="2026-07-02T00:00:00"/>
    <s v="04-07-2024"/>
    <d v="1899-12-30T23:07:00"/>
    <s v="B@Rbeque N@Ti0N"/>
    <s v="Kolkata"/>
    <s v="Desserts"/>
    <n v="65"/>
    <n v="1.3"/>
    <s v="57mins"/>
    <n v="342"/>
    <n v="0.2"/>
    <x v="3"/>
    <s v="Delivered"/>
    <n v="10"/>
    <s v="Shadowfax"/>
    <n v="52"/>
  </r>
  <r>
    <s v="ZOM-10012"/>
    <d v="2026-12-12T00:00:00"/>
    <s v="07-16-2024"/>
    <d v="1899-12-30T03:38:00"/>
    <s v="Dominos Pizza"/>
    <s v="Hyderabad"/>
    <s v="Mughlai"/>
    <n v="46"/>
    <n v="3.9"/>
    <s v="72mins"/>
    <n v="2255"/>
    <n v="75"/>
    <x v="4"/>
    <s v="Delivered"/>
    <n v="5"/>
    <s v="Shadowfax"/>
    <n v="98"/>
  </r>
  <r>
    <s v="ZOM-10013"/>
    <d v="2026-03-13T00:00:00"/>
    <s v="29-06-2024"/>
    <d v="1899-12-30T00:00:00"/>
    <s v="Subway"/>
    <s v="Pune"/>
    <s v="Bakery, Desserts"/>
    <n v="42"/>
    <n v="4.8"/>
    <s v="43mins"/>
    <n v="1282"/>
    <n v="100"/>
    <x v="5"/>
    <s v="Delivered"/>
    <n v="7"/>
    <s v="Rapido"/>
    <n v="132"/>
  </r>
  <r>
    <s v="ZOM-10014"/>
    <d v="2026-01-15T00:00:00"/>
    <s v="07-04-2024"/>
    <d v="1899-12-30T00:00:00"/>
    <s v="Kfc"/>
    <s v="Pune"/>
    <s v="Street Food"/>
    <n v="59"/>
    <n v="2.5"/>
    <s v="15 mins"/>
    <n v="709"/>
    <n v="50"/>
    <x v="4"/>
    <s v="Delivered"/>
    <n v="10"/>
    <s v="In-House"/>
    <n v="26"/>
  </r>
  <r>
    <s v="ZOM-10015"/>
    <d v="2026-03-01T00:00:00"/>
    <s v="27-05-2024"/>
    <d v="1899-12-30T00:00:00"/>
    <s v="Subway"/>
    <s v="Hyderabad"/>
    <s v="Bakery"/>
    <n v="18"/>
    <n v="3.6"/>
    <s v="56 mins"/>
    <n v="932"/>
    <n v="0"/>
    <x v="2"/>
    <s v="Cancelled"/>
    <n v="5"/>
    <s v="Rapido"/>
    <n v="80"/>
  </r>
  <r>
    <s v="ZOM-10016"/>
    <d v="2026-05-30T00:00:00"/>
    <s v="03-03-2024"/>
    <d v="1899-12-30T00:00:00"/>
    <s v="Paradise Biryani"/>
    <s v="Delhi"/>
    <s v="Desserts"/>
    <n v="35"/>
    <n v="3.1"/>
    <s v="30 mins"/>
    <n v="1834"/>
    <n v="150"/>
    <x v="2"/>
    <s v="Delivered"/>
    <n v="10"/>
    <s v="Dunzo"/>
    <n v="60"/>
  </r>
  <r>
    <s v="ZOM-10018"/>
    <d v="2026-12-24T00:00:00"/>
    <s v="24-06-2024"/>
    <d v="1899-12-30T00:00:00"/>
    <s v="Chai Point"/>
    <s v="Jaipur"/>
    <s v="Chinese"/>
    <n v="55"/>
    <n v="2.2000000000000002"/>
    <s v="27mins"/>
    <n v="2375"/>
    <n v="0.1"/>
    <x v="4"/>
    <s v="Delivered"/>
    <n v="4"/>
    <s v="Dunzo"/>
    <n v="70"/>
  </r>
  <r>
    <s v="ZOM-10019"/>
    <d v="2026-04-05T00:00:00"/>
    <s v="06-09-2024"/>
    <d v="1899-12-30T20:07:00"/>
    <s v="Dominos Pizza"/>
    <s v="Bangalore"/>
    <s v="Bakery"/>
    <n v="43"/>
    <n v="3"/>
    <s v="25mins"/>
    <n v="1543"/>
    <n v="120"/>
    <x v="6"/>
    <s v="Cancelled"/>
    <n v="1"/>
    <s v="In-House"/>
    <n v="172"/>
  </r>
  <r>
    <s v="ZOM-10020"/>
    <d v="2026-06-14T00:00:00"/>
    <s v="12-03-2024"/>
    <d v="1899-12-30T00:00:00"/>
    <s v="Subway"/>
    <s v="Chennai"/>
    <s v="Italian"/>
    <n v="53"/>
    <n v="2.5"/>
    <s v="31 mins"/>
    <n v="889"/>
    <n v="120"/>
    <x v="0"/>
    <s v="Cancelled"/>
    <n v="8"/>
    <s v="Zomato Valet"/>
    <n v="226"/>
  </r>
  <r>
    <s v="ZOM-10021"/>
    <d v="2026-01-16T00:00:00"/>
    <s v="06-10-2024"/>
    <d v="1899-12-30T20:46:00"/>
    <s v="Behrouz Biryani"/>
    <s v="Mumbai"/>
    <s v="Mughlai"/>
    <n v="48"/>
    <n v="2"/>
    <s v="64mins"/>
    <n v="574"/>
    <n v="50"/>
    <x v="0"/>
    <s v="Pending"/>
    <n v="10"/>
    <s v="In-House"/>
    <n v="98"/>
  </r>
  <r>
    <s v="ZOM-10022"/>
    <d v="2026-02-26T00:00:00"/>
    <s v="26-04-2024"/>
    <d v="1899-12-30T00:00:00"/>
    <s v="Behrouz Biryani"/>
    <s v="Chennai"/>
    <s v="Italian"/>
    <n v="20"/>
    <n v="4.9000000000000004"/>
    <s v="27mins"/>
    <n v="2201"/>
    <n v="100"/>
    <x v="0"/>
    <s v="Cancelled"/>
    <n v="10"/>
    <s v="In-House"/>
    <n v="28"/>
  </r>
  <r>
    <s v="ZOM-10023"/>
    <d v="2026-09-05T00:00:00"/>
    <s v="09-06-2024"/>
    <d v="1899-12-30T00:00:00"/>
    <s v="Bikanervala"/>
    <s v="Hyderabad"/>
    <s v="South Indian"/>
    <n v="18"/>
    <n v="2.2000000000000002"/>
    <s v="33mins"/>
    <n v="701"/>
    <n v="50"/>
    <x v="4"/>
    <s v="Cancelled"/>
    <n v="5"/>
    <s v="Grab"/>
    <n v="186"/>
  </r>
  <r>
    <s v="ZOM-10024"/>
    <d v="2026-12-11T00:00:00"/>
    <s v="23-04-2024"/>
    <d v="1899-12-30T00:00:00"/>
    <s v="Burger King"/>
    <s v="Hyderabad"/>
    <s v="Italian"/>
    <n v="60"/>
    <n v="1"/>
    <s v="21mins"/>
    <n v="2287"/>
    <n v="75"/>
    <x v="4"/>
    <s v="Delivered"/>
    <n v="3"/>
    <s v="In-House"/>
    <n v="67"/>
  </r>
  <r>
    <s v="ZOM-10025"/>
    <d v="2026-11-23T00:00:00"/>
    <s v="03-02-2024"/>
    <d v="1899-12-30T00:00:00"/>
    <s v="Kfc"/>
    <s v="Chennai"/>
    <s v="Biryani"/>
    <n v="39"/>
    <n v="2.9"/>
    <s v="63 mins"/>
    <n v="2420"/>
    <n v="100"/>
    <x v="7"/>
    <s v="Delivered"/>
    <n v="5"/>
    <s v="Rapido"/>
    <n v="43"/>
  </r>
  <r>
    <s v="ZOM-10026"/>
    <d v="2026-05-04T00:00:00"/>
    <s v="23-05-2024"/>
    <d v="1899-12-30T00:00:00"/>
    <s v="Dominos Pizza"/>
    <s v="Pune"/>
    <s v="North Indian"/>
    <n v="26"/>
    <n v="2.5"/>
    <s v="68mins"/>
    <n v="1518"/>
    <n v="150"/>
    <x v="0"/>
    <s v="Refunded"/>
    <n v="4"/>
    <s v="Dunzo"/>
    <n v="100"/>
  </r>
  <r>
    <s v="ZOM-10027"/>
    <d v="2026-03-04T00:00:00"/>
    <s v="18-02-2024"/>
    <d v="1899-12-30T00:00:00"/>
    <s v="Paradise Biryani"/>
    <s v="Delhi"/>
    <s v="Bakery"/>
    <n v="32"/>
    <n v="1.6"/>
    <s v="15mins"/>
    <n v="780"/>
    <n v="120"/>
    <x v="5"/>
    <s v="Unknown"/>
    <n v="4"/>
    <s v="Rapido"/>
    <n v="63"/>
  </r>
  <r>
    <s v="ZOM-10028"/>
    <d v="2026-12-15T00:00:00"/>
    <s v="05-01-2024"/>
    <d v="1899-12-30T15:18:00"/>
    <s v="Wow! Momo"/>
    <s v="Jaipur"/>
    <s v="Mughlai"/>
    <n v="46"/>
    <n v="1.3"/>
    <s v="23mins"/>
    <n v="420"/>
    <n v="150"/>
    <x v="5"/>
    <s v="Delivered"/>
    <n v="9"/>
    <s v="In-House"/>
    <n v="213"/>
  </r>
  <r>
    <s v="ZOM-10029"/>
    <d v="2026-09-08T00:00:00"/>
    <s v="05-07-2024"/>
    <d v="1899-12-30T00:00:00"/>
    <s v="Kfc"/>
    <s v="Mumbai"/>
    <s v="Desserts"/>
    <n v="39"/>
    <n v="2.6"/>
    <s v="69mins"/>
    <n v="2186"/>
    <n v="120"/>
    <x v="5"/>
    <s v="Delivered"/>
    <n v="6"/>
    <s v="Zomato Valet"/>
    <n v="186"/>
  </r>
  <r>
    <s v="ZOM-10030"/>
    <d v="2026-11-22T00:00:00"/>
    <s v="06-06-2024"/>
    <d v="1899-12-30T23:02:00"/>
    <s v="Bik@Nerv@L@"/>
    <s v="Kolkata"/>
    <s v="North Indian"/>
    <n v="65"/>
    <n v="1.1000000000000001"/>
    <s v="42mins"/>
    <n v="1015"/>
    <n v="0.2"/>
    <x v="1"/>
    <s v="Delivered"/>
    <n v="2"/>
    <s v="Dunzo"/>
    <n v="120"/>
  </r>
  <r>
    <s v="ZOM-10031"/>
    <d v="2026-05-28T00:00:00"/>
    <s v="29-03-2024"/>
    <d v="1899-12-30T00:00:00"/>
    <s v="Faasos"/>
    <s v="Pune"/>
    <s v="Chinese"/>
    <n v="38"/>
    <n v="3"/>
    <s v="31mins"/>
    <n v="1025"/>
    <n v="150"/>
    <x v="5"/>
    <s v="Delivered"/>
    <n v="7"/>
    <s v="Rapido"/>
    <n v="16"/>
  </r>
  <r>
    <s v="ZOM-10032"/>
    <d v="2026-01-01T00:00:00"/>
    <s v="07-06-2024"/>
    <d v="1899-12-30T00:00:00"/>
    <s v="Kfc"/>
    <s v="Jaipur"/>
    <s v="Chinese"/>
    <n v="50"/>
    <n v="4.0999999999999996"/>
    <s v="33mins"/>
    <n v="682"/>
    <n v="0.6"/>
    <x v="4"/>
    <s v="Delivered"/>
    <n v="10"/>
    <s v="In-House"/>
    <n v="205"/>
  </r>
  <r>
    <s v="ZOM-10033"/>
    <d v="2026-08-22T00:00:00"/>
    <s v="23-04-2024"/>
    <d v="1899-12-30T00:00:00"/>
    <s v="Burger King"/>
    <s v="Delhi"/>
    <s v="South Indian"/>
    <n v="65"/>
    <n v="2.8"/>
    <s v="39mins"/>
    <n v="885"/>
    <n v="0.1"/>
    <x v="2"/>
    <s v="Delivered"/>
    <n v="8"/>
    <s v="Grab"/>
    <n v="40"/>
  </r>
  <r>
    <s v="ZOM-10034"/>
    <d v="2026-12-22T00:00:00"/>
    <s v="22-06-2024"/>
    <d v="1899-12-30T00:00:00"/>
    <s v="Faasos"/>
    <s v="Pune"/>
    <s v="Bakery"/>
    <n v="40"/>
    <n v="3.6"/>
    <s v="31mins"/>
    <n v="1536"/>
    <n v="0.5"/>
    <x v="1"/>
    <s v="Delivered"/>
    <n v="1"/>
    <s v="Dunzo"/>
    <n v="33"/>
  </r>
  <r>
    <s v="ZOM-10035"/>
    <d v="2026-02-11T00:00:00"/>
    <s v="09-02-2024"/>
    <d v="1899-12-30T00:00:00"/>
    <s v="Haldiram'S"/>
    <s v="Chennai"/>
    <s v="Fast Food"/>
    <n v="28"/>
    <n v="1.2"/>
    <s v="45mins"/>
    <n v="2428"/>
    <n v="100"/>
    <x v="4"/>
    <s v="Delivered"/>
    <n v="10"/>
    <s v="Grab"/>
    <n v="46"/>
  </r>
  <r>
    <s v="ZOM-10036"/>
    <d v="2026-06-10T00:00:00"/>
    <s v="03-06-2024"/>
    <d v="1899-12-30T00:00:00"/>
    <s v="Bikanervala"/>
    <s v="Jaipur"/>
    <s v="Biryani"/>
    <n v="32"/>
    <n v="4.5"/>
    <s v="68mins"/>
    <n v="247"/>
    <n v="0.1"/>
    <x v="5"/>
    <s v="Refunded"/>
    <n v="8"/>
    <s v="In-House"/>
    <n v="75"/>
  </r>
  <r>
    <s v="ORD_113"/>
    <d v="2026-06-24T00:00:00"/>
    <s v="08-02-2024"/>
    <d v="1899-12-30T00:00:00"/>
    <s v="Chai Point"/>
    <s v="Delhi"/>
    <s v="South Indian"/>
    <n v="18"/>
    <n v="2"/>
    <s v="42 mins"/>
    <n v="124"/>
    <n v="50"/>
    <x v="1"/>
    <s v="Delivered"/>
    <n v="1"/>
    <s v="Grab"/>
    <n v="48"/>
  </r>
  <r>
    <s v="ZOM-10038"/>
    <d v="2026-11-29T00:00:00"/>
    <s v="18-01-2024"/>
    <d v="1899-12-30T00:00:00"/>
    <s v="Faasos"/>
    <s v="Delhi"/>
    <s v="Mughlai"/>
    <n v="63"/>
    <n v="2.8"/>
    <s v="20mins"/>
    <n v="2003"/>
    <n v="0.2"/>
    <x v="7"/>
    <s v="Delivered"/>
    <n v="1"/>
    <s v="In-House"/>
    <n v="41"/>
  </r>
  <r>
    <s v="ZOM-10039"/>
    <d v="2026-03-19T00:00:00"/>
    <s v="08-04-2024"/>
    <d v="1899-12-30T00:00:00"/>
    <s v="Paradise Biryani"/>
    <s v="Mumbai"/>
    <s v="Bakery"/>
    <n v="38"/>
    <n v="2.2000000000000002"/>
    <s v="69mins"/>
    <n v="517"/>
    <n v="150"/>
    <x v="5"/>
    <s v="Delivered"/>
    <n v="3"/>
    <s v="Zomato Valet"/>
    <m/>
  </r>
  <r>
    <s v="ZOM-10040"/>
    <d v="2026-06-11T00:00:00"/>
    <s v="03-04-2024"/>
    <d v="1899-12-30T00:00:00"/>
    <s v="Unknown"/>
    <s v="Bangalore"/>
    <s v="South Indian"/>
    <n v="33"/>
    <n v="1.1000000000000001"/>
    <s v="48 mins"/>
    <n v="1041"/>
    <n v="0.2"/>
    <x v="1"/>
    <s v="Delivered"/>
    <n v="3"/>
    <s v="In-House"/>
    <n v="145"/>
  </r>
  <r>
    <s v="ZOM-10041"/>
    <d v="2026-01-21T00:00:00"/>
    <s v="17-01-2024"/>
    <d v="1899-12-30T00:00:00"/>
    <s v="Burger King"/>
    <s v="Chennai"/>
    <s v="Fast Food"/>
    <n v="47"/>
    <n v="3.2"/>
    <s v="26mins"/>
    <n v="276"/>
    <n v="100"/>
    <x v="7"/>
    <s v="Cancelled"/>
    <n v="9"/>
    <s v="Dunzo"/>
    <n v="102"/>
  </r>
  <r>
    <s v="ZOM-10042"/>
    <d v="2026-11-22T00:00:00"/>
    <s v="08-05-2024"/>
    <d v="1899-12-30T00:00:00"/>
    <s v="Wow! Momo"/>
    <s v="Chennai"/>
    <s v="South Indian"/>
    <n v="37"/>
    <n v="1.4"/>
    <s v="34mins"/>
    <n v="527"/>
    <n v="75"/>
    <x v="7"/>
    <s v="Delivered"/>
    <n v="10"/>
    <s v="Unknown"/>
    <n v="213"/>
  </r>
  <r>
    <s v="ZOM-10043"/>
    <d v="2026-11-23T00:00:00"/>
    <s v="03-03-2024"/>
    <d v="1899-12-30T00:00:00"/>
    <s v="Haldiram'S"/>
    <s v="Chennai"/>
    <s v="Desserts"/>
    <n v="38"/>
    <n v="1.5"/>
    <s v="33mins"/>
    <n v="350"/>
    <n v="0.6"/>
    <x v="2"/>
    <s v="Refunded"/>
    <n v="3"/>
    <s v="Grab"/>
    <n v="210"/>
  </r>
  <r>
    <s v="ZOM-10044"/>
    <d v="2026-04-02T00:00:00"/>
    <s v="27-04-2024"/>
    <d v="1899-12-30T00:00:00"/>
    <s v="Unknown"/>
    <s v="Kolkata"/>
    <s v="Mughlai, South Indian"/>
    <n v="34"/>
    <n v="4.0999999999999996"/>
    <s v="66mins"/>
    <n v="242"/>
    <n v="0.2"/>
    <x v="0"/>
    <s v="Delivered"/>
    <n v="7"/>
    <s v="Dunzo"/>
    <n v="230"/>
  </r>
  <r>
    <s v="ZOM-10045"/>
    <d v="2026-12-16T00:00:00"/>
    <s v="08-05-2024"/>
    <d v="1899-12-30T00:00:00"/>
    <s v="Barbeque Nation"/>
    <s v="Jaipur"/>
    <s v="Italian"/>
    <n v="50"/>
    <n v="3.8"/>
    <s v="17mins"/>
    <n v="997"/>
    <n v="120"/>
    <x v="5"/>
    <s v="Delivered"/>
    <n v="10"/>
    <s v="Rapido"/>
    <n v="79"/>
  </r>
  <r>
    <s v="ZOM-10046"/>
    <d v="2026-07-10T00:00:00"/>
    <s v="07-04-2024"/>
    <d v="1899-12-30T00:00:00"/>
    <s v="Unknown"/>
    <s v="Mumbai"/>
    <s v="Italian"/>
    <n v="65"/>
    <n v="3.8"/>
    <s v="56mins"/>
    <n v="2496"/>
    <n v="0.15"/>
    <x v="2"/>
    <s v="Refunded"/>
    <n v="9"/>
    <s v="Dunzo"/>
    <n v="18"/>
  </r>
  <r>
    <s v="ZOM-10047"/>
    <d v="2026-02-13T00:00:00"/>
    <s v="22-03-2024"/>
    <d v="1899-12-30T00:00:00"/>
    <s v="Behrouz Biryani"/>
    <s v="Pune"/>
    <s v="Biryani"/>
    <n v="59"/>
    <n v="2.9"/>
    <s v="49 mins"/>
    <n v="765"/>
    <n v="0.1"/>
    <x v="7"/>
    <s v="Delivered"/>
    <n v="6"/>
    <s v="In-House"/>
    <n v="35"/>
  </r>
  <r>
    <s v="ZOM-10048"/>
    <d v="2026-05-07T00:00:00"/>
    <s v="16-06-2024"/>
    <d v="1899-12-30T00:00:00"/>
    <s v="Dominos Pizza"/>
    <s v="Mumbai"/>
    <s v="North Indian"/>
    <n v="20"/>
    <n v="2.6"/>
    <s v="52mins"/>
    <n v="500"/>
    <n v="0"/>
    <x v="5"/>
    <s v="Delivered"/>
    <n v="5"/>
    <s v="Shadowfax"/>
    <n v="161"/>
  </r>
  <r>
    <s v="ORD_121"/>
    <d v="2026-07-13T00:00:00"/>
    <s v="03-16-2024"/>
    <d v="1899-12-30T19:22:00"/>
    <s v="Dominos Pizza"/>
    <s v="Jaipur"/>
    <s v="Fast Food"/>
    <n v="46"/>
    <n v="4.8"/>
    <s v="16mins"/>
    <n v="742"/>
    <n v="0.1"/>
    <x v="2"/>
    <s v="Refunded"/>
    <n v="6"/>
    <s v="Rapido"/>
    <n v="78"/>
  </r>
  <r>
    <s v="ZOM-10050"/>
    <d v="2026-07-18T00:00:00"/>
    <s v="28-06-2024"/>
    <d v="1899-12-30T00:00:00"/>
    <s v="Wow! Momo"/>
    <s v="Lucknow"/>
    <s v="Desserts"/>
    <n v="50"/>
    <n v="3.1"/>
    <s v="69 mins"/>
    <n v="1358"/>
    <n v="0.6"/>
    <x v="2"/>
    <s v="Delivered"/>
    <n v="9"/>
    <s v="Grab"/>
    <n v="73"/>
  </r>
  <r>
    <s v="ZOM-10000"/>
    <d v="2026-04-23T00:00:00"/>
    <s v="25-02-2024"/>
    <d v="1899-12-30T00:00:00"/>
    <s v="Subway"/>
    <s v="Mumbai"/>
    <s v="Fast Food"/>
    <n v="44"/>
    <n v="4.5999999999999996"/>
    <s v="63mins"/>
    <n v="1014"/>
    <n v="120"/>
    <x v="4"/>
    <s v="Delivered"/>
    <n v="1"/>
    <s v="Zomato Valet"/>
    <n v="157"/>
  </r>
  <r>
    <s v="ZOM-10052"/>
    <d v="2026-07-20T00:00:00"/>
    <s v="27-04-2024"/>
    <d v="1899-12-30T00:00:00"/>
    <s v="Dominos Pizza"/>
    <s v="Pune"/>
    <s v="Chinese"/>
    <n v="63"/>
    <n v="2"/>
    <s v="15 mins"/>
    <n v="1165"/>
    <n v="0"/>
    <x v="4"/>
    <s v="Delivered"/>
    <n v="6"/>
    <s v="Shadowfax"/>
    <n v="138"/>
  </r>
  <r>
    <s v="ZOM-10053"/>
    <d v="2026-08-22T00:00:00"/>
    <s v="05-31-2024"/>
    <d v="1899-12-30T05:58:00"/>
    <s v="Subway"/>
    <s v="Pune"/>
    <s v="Fast Food"/>
    <n v="32"/>
    <n v="3.8"/>
    <s v="22mins"/>
    <n v="1458"/>
    <n v="50"/>
    <x v="2"/>
    <s v="Delivered"/>
    <n v="4"/>
    <s v="Zomato Valet"/>
    <n v="119"/>
  </r>
  <r>
    <s v="ZOM-10054"/>
    <d v="2026-08-11T00:00:00"/>
    <s v="04-07-2024"/>
    <d v="1899-12-30T00:00:00"/>
    <s v="Paradise Biryani"/>
    <s v="Hyderabad"/>
    <s v="Mughlai"/>
    <n v="33"/>
    <n v="4.0999999999999996"/>
    <s v="60mins"/>
    <n v="854"/>
    <n v="100"/>
    <x v="0"/>
    <s v="Refunded"/>
    <n v="10"/>
    <s v="Shadowfax"/>
    <n v="103"/>
  </r>
  <r>
    <s v="ZOM-10055"/>
    <d v="2026-06-04T00:00:00"/>
    <s v="20-02-2024"/>
    <d v="1899-12-30T00:00:00"/>
    <s v="Chai Point"/>
    <s v="Kolkata"/>
    <s v="Mughlai"/>
    <n v="52"/>
    <n v="4.7"/>
    <s v="22mins"/>
    <n v="1367"/>
    <n v="0"/>
    <x v="1"/>
    <s v="Cancelled"/>
    <n v="1"/>
    <s v="Shadowfax"/>
    <n v="124"/>
  </r>
  <r>
    <s v="ZOM-10056"/>
    <d v="2026-06-13T00:00:00"/>
    <m/>
    <d v="1899-12-30T00:00:00"/>
    <s v="Wow! Momo"/>
    <s v="Jaipur"/>
    <s v="Italian"/>
    <n v="27"/>
    <n v="3.5"/>
    <s v="60mins"/>
    <n v="756"/>
    <n v="0.5"/>
    <x v="2"/>
    <s v="Delivered"/>
    <n v="2"/>
    <s v="Grab"/>
    <m/>
  </r>
  <r>
    <s v="ZOM-10058"/>
    <d v="2026-10-25T00:00:00"/>
    <s v="03-28-2024"/>
    <d v="1899-12-30T20:39:00"/>
    <s v="Chai Point"/>
    <s v="Kolkata"/>
    <s v="Street Food"/>
    <n v="23"/>
    <n v="2.2000000000000002"/>
    <s v="19 mins"/>
    <n v="315"/>
    <n v="150"/>
    <x v="4"/>
    <s v="Delivered"/>
    <n v="2"/>
    <s v="Shadowfax"/>
    <n v="104"/>
  </r>
  <r>
    <s v="ZOM-10059"/>
    <d v="2026-03-09T00:00:00"/>
    <s v="21-05-2024"/>
    <d v="1899-12-30T00:00:00"/>
    <s v="Kfc"/>
    <s v="Mumbai"/>
    <s v="Chinese"/>
    <n v="37"/>
    <n v="1.6"/>
    <s v="32 mins"/>
    <n v="1122"/>
    <n v="0"/>
    <x v="5"/>
    <s v="Delivered"/>
    <n v="7"/>
    <s v="Dunzo"/>
    <n v="205"/>
  </r>
  <r>
    <s v="ZOM-10060"/>
    <d v="2026-01-17T00:00:00"/>
    <s v="15-06-2024"/>
    <d v="1899-12-30T00:00:00"/>
    <s v="Kfc"/>
    <s v="Pune"/>
    <s v="Mughlai"/>
    <n v="43"/>
    <n v="4.7"/>
    <s v="49 mins"/>
    <n v="548"/>
    <n v="0"/>
    <x v="1"/>
    <s v="Refunded"/>
    <n v="7"/>
    <s v="In-House"/>
    <n v="0"/>
  </r>
  <r>
    <s v="ZOM-10061"/>
    <d v="2026-10-01T00:00:00"/>
    <s v="19-01-2024"/>
    <d v="1899-12-30T00:00:00"/>
    <s v="Paradise Biryani"/>
    <s v="Pune"/>
    <s v="Street Food"/>
    <n v="60"/>
    <n v="3.6"/>
    <s v="15 mins"/>
    <n v="2461"/>
    <n v="0.2"/>
    <x v="2"/>
    <s v="Delivered"/>
    <n v="6"/>
    <s v="Grab"/>
    <n v="148"/>
  </r>
  <r>
    <s v="ZOM-10062"/>
    <d v="2026-12-30T00:00:00"/>
    <s v="16-03-2024"/>
    <d v="1899-12-30T00:00:00"/>
    <s v="Haldiram'S"/>
    <s v="Ahmedabad"/>
    <s v="South Indian"/>
    <n v="63"/>
    <n v="4.4000000000000004"/>
    <s v="36mins"/>
    <n v="2333"/>
    <n v="120"/>
    <x v="4"/>
    <s v="Delivered"/>
    <n v="7"/>
    <s v="Zomato Valet"/>
    <n v="68"/>
  </r>
  <r>
    <s v="ZOM-10000"/>
    <d v="2026-01-09T00:00:00"/>
    <s v="24-02-2024"/>
    <d v="1899-12-30T00:00:00"/>
    <s v="Behrouz Biryani"/>
    <s v="Jaipur"/>
    <s v="Biryani"/>
    <n v="42"/>
    <n v="3.3"/>
    <s v="73mins"/>
    <n v="1589"/>
    <n v="75"/>
    <x v="7"/>
    <s v="Cancelled"/>
    <n v="9"/>
    <s v="Grab"/>
    <n v="47"/>
  </r>
  <r>
    <s v="ZOM-10064"/>
    <d v="2026-07-19T00:00:00"/>
    <s v="14-06-2024"/>
    <d v="1899-12-30T00:00:00"/>
    <s v="Paradise Biryani"/>
    <s v="Chennai"/>
    <s v="Italian"/>
    <n v="44"/>
    <n v="2.8"/>
    <s v="51 mins"/>
    <n v="193"/>
    <n v="0.2"/>
    <x v="4"/>
    <s v="Delivered"/>
    <n v="9"/>
    <s v="Dunzo"/>
    <n v="171"/>
  </r>
  <r>
    <s v="ZOM-10065"/>
    <d v="2026-07-23T00:00:00"/>
    <s v="07-07-2024"/>
    <d v="1899-12-30T22:18:00"/>
    <s v="Burger King"/>
    <s v="Mumbai"/>
    <s v="Chinese"/>
    <n v="57"/>
    <n v="1.7"/>
    <s v="28 mins"/>
    <n v="2056"/>
    <n v="120"/>
    <x v="5"/>
    <s v="Refunded"/>
    <n v="2"/>
    <s v="Shadowfax"/>
    <n v="223"/>
  </r>
  <r>
    <s v="ZOM-10066"/>
    <d v="2026-08-22T00:00:00"/>
    <s v="03-02-2024"/>
    <d v="1899-12-30T00:00:00"/>
    <s v="Kfc"/>
    <s v="Lucknow"/>
    <s v="South Indian"/>
    <n v="35"/>
    <n v="4.5"/>
    <s v="77mins"/>
    <n v="500"/>
    <n v="150"/>
    <x v="0"/>
    <s v="Refunded"/>
    <n v="7"/>
    <s v="Shadowfax"/>
    <n v="14"/>
  </r>
  <r>
    <s v="ZOM-10067"/>
    <d v="2026-06-17T00:00:00"/>
    <s v="03-28-2024"/>
    <d v="1899-12-30T23:17:00"/>
    <s v="Bikanervala"/>
    <s v="Bangalore"/>
    <s v="Italian"/>
    <n v="28"/>
    <n v="4.5"/>
    <s v="38 mins"/>
    <n v="716"/>
    <n v="50"/>
    <x v="0"/>
    <s v="Cancelled"/>
    <n v="4"/>
    <s v="Grab"/>
    <n v="91"/>
  </r>
  <r>
    <s v="ZOM-10072"/>
    <d v="2026-08-31T00:00:00"/>
    <s v="22-03-2024"/>
    <d v="1899-12-30T00:00:00"/>
    <s v="Chai Point"/>
    <s v="Jaipur"/>
    <s v="Mughlai"/>
    <n v="47"/>
    <n v="2.5"/>
    <s v="51 mins"/>
    <n v="1987"/>
    <n v="0.2"/>
    <x v="7"/>
    <s v="Delivered"/>
    <n v="0"/>
    <s v="Unknown"/>
    <n v="99"/>
  </r>
  <r>
    <s v="ORD_121"/>
    <d v="2026-04-13T00:00:00"/>
    <s v="01-01-2024"/>
    <d v="1899-12-30T00:00:00"/>
    <s v="Behrouz Biryani"/>
    <s v="Ahmedabad"/>
    <s v="Biryani"/>
    <n v="62"/>
    <n v="2.8"/>
    <s v="27mins"/>
    <n v="1323"/>
    <n v="0.6"/>
    <x v="7"/>
    <s v="Refunded"/>
    <n v="6"/>
    <s v="Dunzo"/>
    <n v="231"/>
  </r>
  <r>
    <s v="ZOM-10074"/>
    <d v="2026-04-09T00:00:00"/>
    <s v="28-01-2024"/>
    <d v="1899-12-30T00:00:00"/>
    <s v="Kfc"/>
    <s v="Kolkata"/>
    <s v="Biryani"/>
    <n v="38"/>
    <n v="3.8"/>
    <s v="65mins"/>
    <n v="1342"/>
    <n v="0.15"/>
    <x v="0"/>
    <s v="Delivered"/>
    <n v="3"/>
    <s v="Unknown"/>
    <n v="194"/>
  </r>
  <r>
    <s v="ZOM-10075"/>
    <d v="2026-09-10T00:00:00"/>
    <s v="05-04-2024"/>
    <d v="1899-12-30T00:00:00"/>
    <s v="H@Ldir@M'S"/>
    <s v="Mumbai"/>
    <s v="South Indian"/>
    <n v="18"/>
    <n v="1.7"/>
    <s v="65mins"/>
    <n v="1301"/>
    <n v="75"/>
    <x v="4"/>
    <s v="Cancelled"/>
    <n v="5"/>
    <s v="Grab"/>
    <n v="60"/>
  </r>
  <r>
    <s v="ZOM-10076"/>
    <d v="2026-07-17T00:00:00"/>
    <s v="05-14-2024"/>
    <d v="1899-12-30T08:30:00"/>
    <s v="Wow! Momo"/>
    <s v="Jaipur"/>
    <s v="Desserts"/>
    <n v="35"/>
    <n v="2.5"/>
    <s v="60mins"/>
    <n v="1945"/>
    <n v="0"/>
    <x v="4"/>
    <s v="Delivered"/>
    <n v="7"/>
    <s v="Dunzo"/>
    <n v="23"/>
  </r>
  <r>
    <s v="ZOM-10077"/>
    <d v="2026-04-15T00:00:00"/>
    <m/>
    <d v="1899-12-30T00:00:00"/>
    <s v="Behrouz Biryani"/>
    <s v="Ahmedabad"/>
    <s v="North Indian"/>
    <n v="18"/>
    <n v="1.8"/>
    <s v="60 mins"/>
    <n v="542"/>
    <n v="0"/>
    <x v="0"/>
    <s v="Delivered"/>
    <n v="6"/>
    <s v="In-House"/>
    <n v="47"/>
  </r>
  <r>
    <s v="ZOM-10078"/>
    <d v="2026-09-04T00:00:00"/>
    <s v="21-04-2024"/>
    <d v="1899-12-30T00:00:00"/>
    <s v="Faasos"/>
    <s v="Lucknow"/>
    <s v="Fast Food"/>
    <n v="18"/>
    <n v="4.8"/>
    <s v="19mins"/>
    <n v="553"/>
    <n v="120"/>
    <x v="4"/>
    <s v="Refunded"/>
    <n v="3"/>
    <s v="In-House"/>
    <n v="154"/>
  </r>
  <r>
    <s v="ZOM-10079"/>
    <d v="2026-03-27T00:00:00"/>
    <s v="08-03-2024"/>
    <d v="1899-12-30T00:00:00"/>
    <s v="Haldiram'S"/>
    <s v="Ahmedabad"/>
    <s v="Mughlai"/>
    <n v="54"/>
    <n v="3.7"/>
    <s v="19 mins"/>
    <n v="500"/>
    <n v="0"/>
    <x v="5"/>
    <s v="Delivered"/>
    <n v="2"/>
    <s v="Dunzo"/>
    <m/>
  </r>
  <r>
    <s v="ZOM-10080"/>
    <d v="2026-07-05T00:00:00"/>
    <s v="21-04-2024"/>
    <d v="1899-12-30T00:00:00"/>
    <s v="Kfc"/>
    <s v="Jaipur"/>
    <s v="North Indian"/>
    <n v="18"/>
    <n v="2.2000000000000002"/>
    <s v="76mins"/>
    <n v="500"/>
    <n v="0.2"/>
    <x v="0"/>
    <s v="Delivered"/>
    <n v="9"/>
    <s v="Grab"/>
    <n v="42"/>
  </r>
  <r>
    <s v="ZOM-10081"/>
    <d v="2026-04-17T00:00:00"/>
    <s v="27-02-2024"/>
    <d v="1899-12-30T00:00:00"/>
    <s v="Barbeque Nation"/>
    <s v="Jaipur"/>
    <s v="North Indian"/>
    <n v="48"/>
    <n v="1.9"/>
    <s v="65mins"/>
    <n v="2269"/>
    <n v="120"/>
    <x v="7"/>
    <s v="Delivered"/>
    <n v="4"/>
    <s v="Unknown"/>
    <n v="54"/>
  </r>
  <r>
    <s v="ZOM-10082"/>
    <d v="2026-03-27T00:00:00"/>
    <s v="07-02-2024"/>
    <d v="1899-12-30T00:00:00"/>
    <s v="Behrouz Biryani"/>
    <s v="Pune"/>
    <s v="North Indian"/>
    <n v="44"/>
    <n v="3.3"/>
    <s v="27mins"/>
    <n v="2321"/>
    <n v="0.2"/>
    <x v="7"/>
    <s v="Delivered"/>
    <n v="7"/>
    <s v="Shadowfax"/>
    <n v="53"/>
  </r>
  <r>
    <s v="ZOM-10083"/>
    <d v="2026-10-15T00:00:00"/>
    <s v="13-01-2024"/>
    <d v="1899-12-30T00:00:00"/>
    <s v="Unknown"/>
    <s v="Kolkata"/>
    <s v="South Indian"/>
    <n v="38"/>
    <n v="2.7"/>
    <s v="39mins"/>
    <n v="1171"/>
    <n v="100"/>
    <x v="7"/>
    <s v="Cancelled"/>
    <n v="9"/>
    <s v="Unknown"/>
    <n v="16"/>
  </r>
  <r>
    <s v="ZOM-10084"/>
    <d v="2026-09-19T00:00:00"/>
    <s v="26-04-2024"/>
    <d v="1899-12-30T00:00:00"/>
    <s v="Behrouz Biryani"/>
    <s v="Mumbai"/>
    <s v="Mughlai"/>
    <n v="28"/>
    <n v="2"/>
    <s v="26mins"/>
    <n v="798"/>
    <n v="0.6"/>
    <x v="4"/>
    <s v="Refunded"/>
    <n v="1"/>
    <s v="Grab"/>
    <m/>
  </r>
  <r>
    <s v="ZOM-10085"/>
    <d v="2026-07-19T00:00:00"/>
    <s v="19-03-2024"/>
    <d v="1899-12-30T00:00:00"/>
    <s v="Subway"/>
    <s v="Jaipur"/>
    <s v="Street Food"/>
    <n v="56"/>
    <n v="2.2000000000000002"/>
    <s v="19 mins"/>
    <n v="920"/>
    <n v="0.2"/>
    <x v="5"/>
    <s v="Cancelled"/>
    <n v="10"/>
    <s v="Grab"/>
    <n v="158"/>
  </r>
  <r>
    <s v="ZOM-10086"/>
    <d v="2026-07-21T00:00:00"/>
    <s v="17-04-2024"/>
    <d v="1899-12-30T00:00:00"/>
    <s v="Bikanervala"/>
    <s v="Hyderabad"/>
    <s v="Desserts"/>
    <n v="29"/>
    <n v="2.9"/>
    <s v="38mins"/>
    <n v="2374"/>
    <n v="50"/>
    <x v="5"/>
    <s v="Refunded"/>
    <n v="2"/>
    <s v="Grab"/>
    <n v="112"/>
  </r>
  <r>
    <s v="ZOM-10087"/>
    <d v="2026-02-05T00:00:00"/>
    <s v="31-01-2024"/>
    <d v="1899-12-30T00:00:00"/>
    <s v="Burger King"/>
    <s v="Chennai"/>
    <s v="Mughlai"/>
    <n v="39"/>
    <n v="1.7"/>
    <s v="15mins"/>
    <n v="1196"/>
    <n v="120"/>
    <x v="4"/>
    <s v="Delivered"/>
    <n v="8"/>
    <s v="Unknown"/>
    <n v="96"/>
  </r>
  <r>
    <s v="ZOM-10088"/>
    <d v="2026-06-17T00:00:00"/>
    <s v="12-07-2024"/>
    <d v="1899-12-30T00:00:00"/>
    <s v="Unknown"/>
    <s v="Hyderabad"/>
    <s v="South Indian"/>
    <n v="37"/>
    <n v="2.8"/>
    <s v="58mins"/>
    <n v="1152"/>
    <n v="0.5"/>
    <x v="5"/>
    <s v="Unknown"/>
    <n v="3"/>
    <s v="Shadowfax"/>
    <n v="24"/>
  </r>
  <r>
    <s v="ORD_140"/>
    <d v="2026-02-04T00:00:00"/>
    <s v="03-06-2024"/>
    <d v="1899-12-30T18:15:00"/>
    <s v="Ch@I P0Int"/>
    <s v="Mumbai"/>
    <s v="Mughlai"/>
    <n v="18"/>
    <n v="1.4"/>
    <s v="32mins"/>
    <n v="1117"/>
    <n v="120"/>
    <x v="0"/>
    <s v="Delivered"/>
    <n v="4"/>
    <s v="Dunzo"/>
    <n v="67"/>
  </r>
  <r>
    <s v="ZOM-10090"/>
    <d v="2026-10-03T00:00:00"/>
    <m/>
    <d v="1899-12-30T00:00:00"/>
    <s v="Faasos"/>
    <s v="Mumbai"/>
    <s v="South Indian"/>
    <n v="34"/>
    <n v="1.4"/>
    <s v="17 mins"/>
    <n v="2148"/>
    <n v="100"/>
    <x v="1"/>
    <s v="Delivered"/>
    <n v="6"/>
    <s v="Grab"/>
    <n v="162"/>
  </r>
  <r>
    <s v="ZOM-10091"/>
    <d v="2026-12-28T00:00:00"/>
    <s v="12-04-2024"/>
    <d v="1899-12-30T00:00:00"/>
    <s v="Subway"/>
    <s v="Bangalore"/>
    <s v="Fast Food"/>
    <n v="46"/>
    <n v="2.5"/>
    <s v="18mins"/>
    <n v="2173"/>
    <n v="50"/>
    <x v="2"/>
    <s v="Delivered"/>
    <n v="0"/>
    <s v="In-House"/>
    <n v="159"/>
  </r>
  <r>
    <s v="ZOM-10092"/>
    <d v="2026-12-07T00:00:00"/>
    <s v="05-12-2024"/>
    <d v="1899-12-30T17:51:00"/>
    <s v="Chai Point"/>
    <s v="Pune"/>
    <s v="Bakery"/>
    <n v="49"/>
    <n v="1.3"/>
    <s v="45mins"/>
    <n v="908"/>
    <n v="120"/>
    <x v="1"/>
    <s v="Delivered"/>
    <n v="8"/>
    <s v="Dunzo"/>
    <n v="136"/>
  </r>
  <r>
    <s v="ZOM-10093"/>
    <d v="2026-07-03T00:00:00"/>
    <s v="01-01-2024"/>
    <d v="1899-12-30T03:06:00"/>
    <s v="Chai Point"/>
    <s v="Ahmedabad"/>
    <s v="Chinese"/>
    <n v="63"/>
    <n v="3.9"/>
    <s v="63 mins"/>
    <n v="500"/>
    <n v="0.2"/>
    <x v="7"/>
    <s v="Cancelled"/>
    <n v="7"/>
    <s v="Zomato Valet"/>
    <n v="40"/>
  </r>
  <r>
    <s v="ZOM-10094"/>
    <d v="2026-04-27T00:00:00"/>
    <s v="18-02-2024"/>
    <d v="1899-12-30T00:00:00"/>
    <s v="Unknown"/>
    <s v="Lucknow"/>
    <s v="Bakery"/>
    <n v="21"/>
    <n v="2.7"/>
    <s v="80mins"/>
    <n v="1979"/>
    <n v="50"/>
    <x v="1"/>
    <s v="Delivered"/>
    <n v="10"/>
    <s v="In-House"/>
    <n v="238"/>
  </r>
  <r>
    <s v="ZOM-10095"/>
    <d v="2026-01-15T00:00:00"/>
    <s v="04-15-2024"/>
    <d v="1899-12-30T20:33:00"/>
    <s v="Behrouz Biryani"/>
    <s v="Jaipur"/>
    <s v="Biryani"/>
    <n v="29"/>
    <n v="3.8"/>
    <s v="29mins"/>
    <n v="1931"/>
    <n v="150"/>
    <x v="1"/>
    <s v="Refunded"/>
    <n v="0"/>
    <s v="Unknown"/>
    <n v="32"/>
  </r>
  <r>
    <s v="ZOM-10096"/>
    <d v="2026-01-07T00:00:00"/>
    <s v="02-11-2024"/>
    <d v="1899-12-30T09:46:00"/>
    <s v="Barbeque Nation"/>
    <s v="Delhi"/>
    <s v="Street Food"/>
    <n v="62"/>
    <n v="3.7"/>
    <s v="64mins"/>
    <n v="1111"/>
    <n v="120"/>
    <x v="6"/>
    <s v="Refunded"/>
    <n v="8"/>
    <s v="Shadowfax"/>
    <n v="134"/>
  </r>
  <r>
    <s v="ZOM-10097"/>
    <d v="2026-04-22T00:00:00"/>
    <s v="17-07-2024"/>
    <d v="1899-12-30T00:00:00"/>
    <s v="Barbeque Nation"/>
    <s v="Jaipur"/>
    <s v="Biryani"/>
    <n v="39"/>
    <n v="4.7"/>
    <s v="15 mins"/>
    <n v="2330"/>
    <n v="150"/>
    <x v="7"/>
    <s v="Delivered"/>
    <n v="4"/>
    <s v="Shadowfax"/>
    <n v="27"/>
  </r>
  <r>
    <s v="ZOM-10098"/>
    <d v="2026-12-07T00:00:00"/>
    <s v="24-02-2024"/>
    <d v="1899-12-30T00:00:00"/>
    <s v="Kfc"/>
    <s v="Jaipur"/>
    <s v="Desserts"/>
    <n v="20"/>
    <n v="2.2999999999999998"/>
    <s v="29mins"/>
    <n v="1038"/>
    <n v="0.6"/>
    <x v="5"/>
    <s v="Refunded"/>
    <n v="2"/>
    <s v="Shadowfax"/>
    <n v="96"/>
  </r>
  <r>
    <s v="ZOM-10099"/>
    <d v="2026-03-14T00:00:00"/>
    <s v="24-02-2024"/>
    <d v="1899-12-30T00:00:00"/>
    <s v="Dominos Pizza"/>
    <s v="Mumbai"/>
    <s v="Unknown"/>
    <n v="29"/>
    <n v="3.2"/>
    <s v="44mins"/>
    <n v="2288"/>
    <n v="100"/>
    <x v="2"/>
    <s v="Delivered"/>
    <n v="10"/>
    <s v="Zomato Valet"/>
    <n v="226"/>
  </r>
  <r>
    <s v="ZOM-10101"/>
    <d v="2026-03-26T00:00:00"/>
    <s v="01-30-2024"/>
    <d v="1899-12-30T06:11:00"/>
    <s v="Chai Point"/>
    <s v="Ahmedabad"/>
    <s v="South Indian"/>
    <n v="40"/>
    <n v="3.6"/>
    <s v="54 mins"/>
    <n v="286"/>
    <n v="75"/>
    <x v="7"/>
    <s v="Delivered"/>
    <n v="1"/>
    <s v="Dunzo"/>
    <n v="164"/>
  </r>
  <r>
    <s v="ZOM-10102"/>
    <d v="2026-10-12T00:00:00"/>
    <s v="06-07-2024"/>
    <d v="1899-12-30T00:00:00"/>
    <s v="Paradise Biryani"/>
    <s v="Lucknow"/>
    <s v="Street Food"/>
    <n v="19"/>
    <n v="3.5"/>
    <s v="66mins"/>
    <n v="1951"/>
    <n v="0"/>
    <x v="5"/>
    <s v="Cancelled"/>
    <n v="5"/>
    <s v="Shadowfax"/>
    <n v="51"/>
  </r>
  <r>
    <s v="ZOM-10103"/>
    <d v="2026-03-04T00:00:00"/>
    <s v="06-06-2024"/>
    <d v="1899-12-30T05:39:00"/>
    <s v="Barbeque Nation"/>
    <s v="Bangalore"/>
    <s v="Chinese"/>
    <n v="60"/>
    <n v="4.5999999999999996"/>
    <s v="75mins"/>
    <n v="2305"/>
    <n v="0"/>
    <x v="1"/>
    <s v="Refunded"/>
    <n v="3"/>
    <s v="Grab"/>
    <n v="136"/>
  </r>
  <r>
    <s v="ZOM-10104"/>
    <d v="2026-05-10T00:00:00"/>
    <s v="27-02-2024"/>
    <d v="1899-12-30T00:00:00"/>
    <s v="Kfc"/>
    <s v="Bangalore"/>
    <s v="Biryani"/>
    <n v="25"/>
    <n v="2.7"/>
    <s v="29mins"/>
    <n v="1266"/>
    <n v="0.15"/>
    <x v="1"/>
    <s v="Delivered"/>
    <n v="9"/>
    <s v="Zomato Valet"/>
    <n v="25"/>
  </r>
  <r>
    <s v="ZOM-10106"/>
    <d v="2026-09-08T00:00:00"/>
    <s v="31-01-2024"/>
    <d v="1899-12-30T00:00:00"/>
    <s v="Barbeque Nation"/>
    <s v="Pune"/>
    <s v="Street Food"/>
    <n v="40"/>
    <n v="4"/>
    <s v="27mins"/>
    <n v="1133"/>
    <n v="0"/>
    <x v="5"/>
    <s v="Delivered"/>
    <n v="2"/>
    <s v="Unknown"/>
    <n v="136"/>
  </r>
  <r>
    <s v="ZOM-10107"/>
    <d v="2026-02-02T00:00:00"/>
    <s v="02-09-2024"/>
    <d v="1899-12-30T14:32:00"/>
    <s v="Burger King"/>
    <s v="Pune"/>
    <s v="Mughlai"/>
    <n v="54"/>
    <n v="3.8"/>
    <s v="30mins"/>
    <n v="1900"/>
    <n v="50"/>
    <x v="0"/>
    <s v="Delivered"/>
    <n v="7"/>
    <s v="Unknown"/>
    <n v="50"/>
  </r>
  <r>
    <s v="ZOM-10108"/>
    <d v="2026-07-30T00:00:00"/>
    <s v="17-01-2024"/>
    <d v="1899-12-30T00:00:00"/>
    <s v="Haldiram'S"/>
    <s v="Jaipur"/>
    <s v="Fast Food"/>
    <n v="51"/>
    <n v="1.1000000000000001"/>
    <s v="44mins"/>
    <n v="1584"/>
    <n v="0.1"/>
    <x v="4"/>
    <s v="Delivered"/>
    <n v="0"/>
    <s v="In-House"/>
    <n v="14"/>
  </r>
  <r>
    <s v="ZOM-10109"/>
    <d v="2026-04-19T00:00:00"/>
    <s v="03-11-2024"/>
    <d v="1899-12-30T07:43:00"/>
    <s v="Dominos Pizza"/>
    <s v="Bangalore"/>
    <s v="Biryani"/>
    <n v="52"/>
    <n v="3.3"/>
    <s v="63mins"/>
    <n v="1460"/>
    <n v="100"/>
    <x v="1"/>
    <s v="Delivered"/>
    <n v="4"/>
    <s v="In-House"/>
    <n v="56"/>
  </r>
  <r>
    <s v="ZOM-10110"/>
    <d v="2026-06-19T00:00:00"/>
    <s v="08-03-2024"/>
    <d v="1899-12-30T00:00:00"/>
    <s v="Subway"/>
    <s v="Ahmedabad"/>
    <s v="Fast Food"/>
    <n v="30"/>
    <n v="2"/>
    <s v="44mins"/>
    <n v="603"/>
    <n v="50"/>
    <x v="0"/>
    <s v="Delivered"/>
    <n v="1"/>
    <s v="Grab"/>
    <n v="216"/>
  </r>
  <r>
    <s v="ZOM-10111"/>
    <d v="2026-01-17T00:00:00"/>
    <s v="16-02-2024"/>
    <d v="1899-12-30T00:00:00"/>
    <s v="Dominos Pizza"/>
    <s v="Unknown"/>
    <s v="Desserts"/>
    <n v="62"/>
    <n v="2.2999999999999998"/>
    <s v="15 mins"/>
    <n v="1724"/>
    <n v="0.2"/>
    <x v="7"/>
    <s v="Refunded"/>
    <n v="8"/>
    <s v="Grab"/>
    <n v="43"/>
  </r>
  <r>
    <s v="ZOM-10112"/>
    <d v="2026-04-26T00:00:00"/>
    <s v="02-03-2024"/>
    <d v="1899-12-30T19:39:00"/>
    <s v="Haldiram'S"/>
    <s v="Hyderabad"/>
    <s v="North Indian"/>
    <n v="51"/>
    <n v="2.2999999999999998"/>
    <s v="47mins"/>
    <n v="1458"/>
    <n v="0.15"/>
    <x v="0"/>
    <s v="Delivered"/>
    <n v="9"/>
    <s v="Rapido"/>
    <n v="73"/>
  </r>
  <r>
    <s v="ZOM-10000"/>
    <d v="2026-05-10T00:00:00"/>
    <s v="07-05-2024"/>
    <d v="1899-12-30T08:00:00"/>
    <s v="Behrouz Biryani"/>
    <s v="Mumbai"/>
    <s v="Unknown"/>
    <n v="23"/>
    <n v="3.5"/>
    <s v="74 mins"/>
    <n v="2227"/>
    <n v="0.2"/>
    <x v="2"/>
    <s v="Delivered"/>
    <n v="8"/>
    <s v="Grab"/>
    <n v="10"/>
  </r>
  <r>
    <s v="ZOM-10115"/>
    <d v="2026-09-30T00:00:00"/>
    <s v="15-02-2024"/>
    <d v="1899-12-30T00:00:00"/>
    <s v="Faasos"/>
    <s v="Jaipur"/>
    <s v="South Indian"/>
    <n v="18"/>
    <n v="4"/>
    <s v="33 mins"/>
    <n v="500"/>
    <n v="100"/>
    <x v="6"/>
    <s v="Delivered"/>
    <n v="9"/>
    <s v="Dunzo"/>
    <n v="64"/>
  </r>
  <r>
    <s v="ZOM-10116"/>
    <d v="2026-03-03T00:00:00"/>
    <s v="06-04-2024"/>
    <d v="1899-12-30T00:00:00"/>
    <s v="Subway"/>
    <s v="Kolkata"/>
    <s v="Italian, Fast Food"/>
    <n v="58"/>
    <n v="2.8"/>
    <s v="77mins"/>
    <n v="500"/>
    <n v="0"/>
    <x v="6"/>
    <s v="Delivered"/>
    <n v="1"/>
    <s v="Shadowfax"/>
    <n v="8"/>
  </r>
  <r>
    <s v="ZOM-10117"/>
    <d v="2026-07-14T00:00:00"/>
    <s v="04-05-2024"/>
    <d v="1899-12-30T15:49:00"/>
    <s v="Bikanervala"/>
    <s v="Pune"/>
    <s v="Biryani"/>
    <n v="33"/>
    <n v="4.9000000000000004"/>
    <s v="17 mins"/>
    <n v="594"/>
    <n v="0"/>
    <x v="1"/>
    <s v="Refunded"/>
    <n v="9"/>
    <s v="Rapido"/>
    <n v="19"/>
  </r>
  <r>
    <s v="ZOM-10118"/>
    <d v="2026-04-18T00:00:00"/>
    <s v="01-29-2024"/>
    <d v="1899-12-30T08:03:00"/>
    <s v="Unknown"/>
    <s v="Kolkata"/>
    <s v="North Indian"/>
    <n v="23"/>
    <n v="3"/>
    <s v="58mins"/>
    <n v="2335"/>
    <n v="0"/>
    <x v="5"/>
    <s v="Cancelled"/>
    <n v="6"/>
    <s v="Grab"/>
    <n v="45"/>
  </r>
  <r>
    <s v="ORD_145"/>
    <d v="2026-09-21T00:00:00"/>
    <s v="22-04-2024"/>
    <d v="1899-12-30T00:00:00"/>
    <s v="Behrouz Biryani"/>
    <s v="Ahmedabad"/>
    <s v="Street Food"/>
    <n v="52"/>
    <n v="1"/>
    <s v="63mins"/>
    <n v="1866"/>
    <n v="75"/>
    <x v="7"/>
    <s v="Delivered"/>
    <n v="9"/>
    <s v="Shadowfax"/>
    <n v="132"/>
  </r>
  <r>
    <s v="ZOM-10120"/>
    <d v="2026-03-24T00:00:00"/>
    <s v="03-02-2024"/>
    <d v="1899-12-30T00:00:00"/>
    <s v="Dominos Pizza"/>
    <s v="Pune"/>
    <s v="Biryani"/>
    <n v="18"/>
    <n v="3.6"/>
    <s v="25mins"/>
    <n v="1234"/>
    <n v="0.5"/>
    <x v="5"/>
    <s v="Delivered"/>
    <n v="4"/>
    <s v="Rapido"/>
    <n v="95"/>
  </r>
  <r>
    <s v="ZOM-10121"/>
    <d v="2026-11-15T00:00:00"/>
    <s v="09-06-2024"/>
    <d v="1899-12-30T00:00:00"/>
    <s v="Wow! Momo"/>
    <s v="Ahmedabad"/>
    <s v="Fast Food"/>
    <n v="56"/>
    <n v="2.4"/>
    <s v="56mins"/>
    <n v="2131"/>
    <n v="150"/>
    <x v="5"/>
    <s v="Delivered"/>
    <n v="8"/>
    <s v="Unknown"/>
    <n v="69"/>
  </r>
  <r>
    <s v="ZOM-10000"/>
    <d v="2026-09-26T00:00:00"/>
    <m/>
    <d v="1899-12-30T00:00:00"/>
    <s v="Dominos Pizza"/>
    <s v="Kolkata"/>
    <s v="Bakery, Desserts"/>
    <n v="34"/>
    <n v="3.3"/>
    <s v="66 mins"/>
    <n v="835"/>
    <n v="50"/>
    <x v="1"/>
    <s v="Delivered"/>
    <n v="2"/>
    <s v="Rapido"/>
    <n v="187"/>
  </r>
  <r>
    <s v="ZOM-10123"/>
    <d v="2026-02-19T00:00:00"/>
    <s v="26-03-2024"/>
    <d v="1899-12-30T00:00:00"/>
    <s v="Subway"/>
    <s v="Lucknow"/>
    <s v="North Indian, Street Food"/>
    <n v="38"/>
    <n v="1.9"/>
    <s v="61 mins"/>
    <n v="2494"/>
    <n v="120"/>
    <x v="7"/>
    <s v="Cancelled"/>
    <n v="1"/>
    <s v="Rapido"/>
    <n v="86"/>
  </r>
  <r>
    <s v="ZOM-10124"/>
    <d v="2026-09-18T00:00:00"/>
    <s v="23-05-2024"/>
    <d v="1899-12-30T00:00:00"/>
    <s v="Faasos"/>
    <s v="Hyderabad"/>
    <s v="Bakery"/>
    <n v="38"/>
    <n v="3.6"/>
    <s v="36mins"/>
    <n v="2471"/>
    <n v="100"/>
    <x v="7"/>
    <s v="Cancelled"/>
    <n v="2"/>
    <s v="Zomato Valet"/>
    <n v="125"/>
  </r>
  <r>
    <s v="ZOM-10127"/>
    <d v="2026-04-30T00:00:00"/>
    <s v="20-03-2024"/>
    <d v="1899-12-30T00:00:00"/>
    <s v="Wow! Momo"/>
    <s v="Hyderabad"/>
    <s v="Street Food"/>
    <n v="59"/>
    <n v="4.7"/>
    <s v="30mins"/>
    <n v="558"/>
    <n v="0.1"/>
    <x v="5"/>
    <s v="Delivered"/>
    <n v="5"/>
    <s v="Shadowfax"/>
    <n v="19"/>
  </r>
  <r>
    <s v="ZOM-10128"/>
    <d v="2026-07-18T00:00:00"/>
    <s v="25-05-2024"/>
    <d v="1899-12-30T00:00:00"/>
    <s v="Dominos Pizza"/>
    <s v="Ahmedabad"/>
    <s v="Desserts"/>
    <n v="32"/>
    <n v="2.5"/>
    <s v="16mins"/>
    <n v="2323"/>
    <n v="0.15"/>
    <x v="4"/>
    <s v="Delivered"/>
    <n v="4"/>
    <s v="Grab"/>
    <n v="163"/>
  </r>
  <r>
    <s v="ZOM-10129"/>
    <d v="2026-10-31T00:00:00"/>
    <s v="09-07-2024"/>
    <d v="1899-12-30T00:00:00"/>
    <s v="Wow! Momo"/>
    <s v="Bombay"/>
    <s v="Chinese"/>
    <n v="51"/>
    <n v="4.9000000000000004"/>
    <s v="43 mins"/>
    <n v="1067"/>
    <n v="100"/>
    <x v="4"/>
    <s v="Delivered"/>
    <n v="2"/>
    <s v="In-House"/>
    <n v="113"/>
  </r>
  <r>
    <s v="ZOM-10130"/>
    <d v="2026-03-17T00:00:00"/>
    <m/>
    <d v="1899-12-30T00:00:00"/>
    <s v="Paradise Biryani"/>
    <s v="Kolkata"/>
    <s v="Fast Food"/>
    <n v="41"/>
    <n v="3.8"/>
    <s v="80mins"/>
    <n v="1577"/>
    <n v="0"/>
    <x v="4"/>
    <s v="Cancelled"/>
    <n v="1"/>
    <s v="Grab"/>
    <n v="237"/>
  </r>
  <r>
    <s v="ZOM-10131"/>
    <d v="2026-05-22T00:00:00"/>
    <s v="02-21-2024"/>
    <d v="1899-12-30T00:07:00"/>
    <s v="Unknown"/>
    <s v="Ahmedabad"/>
    <s v="Mughlai"/>
    <n v="23"/>
    <n v="1"/>
    <s v="50mins"/>
    <n v="1595"/>
    <n v="0"/>
    <x v="3"/>
    <s v="Delivered"/>
    <n v="2"/>
    <s v="Zomato Valet"/>
    <n v="27"/>
  </r>
  <r>
    <s v="ZOM-10132"/>
    <d v="2026-12-19T00:00:00"/>
    <s v="26-05-2024"/>
    <d v="1899-12-30T00:00:00"/>
    <s v="Paradise Biryani"/>
    <s v="Kolkata"/>
    <s v="Italian, Mughlai"/>
    <n v="62"/>
    <n v="2.2999999999999998"/>
    <s v="41mins"/>
    <n v="1776"/>
    <n v="0.6"/>
    <x v="0"/>
    <s v="Refunded"/>
    <n v="10"/>
    <s v="Rapido"/>
    <n v="106"/>
  </r>
  <r>
    <s v="ZOM-10133"/>
    <d v="2026-08-28T00:00:00"/>
    <s v="16-02-2024"/>
    <d v="1899-12-30T00:00:00"/>
    <s v="Burger King"/>
    <s v="Mumbai"/>
    <s v="Italian"/>
    <n v="18"/>
    <n v="3.8"/>
    <s v="23mins"/>
    <n v="852"/>
    <n v="0.1"/>
    <x v="0"/>
    <s v="Delivered"/>
    <n v="6"/>
    <s v="In-House"/>
    <n v="68"/>
  </r>
  <r>
    <s v="ZOM-10134"/>
    <d v="2026-07-18T00:00:00"/>
    <s v="17-05-2024"/>
    <d v="1899-12-30T00:00:00"/>
    <s v="Subway"/>
    <s v="Lucknow"/>
    <s v="Chinese"/>
    <n v="22"/>
    <n v="2.1"/>
    <s v="15 mins"/>
    <n v="2461"/>
    <n v="120"/>
    <x v="7"/>
    <s v="Refunded"/>
    <n v="0"/>
    <s v="Grab"/>
    <n v="43"/>
  </r>
  <r>
    <s v="ZOM-10135"/>
    <d v="2026-06-11T00:00:00"/>
    <s v="14-02-2024"/>
    <d v="1899-12-30T00:00:00"/>
    <s v="Bik@Nerv@L@"/>
    <s v="Ahmedabad"/>
    <s v="Mughlai"/>
    <n v="24"/>
    <n v="4.8"/>
    <s v="31mins"/>
    <n v="500"/>
    <n v="0.6"/>
    <x v="6"/>
    <s v="Delivered"/>
    <n v="8"/>
    <s v="Zomato Valet"/>
    <m/>
  </r>
  <r>
    <s v="ZOM-10136"/>
    <d v="2026-08-23T00:00:00"/>
    <s v="23-02-2024"/>
    <d v="1899-12-30T00:00:00"/>
    <s v="Burger King"/>
    <s v="Bangalore"/>
    <s v="Street Food"/>
    <n v="27"/>
    <n v="4.2"/>
    <s v="36mins"/>
    <n v="290"/>
    <n v="0.5"/>
    <x v="0"/>
    <s v="Delivered"/>
    <n v="10"/>
    <s v="Rapido"/>
    <n v="67"/>
  </r>
  <r>
    <s v="ZOM-10137"/>
    <d v="2026-01-12T00:00:00"/>
    <s v="13-07-2024"/>
    <d v="1899-12-30T00:00:00"/>
    <s v="Haldiram'S"/>
    <s v="Ahmedabad"/>
    <s v="Mughlai"/>
    <n v="34"/>
    <n v="2.6"/>
    <s v="57mins"/>
    <n v="1997"/>
    <n v="0"/>
    <x v="0"/>
    <s v="Cancelled"/>
    <n v="9"/>
    <s v="Zomato Valet"/>
    <n v="45"/>
  </r>
  <r>
    <s v="ZOM-10138"/>
    <d v="2026-10-29T00:00:00"/>
    <s v="28-04-2024"/>
    <d v="1899-12-30T00:00:00"/>
    <s v="Dominos Pizza"/>
    <s v="Chennai"/>
    <s v="Italian"/>
    <n v="60"/>
    <n v="4.7"/>
    <s v="77mins"/>
    <n v="392"/>
    <n v="0.1"/>
    <x v="2"/>
    <s v="Delivered"/>
    <n v="6"/>
    <s v="Grab"/>
    <n v="8"/>
  </r>
  <r>
    <s v="ZOM-10139"/>
    <d v="2026-09-09T00:00:00"/>
    <s v="01-01-2024"/>
    <d v="1899-12-30T05:00:00"/>
    <s v="Paradise Biryani"/>
    <s v="Chennai"/>
    <s v="Italian"/>
    <n v="57"/>
    <n v="2.6"/>
    <s v="33 mins"/>
    <n v="269"/>
    <n v="0"/>
    <x v="1"/>
    <s v="Refunded"/>
    <n v="7"/>
    <s v="In-House"/>
    <n v="46"/>
  </r>
  <r>
    <s v="ZOM-10140"/>
    <d v="2026-05-17T00:00:00"/>
    <s v="18-02-2024"/>
    <d v="1899-12-30T00:00:00"/>
    <s v="Kfc"/>
    <s v="Unknown"/>
    <s v="North Indian"/>
    <n v="26"/>
    <n v="3.6"/>
    <s v="73mins"/>
    <n v="2247"/>
    <n v="120"/>
    <x v="4"/>
    <s v="Delivered"/>
    <n v="10"/>
    <s v="Grab"/>
    <n v="86"/>
  </r>
  <r>
    <s v="ZOM-10141"/>
    <d v="2026-12-17T00:00:00"/>
    <s v="10-01-2024"/>
    <d v="1899-12-30T00:00:00"/>
    <s v="Kfc"/>
    <s v="Jaipur"/>
    <s v="Mughlai"/>
    <n v="58"/>
    <n v="4.8"/>
    <s v="55 mins"/>
    <n v="1403"/>
    <n v="75"/>
    <x v="7"/>
    <s v="Delivered"/>
    <n v="5"/>
    <s v="Dunzo"/>
    <n v="117"/>
  </r>
  <r>
    <s v="ZOM-10142"/>
    <d v="2026-12-10T00:00:00"/>
    <s v="10-06-2024"/>
    <d v="1899-12-30T00:00:00"/>
    <s v="Chai Point"/>
    <s v="Kolkata"/>
    <s v="Biryani"/>
    <n v="65"/>
    <n v="1.7"/>
    <s v="34mins"/>
    <n v="1689"/>
    <n v="0.15"/>
    <x v="8"/>
    <s v="Delivered"/>
    <n v="8"/>
    <s v="Grab"/>
    <n v="65"/>
  </r>
  <r>
    <s v="ZOM-10143"/>
    <d v="2026-01-22T00:00:00"/>
    <s v="03-29-2024"/>
    <d v="1899-12-30T01:51:00"/>
    <s v="Haldiram'S"/>
    <s v="Jaipur"/>
    <s v="Biryani"/>
    <n v="46"/>
    <n v="2.2999999999999998"/>
    <s v="20mins"/>
    <n v="352"/>
    <n v="0.5"/>
    <x v="7"/>
    <s v="Refunded"/>
    <n v="8"/>
    <s v="In-House"/>
    <n v="114"/>
  </r>
  <r>
    <s v="ZOM-10144"/>
    <d v="2026-02-15T00:00:00"/>
    <s v="16-02-2024"/>
    <d v="1899-12-30T00:00:00"/>
    <s v="Unknown"/>
    <s v="Unknown"/>
    <s v="South Indian"/>
    <n v="34"/>
    <n v="1.1000000000000001"/>
    <s v="75 mins"/>
    <n v="1534"/>
    <n v="0.6"/>
    <x v="1"/>
    <s v="Delivered"/>
    <n v="10"/>
    <s v="Shadowfax"/>
    <n v="4"/>
  </r>
  <r>
    <s v="ZOM-10145"/>
    <d v="2026-06-21T00:00:00"/>
    <s v="03-11-2024"/>
    <d v="1899-12-30T14:34:00"/>
    <s v="Faasos"/>
    <s v="Delhi"/>
    <s v="Biryani, Chinese"/>
    <n v="29"/>
    <n v="1.4"/>
    <s v="70mins"/>
    <n v="640"/>
    <n v="150"/>
    <x v="5"/>
    <s v="Failed"/>
    <n v="1"/>
    <s v="Zomato Valet"/>
    <n v="151"/>
  </r>
  <r>
    <s v="ZOM-10146"/>
    <d v="2026-10-30T00:00:00"/>
    <s v="16-07-2024"/>
    <d v="1899-12-30T00:00:00"/>
    <s v="Subway"/>
    <s v="Delhi"/>
    <s v="South Indian"/>
    <n v="43"/>
    <n v="2.5"/>
    <s v="26mins"/>
    <n v="990"/>
    <n v="0.5"/>
    <x v="5"/>
    <s v="Delivered"/>
    <n v="2"/>
    <s v="In-House"/>
    <n v="212"/>
  </r>
  <r>
    <s v="ORD_101"/>
    <d v="2026-06-01T00:00:00"/>
    <s v="03-07-2024"/>
    <d v="1899-12-30T00:00:00"/>
    <s v="Subway"/>
    <s v="Ahmedabad"/>
    <s v="Desserts"/>
    <n v="59"/>
    <n v="2.8"/>
    <s v="34mins"/>
    <n v="1884"/>
    <n v="0"/>
    <x v="1"/>
    <s v="Delivered"/>
    <n v="3"/>
    <s v="Unknown"/>
    <n v="21"/>
  </r>
  <r>
    <s v="ZOM-10148"/>
    <d v="2026-10-15T00:00:00"/>
    <s v="31-05-2024"/>
    <d v="1899-12-30T00:00:00"/>
    <s v="Haldiram'S"/>
    <s v="Hyderabad"/>
    <s v="Italian"/>
    <n v="31"/>
    <n v="3.4"/>
    <s v="30mins"/>
    <n v="772"/>
    <n v="0.2"/>
    <x v="7"/>
    <s v="Cancelled"/>
    <n v="3"/>
    <s v="Zomato Valet"/>
    <n v="78"/>
  </r>
  <r>
    <s v="ZOM-10149"/>
    <d v="2026-12-23T00:00:00"/>
    <s v="03-13-2024"/>
    <d v="1899-12-30T14:12:00"/>
    <s v="Paradise Biryani"/>
    <s v="Pune"/>
    <s v="Bakery"/>
    <n v="37"/>
    <n v="1"/>
    <s v="22 mins"/>
    <n v="2468"/>
    <n v="120"/>
    <x v="7"/>
    <s v="Refunded"/>
    <n v="8"/>
    <s v="Grab"/>
    <n v="66"/>
  </r>
  <r>
    <s v="ZOM-10151"/>
    <d v="2026-10-15T00:00:00"/>
    <s v="10-03-2024"/>
    <d v="1899-12-30T00:00:00"/>
    <s v="Bikanervala"/>
    <s v="Ahmedabad"/>
    <s v="Biryani"/>
    <n v="28"/>
    <n v="3.2"/>
    <s v="41 mins"/>
    <n v="2160"/>
    <n v="120"/>
    <x v="2"/>
    <s v="Cancelled"/>
    <n v="10"/>
    <s v="Shadowfax"/>
    <m/>
  </r>
  <r>
    <s v="ZOM-10152"/>
    <d v="2026-08-13T00:00:00"/>
    <s v="09-05-2024"/>
    <d v="1899-12-30T00:00:00"/>
    <s v="Subway"/>
    <s v="Hyderabad"/>
    <s v="Italian"/>
    <n v="23"/>
    <n v="2.5"/>
    <s v="35mins"/>
    <n v="1794"/>
    <n v="0"/>
    <x v="2"/>
    <s v="Cancelled"/>
    <n v="1"/>
    <s v="In-House"/>
    <m/>
  </r>
  <r>
    <s v="ZOM-10153"/>
    <d v="2026-10-08T00:00:00"/>
    <s v="05-06-2024"/>
    <d v="1899-12-30T00:00:00"/>
    <s v="Dominos Pizza"/>
    <s v="Delhi"/>
    <s v="North Indian"/>
    <n v="29"/>
    <n v="3.8"/>
    <s v="41mins"/>
    <n v="449"/>
    <n v="150"/>
    <x v="2"/>
    <s v="Cancelled"/>
    <n v="5"/>
    <s v="Rapido"/>
    <n v="59"/>
  </r>
  <r>
    <s v="ZOM-10154"/>
    <d v="2026-06-21T00:00:00"/>
    <s v="02-01-2024"/>
    <d v="1899-12-30T16:02:00"/>
    <s v="Faasos"/>
    <s v="Mumbai"/>
    <s v="Italian"/>
    <n v="35"/>
    <n v="1.6"/>
    <s v="28 mins"/>
    <n v="1359"/>
    <n v="0.6"/>
    <x v="4"/>
    <s v="Delivered"/>
    <n v="4"/>
    <s v="Rapido"/>
    <n v="33"/>
  </r>
  <r>
    <s v="ZOM-10156"/>
    <d v="2026-03-31T00:00:00"/>
    <s v="27-04-2024"/>
    <d v="1899-12-30T00:00:00"/>
    <s v="Behrouz Biryani"/>
    <s v="Kolkata"/>
    <s v="Fast Food"/>
    <n v="25"/>
    <n v="4.5999999999999996"/>
    <s v="50 mins"/>
    <n v="500"/>
    <n v="50"/>
    <x v="2"/>
    <s v="Cancelled"/>
    <n v="5"/>
    <s v="Unknown"/>
    <n v="98"/>
  </r>
  <r>
    <s v="ZOM-10158"/>
    <d v="2026-10-18T00:00:00"/>
    <s v="23-01-2024"/>
    <d v="1899-12-30T00:00:00"/>
    <s v="Burger King"/>
    <s v="Bangalore"/>
    <s v="Mughlai"/>
    <n v="53"/>
    <n v="1.9"/>
    <s v="34mins"/>
    <n v="745"/>
    <n v="100"/>
    <x v="0"/>
    <s v="Delivered"/>
    <n v="0"/>
    <s v="Dunzo"/>
    <n v="118"/>
  </r>
  <r>
    <s v="ZOM-10159"/>
    <d v="2026-04-11T00:00:00"/>
    <s v="03-07-2024"/>
    <d v="1899-12-30T21:26:00"/>
    <s v="Behr0Uz Biry@Ni"/>
    <s v="Kolkata"/>
    <s v="Desserts"/>
    <n v="41"/>
    <n v="4.5999999999999996"/>
    <s v="52mins"/>
    <n v="814"/>
    <n v="0"/>
    <x v="4"/>
    <s v="Cancelled"/>
    <n v="5"/>
    <s v="Dunzo"/>
    <n v="48"/>
  </r>
  <r>
    <s v="ORD_133"/>
    <d v="2026-12-07T00:00:00"/>
    <s v="03-13-2024"/>
    <d v="1899-12-30T12:43:00"/>
    <s v="Subway"/>
    <s v="Hyderabad"/>
    <s v="Street Food"/>
    <n v="44"/>
    <n v="1.3"/>
    <s v="17mins"/>
    <n v="1261"/>
    <n v="0.5"/>
    <x v="7"/>
    <s v="Unknown"/>
    <n v="4"/>
    <s v="Shadowfax"/>
    <n v="5"/>
  </r>
  <r>
    <s v="ORD_143"/>
    <d v="2026-07-23T00:00:00"/>
    <s v="05-05-2024"/>
    <d v="1899-12-30T00:00:00"/>
    <s v="Paradise Biryani"/>
    <s v="Lucknow"/>
    <s v="Fast Food"/>
    <n v="43"/>
    <n v="4.4000000000000004"/>
    <s v="50mins"/>
    <n v="1940"/>
    <n v="150"/>
    <x v="2"/>
    <s v="Delivered"/>
    <n v="2"/>
    <s v="Dunzo"/>
    <m/>
  </r>
  <r>
    <s v="ZOM-10164"/>
    <d v="2026-08-31T00:00:00"/>
    <m/>
    <d v="1899-12-30T00:00:00"/>
    <s v="Barbeque Nation"/>
    <s v="Mumbai"/>
    <s v="Mughlai"/>
    <n v="34"/>
    <n v="4.2"/>
    <s v="17mins"/>
    <n v="500"/>
    <n v="0"/>
    <x v="2"/>
    <s v="Delivered"/>
    <n v="5"/>
    <s v="In-House"/>
    <n v="23"/>
  </r>
  <r>
    <s v="ZOM-10165"/>
    <d v="2026-05-06T00:00:00"/>
    <s v="05-05-2024"/>
    <d v="1899-12-30T00:00:00"/>
    <s v="Wow! Momo"/>
    <s v="Pune"/>
    <s v="Desserts"/>
    <n v="26"/>
    <n v="2.4"/>
    <s v="18mins"/>
    <n v="1941"/>
    <n v="0.5"/>
    <x v="5"/>
    <s v="Cancelled"/>
    <n v="2"/>
    <s v="Dunzo"/>
    <m/>
  </r>
  <r>
    <s v="ZOM-10167"/>
    <d v="2026-11-08T00:00:00"/>
    <s v="02-23-2024"/>
    <d v="1899-12-30T11:51:00"/>
    <s v="Faasos"/>
    <s v="Chennai"/>
    <s v="Mughlai"/>
    <n v="51"/>
    <n v="3.3"/>
    <s v="67 mins"/>
    <n v="1886"/>
    <n v="120"/>
    <x v="7"/>
    <s v="Delivered"/>
    <n v="3"/>
    <s v="In-House"/>
    <n v="64"/>
  </r>
  <r>
    <s v="ZOM-10168"/>
    <d v="2026-06-01T00:00:00"/>
    <s v="22-02-2024"/>
    <d v="1899-12-30T00:00:00"/>
    <s v="Burger King"/>
    <s v="Mumbai"/>
    <s v="Biryani"/>
    <n v="20"/>
    <n v="2.1"/>
    <s v="15 mins"/>
    <n v="1999"/>
    <n v="150"/>
    <x v="0"/>
    <s v="Delivered"/>
    <n v="7"/>
    <s v="Dunzo"/>
    <n v="51"/>
  </r>
  <r>
    <s v="ZOM-10169"/>
    <d v="2026-02-03T00:00:00"/>
    <s v="26-05-2024"/>
    <d v="1899-12-30T00:00:00"/>
    <s v="Wow! Momo"/>
    <s v="Ahmedabad"/>
    <s v="Desserts"/>
    <n v="33"/>
    <n v="1.9"/>
    <s v="28 mins"/>
    <n v="2428"/>
    <n v="0.6"/>
    <x v="0"/>
    <s v="Refunded"/>
    <n v="5"/>
    <s v="Shadowfax"/>
    <m/>
  </r>
  <r>
    <s v="ZOM-10170"/>
    <d v="2026-01-17T00:00:00"/>
    <s v="07-08-2024"/>
    <d v="1899-12-30T22:36:00"/>
    <s v="Bikanervala"/>
    <s v="Kolkata"/>
    <s v="South Indian"/>
    <n v="18"/>
    <n v="4.7"/>
    <s v="53mins"/>
    <n v="335"/>
    <n v="0.15"/>
    <x v="4"/>
    <s v="Delivered"/>
    <n v="8"/>
    <s v="Grab"/>
    <n v="30"/>
  </r>
  <r>
    <s v="ZOM-10171"/>
    <d v="2026-04-07T00:00:00"/>
    <s v="11-02-2024"/>
    <d v="1899-12-30T00:00:00"/>
    <s v="Kfc"/>
    <s v="Delhi"/>
    <s v="Mughlai"/>
    <n v="38"/>
    <n v="1.4"/>
    <s v="60 mins"/>
    <n v="2428"/>
    <n v="120"/>
    <x v="1"/>
    <s v="Cancelled"/>
    <n v="5"/>
    <s v="Shadowfax"/>
    <n v="50"/>
  </r>
  <r>
    <s v="ZOM-10172"/>
    <d v="2026-10-11T00:00:00"/>
    <s v="06-01-2024"/>
    <d v="1899-12-30T00:00:00"/>
    <s v="Faasos"/>
    <s v="Kolkata"/>
    <s v="Italian"/>
    <n v="54"/>
    <n v="3.9"/>
    <s v="73mins"/>
    <n v="2089"/>
    <n v="0.15"/>
    <x v="4"/>
    <s v="Delivered"/>
    <n v="4"/>
    <s v="Dunzo"/>
    <n v="20"/>
  </r>
  <r>
    <s v="ZOM-10000"/>
    <d v="2026-11-04T00:00:00"/>
    <s v="03-08-2024"/>
    <d v="1899-12-30T08:02:00"/>
    <s v="D0Min0S Pizz@"/>
    <s v="Bangalore"/>
    <s v="Chinese"/>
    <n v="24"/>
    <n v="1.2"/>
    <s v="75mins"/>
    <n v="2282"/>
    <n v="120"/>
    <x v="1"/>
    <s v="Refunded"/>
    <n v="6"/>
    <s v="Shadowfax"/>
    <n v="112"/>
  </r>
  <r>
    <s v="ZOM-10174"/>
    <d v="2026-12-10T00:00:00"/>
    <s v="29-04-2024"/>
    <d v="1899-12-30T00:00:00"/>
    <s v="Behrouz Biryani"/>
    <s v="Bangalore"/>
    <s v="Desserts"/>
    <n v="34"/>
    <n v="2.7"/>
    <s v="62 mins"/>
    <n v="2487"/>
    <n v="0.5"/>
    <x v="0"/>
    <s v="Delivered"/>
    <n v="8"/>
    <s v="Zomato Valet"/>
    <n v="105"/>
  </r>
  <r>
    <s v="ZOM-10175"/>
    <d v="2026-08-01T00:00:00"/>
    <s v="07-02-2024"/>
    <d v="1899-12-30T00:00:00"/>
    <s v="Dominos Pizza"/>
    <s v="Kolkata"/>
    <s v="North Indian"/>
    <n v="49"/>
    <n v="4.5"/>
    <s v="15 mins"/>
    <n v="1742"/>
    <n v="0.6"/>
    <x v="0"/>
    <s v="Delivered"/>
    <n v="1"/>
    <s v="Dunzo"/>
    <n v="234"/>
  </r>
  <r>
    <s v="ZOM-10176"/>
    <d v="2026-02-25T00:00:00"/>
    <s v="25-05-2024"/>
    <d v="1899-12-30T00:00:00"/>
    <s v="Bikanervala"/>
    <s v="Jaipur"/>
    <s v="Fast Food"/>
    <n v="18"/>
    <n v="2.6"/>
    <s v="34mins"/>
    <n v="407"/>
    <n v="75"/>
    <x v="1"/>
    <s v="Refunded"/>
    <n v="8"/>
    <s v="Dunzo"/>
    <n v="170"/>
  </r>
  <r>
    <s v="ZOM-10178"/>
    <d v="2026-01-09T00:00:00"/>
    <s v="10-04-2024"/>
    <d v="1899-12-30T00:00:00"/>
    <s v="Behrouz Biryani"/>
    <s v="Lucknow"/>
    <s v="Fast Food, Bakery"/>
    <n v="61"/>
    <n v="3.1"/>
    <s v="15 mins"/>
    <n v="398"/>
    <n v="150"/>
    <x v="2"/>
    <s v="Delivered"/>
    <n v="7"/>
    <s v="Dunzo"/>
    <n v="17"/>
  </r>
  <r>
    <s v="ZOM-10179"/>
    <d v="2026-02-14T00:00:00"/>
    <s v="07-01-2024"/>
    <d v="1899-12-30T00:00:00"/>
    <s v="Barbeque Nation"/>
    <s v="Hyderabad"/>
    <s v="Unknown"/>
    <n v="27"/>
    <n v="2.8"/>
    <s v="17mins"/>
    <n v="2166"/>
    <n v="0.6"/>
    <x v="2"/>
    <s v="Delivered"/>
    <n v="10"/>
    <s v="In-House"/>
    <n v="81"/>
  </r>
  <r>
    <s v="ZOM-10180"/>
    <d v="2026-04-04T00:00:00"/>
    <s v="22-06-2024"/>
    <d v="1899-12-30T00:00:00"/>
    <s v="Bikanervala"/>
    <s v="Pune"/>
    <s v="Desserts"/>
    <n v="48"/>
    <n v="1.9"/>
    <s v="73 mins"/>
    <n v="1750"/>
    <n v="150"/>
    <x v="1"/>
    <s v="Delivered"/>
    <n v="6"/>
    <s v="Grab"/>
    <n v="125"/>
  </r>
  <r>
    <s v="ZOM-10181"/>
    <d v="2026-12-25T00:00:00"/>
    <s v="03-02-2024"/>
    <d v="1899-12-30T00:00:00"/>
    <s v="Chai Point"/>
    <s v="Hyderabad"/>
    <s v="North Indian"/>
    <n v="50"/>
    <n v="2.5"/>
    <s v="42 mins"/>
    <n v="391"/>
    <n v="100"/>
    <x v="5"/>
    <s v="Delivered"/>
    <n v="9"/>
    <s v="Rapido"/>
    <n v="226"/>
  </r>
  <r>
    <s v="ZOM-10182"/>
    <d v="2026-05-13T00:00:00"/>
    <s v="01-29-2024"/>
    <d v="1899-12-30T03:36:00"/>
    <s v="Chai Point"/>
    <s v="Mumbai"/>
    <s v="Desserts"/>
    <n v="64"/>
    <n v="1.6"/>
    <s v="32mins"/>
    <n v="413"/>
    <n v="0"/>
    <x v="4"/>
    <s v="Cancelled"/>
    <n v="6"/>
    <s v="In-House"/>
    <n v="169"/>
  </r>
  <r>
    <s v="ZOM-10184"/>
    <d v="2026-04-21T00:00:00"/>
    <s v="05-19-2024"/>
    <d v="1899-12-30T21:18:00"/>
    <s v="Faasos"/>
    <s v="Hyderabad"/>
    <s v="Italian"/>
    <n v="36"/>
    <n v="3"/>
    <s v="58mins"/>
    <n v="1922"/>
    <n v="0"/>
    <x v="7"/>
    <s v="Delivered"/>
    <n v="6"/>
    <s v="Dunzo"/>
    <n v="64"/>
  </r>
  <r>
    <s v="ZOM-10185"/>
    <d v="2026-01-01T00:00:00"/>
    <s v="07-07-2024"/>
    <d v="1899-12-30T00:00:00"/>
    <s v="Dominos Pizza"/>
    <s v="Jaipur"/>
    <s v="Bakery"/>
    <n v="38"/>
    <n v="1.8"/>
    <s v="73mins"/>
    <n v="353"/>
    <n v="0"/>
    <x v="0"/>
    <s v="Delivered"/>
    <n v="9"/>
    <s v="Rapido"/>
    <n v="113"/>
  </r>
  <r>
    <s v="ZOM-10186"/>
    <d v="2026-07-06T00:00:00"/>
    <s v="05-05-2024"/>
    <d v="1899-12-30T00:00:00"/>
    <s v="Barbeque Nation"/>
    <s v="Jaipur"/>
    <s v="Unknown"/>
    <n v="53"/>
    <n v="4.8"/>
    <s v="67mins"/>
    <n v="383"/>
    <n v="0.6"/>
    <x v="4"/>
    <s v="Refunded"/>
    <n v="10"/>
    <s v="Unknown"/>
    <n v="215"/>
  </r>
  <r>
    <s v="ZOM-10187"/>
    <d v="2026-07-04T00:00:00"/>
    <s v="05-05-2024"/>
    <d v="1899-12-30T00:00:00"/>
    <s v="Kfc"/>
    <s v="Kolkata"/>
    <s v="Mughlai"/>
    <n v="58"/>
    <n v="2.8"/>
    <s v="56mins"/>
    <n v="333"/>
    <n v="100"/>
    <x v="3"/>
    <s v="Delivered"/>
    <n v="1"/>
    <s v="Rapido"/>
    <n v="22"/>
  </r>
  <r>
    <s v="ZOM-10190"/>
    <d v="2026-12-16T00:00:00"/>
    <s v="06-02-2024"/>
    <d v="1899-12-30T00:00:00"/>
    <s v="Barbeque Nation"/>
    <s v="Ahmedabad"/>
    <s v="Bakery"/>
    <n v="48"/>
    <n v="2"/>
    <s v="59mins"/>
    <n v="2125"/>
    <n v="75"/>
    <x v="0"/>
    <s v="Delivered"/>
    <n v="9"/>
    <s v="Dunzo"/>
    <n v="87"/>
  </r>
  <r>
    <s v="ZOM-10191"/>
    <d v="2026-06-05T00:00:00"/>
    <s v="11-06-2024"/>
    <d v="1899-12-30T00:00:00"/>
    <s v="Behrouz Biryani"/>
    <s v="Ahmedabad"/>
    <s v="Fast Food, Mughlai"/>
    <n v="18"/>
    <n v="2.5"/>
    <s v="50 mins"/>
    <n v="2251"/>
    <n v="120"/>
    <x v="0"/>
    <s v="Delivered"/>
    <n v="2"/>
    <s v="Dunzo"/>
    <n v="118"/>
  </r>
  <r>
    <s v="ZOM-10192"/>
    <d v="2026-04-16T00:00:00"/>
    <s v="03-01-2024"/>
    <d v="1899-12-30T00:00:00"/>
    <s v="Dominos Pizza"/>
    <s v="Kolkata"/>
    <s v="Bakery"/>
    <n v="41"/>
    <n v="2.5"/>
    <s v="41mins"/>
    <n v="137"/>
    <n v="0"/>
    <x v="5"/>
    <s v="Delivered"/>
    <n v="10"/>
    <s v="Shadowfax"/>
    <n v="228"/>
  </r>
  <r>
    <s v="ZOM-10193"/>
    <d v="2026-09-28T00:00:00"/>
    <s v="11-03-2024"/>
    <d v="1899-12-30T00:00:00"/>
    <s v="Bikanervala"/>
    <s v="Jaipur"/>
    <s v="Italian"/>
    <n v="45"/>
    <n v="2.6"/>
    <s v="48 mins"/>
    <n v="1230"/>
    <n v="150"/>
    <x v="4"/>
    <s v="Unknown"/>
    <n v="2"/>
    <s v="Rapido"/>
    <n v="6"/>
  </r>
  <r>
    <s v="ZOM-10194"/>
    <d v="2026-05-20T00:00:00"/>
    <s v="20-02-2024"/>
    <d v="1899-12-30T00:00:00"/>
    <s v="Haldiram'S"/>
    <s v="Delhi"/>
    <s v="Biryani"/>
    <n v="39"/>
    <n v="1.9"/>
    <s v="53 mins"/>
    <n v="1595"/>
    <n v="120"/>
    <x v="0"/>
    <s v="Refunded"/>
    <n v="1"/>
    <s v="Grab"/>
    <n v="63"/>
  </r>
  <r>
    <s v="ZOM-10195"/>
    <d v="2026-02-11T00:00:00"/>
    <s v="07-04-2024"/>
    <d v="1899-12-30T00:00:00"/>
    <s v="Subw@Y"/>
    <s v="Pune"/>
    <s v="South Indian"/>
    <n v="39"/>
    <n v="1.4"/>
    <s v="15 mins"/>
    <n v="1818"/>
    <n v="120"/>
    <x v="4"/>
    <s v="Delivered"/>
    <n v="1"/>
    <s v="Shadowfax"/>
    <n v="237"/>
  </r>
  <r>
    <s v="ZOM-10196"/>
    <d v="2026-12-20T00:00:00"/>
    <s v="17-07-2024"/>
    <d v="1899-12-30T00:00:00"/>
    <s v="Burger King"/>
    <s v="Bangalore"/>
    <s v="North Indian"/>
    <n v="22"/>
    <n v="3.7"/>
    <s v="74mins"/>
    <n v="1547"/>
    <n v="75"/>
    <x v="7"/>
    <s v="Delivered"/>
    <n v="4"/>
    <s v="Grab"/>
    <n v="162"/>
  </r>
  <r>
    <s v="ZOM-10197"/>
    <d v="2026-05-30T00:00:00"/>
    <s v="22-02-2024"/>
    <d v="1899-12-30T00:00:00"/>
    <s v="Bikanervala"/>
    <s v="Mumbai"/>
    <s v="Desserts, Chinese"/>
    <n v="32"/>
    <n v="3.9"/>
    <s v="46mins"/>
    <n v="500"/>
    <n v="0"/>
    <x v="0"/>
    <s v="Delivered"/>
    <n v="6"/>
    <s v="Dunzo"/>
    <n v="242"/>
  </r>
  <r>
    <s v="ZOM-10198"/>
    <d v="2026-06-06T00:00:00"/>
    <s v="17-01-2024"/>
    <d v="1899-12-30T00:00:00"/>
    <s v="Barbeque Nation"/>
    <s v="Lucknow"/>
    <s v="Bakery"/>
    <n v="33"/>
    <n v="2.5"/>
    <s v="31mins"/>
    <n v="2147"/>
    <n v="50"/>
    <x v="1"/>
    <s v="Delivered"/>
    <n v="9"/>
    <s v="Dunzo"/>
    <n v="26"/>
  </r>
  <r>
    <s v="ZOM-10200"/>
    <d v="2026-01-06T00:00:00"/>
    <s v="11-03-2024"/>
    <d v="1899-12-30T00:00:00"/>
    <s v="Haldiram'S"/>
    <s v="Kolkata"/>
    <s v="Biryani"/>
    <n v="63"/>
    <n v="4.5999999999999996"/>
    <s v="15 mins"/>
    <n v="833"/>
    <n v="100"/>
    <x v="8"/>
    <s v="Delivered"/>
    <n v="4"/>
    <s v="Shadowfax"/>
    <n v="3"/>
  </r>
  <r>
    <s v="ZOM-10201"/>
    <d v="2026-01-07T00:00:00"/>
    <s v="04-28-2024"/>
    <d v="1899-12-30T11:37:00"/>
    <s v="Kfc"/>
    <s v="Ahmedabad"/>
    <s v="Bakery"/>
    <n v="60"/>
    <n v="2.4"/>
    <s v="66mins"/>
    <n v="1936"/>
    <n v="0.6"/>
    <x v="0"/>
    <s v="Cancelled"/>
    <n v="10"/>
    <s v="Rapido"/>
    <n v="46"/>
  </r>
  <r>
    <s v="ZOM-10202"/>
    <d v="2026-02-25T00:00:00"/>
    <s v="01-05-2024"/>
    <d v="1899-12-30T00:00:00"/>
    <s v="Paradise Biryani"/>
    <s v="Unknown"/>
    <s v="Bakery"/>
    <n v="36"/>
    <n v="2.2000000000000002"/>
    <s v="73mins"/>
    <n v="257"/>
    <n v="0.5"/>
    <x v="2"/>
    <s v="Delivered"/>
    <n v="4"/>
    <s v="Shadowfax"/>
    <n v="190"/>
  </r>
  <r>
    <s v="ZOM-10203"/>
    <d v="2026-06-15T00:00:00"/>
    <s v="20-03-2024"/>
    <d v="1899-12-30T00:00:00"/>
    <s v="Behrouz Biryani"/>
    <s v="Bangalore"/>
    <s v="Chinese"/>
    <n v="54"/>
    <n v="2.5"/>
    <s v="56 mins"/>
    <n v="2217"/>
    <n v="150"/>
    <x v="5"/>
    <s v="Delivered"/>
    <n v="8"/>
    <s v="Grab"/>
    <n v="108"/>
  </r>
  <r>
    <s v="ZOM-10206"/>
    <d v="2026-02-23T00:00:00"/>
    <s v="03-27-2024"/>
    <d v="1899-12-30T06:33:00"/>
    <s v="Haldiram'S"/>
    <s v="Bangalore"/>
    <s v="Street Food"/>
    <n v="31"/>
    <n v="2.6"/>
    <s v="44mins"/>
    <n v="629"/>
    <n v="0.5"/>
    <x v="1"/>
    <s v="Delivered"/>
    <n v="1"/>
    <s v="Zomato Valet"/>
    <n v="173"/>
  </r>
  <r>
    <s v="ZOM-10207"/>
    <d v="2026-11-30T00:00:00"/>
    <s v="25-05-2024"/>
    <d v="1899-12-30T00:00:00"/>
    <s v="Haldiram'S"/>
    <s v="Bangalore"/>
    <s v="Desserts"/>
    <n v="18"/>
    <n v="2.8"/>
    <s v="44mins"/>
    <n v="1318"/>
    <n v="0"/>
    <x v="0"/>
    <s v="Delivered"/>
    <n v="6"/>
    <s v="Grab"/>
    <m/>
  </r>
  <r>
    <s v="ZOM-10208"/>
    <d v="2026-04-26T00:00:00"/>
    <s v="23-04-2024"/>
    <d v="1899-12-30T00:00:00"/>
    <s v="Kfc"/>
    <s v="Kolkata"/>
    <s v="Desserts"/>
    <n v="33"/>
    <n v="3.8"/>
    <s v="70 mins"/>
    <n v="1028"/>
    <n v="0"/>
    <x v="0"/>
    <s v="Cancelled"/>
    <n v="9"/>
    <s v="Shadowfax"/>
    <n v="159"/>
  </r>
  <r>
    <s v="ZOM-10209"/>
    <d v="2026-07-03T00:00:00"/>
    <s v="15-02-2024"/>
    <d v="1899-12-30T00:00:00"/>
    <s v="Burger King"/>
    <s v="Ahmedabad"/>
    <s v="Fast Food"/>
    <n v="27"/>
    <n v="4.2"/>
    <s v="15 mins"/>
    <n v="1028"/>
    <n v="75"/>
    <x v="7"/>
    <s v="Delivered"/>
    <n v="10"/>
    <s v="Grab"/>
    <n v="75"/>
  </r>
  <r>
    <s v="ORD_132"/>
    <d v="2026-07-12T00:00:00"/>
    <s v="05-07-2024"/>
    <d v="1899-12-30T00:00:00"/>
    <s v="Subway"/>
    <s v="Lucknow"/>
    <s v="South Indian"/>
    <n v="34"/>
    <n v="4"/>
    <s v="77mins"/>
    <n v="1631"/>
    <n v="0"/>
    <x v="2"/>
    <s v="Delivered"/>
    <n v="1"/>
    <s v="In-House"/>
    <n v="120"/>
  </r>
  <r>
    <s v="ZOM-10212"/>
    <d v="2026-08-06T00:00:00"/>
    <s v="06-16-2024"/>
    <d v="1899-12-30T09:50:00"/>
    <s v="Barbeque Nation"/>
    <s v="Jaipur"/>
    <s v="Fast Food"/>
    <n v="44"/>
    <n v="4.7"/>
    <s v="55 mins"/>
    <n v="515"/>
    <n v="0.2"/>
    <x v="0"/>
    <s v="Unknown"/>
    <n v="1"/>
    <s v="In-House"/>
    <n v="48"/>
  </r>
  <r>
    <s v="ZOM-10000"/>
    <d v="2026-09-04T00:00:00"/>
    <s v="03-06-2024"/>
    <d v="1899-12-30T00:00:00"/>
    <s v="Burger King"/>
    <s v="Chennai"/>
    <s v="Chinese"/>
    <n v="40"/>
    <n v="4.2"/>
    <s v="15 mins"/>
    <n v="2192"/>
    <n v="50"/>
    <x v="0"/>
    <s v="Cancelled"/>
    <n v="8"/>
    <s v="Rapido"/>
    <n v="245"/>
  </r>
  <r>
    <s v="ORD_123"/>
    <d v="2026-03-20T00:00:00"/>
    <s v="01-12-2024"/>
    <d v="1899-12-30T11:06:00"/>
    <s v="Dominos Pizza"/>
    <s v="Pune"/>
    <s v="South Indian"/>
    <n v="51"/>
    <n v="4.0999999999999996"/>
    <s v="19mins"/>
    <n v="424"/>
    <n v="0.6"/>
    <x v="2"/>
    <s v="Delivered"/>
    <n v="2"/>
    <s v="Zomato Valet"/>
    <n v="27"/>
  </r>
  <r>
    <s v="ZOM-10215"/>
    <d v="2026-11-23T00:00:00"/>
    <s v="02-26-2024"/>
    <d v="1899-12-30T08:47:00"/>
    <s v="Faasos"/>
    <s v="Mumbai"/>
    <s v="Bakery"/>
    <n v="63"/>
    <n v="3.9"/>
    <s v="70mins"/>
    <n v="2044"/>
    <n v="0.1"/>
    <x v="0"/>
    <s v="Delivered"/>
    <n v="7"/>
    <s v="Rapido"/>
    <n v="115"/>
  </r>
  <r>
    <s v="ZOM-10216"/>
    <d v="2026-08-15T00:00:00"/>
    <s v="07-16-2024"/>
    <d v="1899-12-30T12:27:00"/>
    <s v="Barbeque Nation"/>
    <s v="Jaipur"/>
    <s v="Biryani"/>
    <n v="27"/>
    <n v="4.4000000000000004"/>
    <s v="19mins"/>
    <n v="1545"/>
    <n v="0"/>
    <x v="5"/>
    <s v="Cancelled"/>
    <n v="6"/>
    <s v="Shadowfax"/>
    <n v="162"/>
  </r>
  <r>
    <s v="ZOM-10217"/>
    <d v="2026-01-20T00:00:00"/>
    <s v="17-07-2024"/>
    <d v="1899-12-30T00:00:00"/>
    <s v="Behrouz Biryani"/>
    <s v="Delhi"/>
    <s v="Desserts"/>
    <n v="62"/>
    <n v="3.8"/>
    <s v="27mins"/>
    <n v="432"/>
    <n v="0"/>
    <x v="1"/>
    <s v="Delivered"/>
    <n v="4"/>
    <s v="In-House"/>
    <n v="40"/>
  </r>
  <r>
    <s v="ZOM-10218"/>
    <d v="2026-12-07T00:00:00"/>
    <s v="07-02-2024"/>
    <d v="1899-12-30T00:00:00"/>
    <s v="Subway"/>
    <s v="Ahmedabad"/>
    <s v="Street Food"/>
    <n v="43"/>
    <n v="1.5"/>
    <s v="53mins"/>
    <n v="1757"/>
    <n v="100"/>
    <x v="1"/>
    <s v="Delivered"/>
    <n v="8"/>
    <s v="Unknown"/>
    <n v="42"/>
  </r>
  <r>
    <s v="ZOM-10219"/>
    <d v="2026-03-02T00:00:00"/>
    <s v="27-02-2024"/>
    <d v="1899-12-30T00:00:00"/>
    <s v="Chai Point"/>
    <s v="Pune"/>
    <s v="Bakery"/>
    <n v="52"/>
    <n v="4.3"/>
    <s v="15 mins"/>
    <n v="1443"/>
    <n v="100"/>
    <x v="0"/>
    <s v="Delivered"/>
    <n v="2"/>
    <s v="Shadowfax"/>
    <n v="78"/>
  </r>
  <r>
    <s v="ORD_136"/>
    <d v="2026-07-05T00:00:00"/>
    <s v="22-02-2024"/>
    <d v="1899-12-30T00:00:00"/>
    <s v="Wow! Momo"/>
    <s v="Kolkata"/>
    <s v="North Indian, Street Food"/>
    <n v="36"/>
    <n v="2.8"/>
    <s v="55mins"/>
    <n v="1364"/>
    <n v="0.6"/>
    <x v="7"/>
    <s v="Cancelled"/>
    <n v="4"/>
    <s v="Shadowfax"/>
    <n v="38"/>
  </r>
  <r>
    <s v="ZOM-10223"/>
    <d v="2026-03-31T00:00:00"/>
    <s v="29-04-2024"/>
    <d v="1899-12-30T00:00:00"/>
    <s v="Subway"/>
    <s v="Mumbai"/>
    <s v="South Indian, Chinese"/>
    <n v="28"/>
    <n v="1.3"/>
    <s v="78mins"/>
    <n v="500"/>
    <n v="150"/>
    <x v="7"/>
    <s v="Delivered"/>
    <n v="1"/>
    <s v="In-House"/>
    <n v="34"/>
  </r>
  <r>
    <s v="ZOM-10224"/>
    <d v="2026-12-28T00:00:00"/>
    <s v="05-15-2024"/>
    <d v="1899-12-30T23:20:00"/>
    <s v="Chai Point"/>
    <s v="Hyderabad"/>
    <s v="Desserts"/>
    <n v="25"/>
    <n v="3.7"/>
    <s v="30mins"/>
    <n v="810"/>
    <n v="0.1"/>
    <x v="1"/>
    <s v="Failed"/>
    <n v="8"/>
    <s v="Zomato Valet"/>
    <n v="28"/>
  </r>
  <r>
    <s v="ZOM-10000"/>
    <d v="2026-05-25T00:00:00"/>
    <s v="03-07-2024"/>
    <d v="1899-12-30T00:00:00"/>
    <s v="Bikanervala"/>
    <s v="Bangalore"/>
    <s v="Biryani"/>
    <n v="29"/>
    <n v="2.1"/>
    <s v="71mins"/>
    <n v="505"/>
    <n v="75"/>
    <x v="1"/>
    <s v="Delivered"/>
    <n v="0"/>
    <s v="In-House"/>
    <n v="140"/>
  </r>
  <r>
    <s v="ZOM-10226"/>
    <d v="2026-08-05T00:00:00"/>
    <s v="23-06-2024"/>
    <d v="1899-12-30T00:00:00"/>
    <s v="Subway"/>
    <s v="Mumbai"/>
    <s v="Desserts"/>
    <n v="39"/>
    <n v="3.4"/>
    <s v="15 mins"/>
    <n v="1263"/>
    <n v="0"/>
    <x v="2"/>
    <s v="Cancelled"/>
    <n v="4"/>
    <s v="In-House"/>
    <n v="153"/>
  </r>
  <r>
    <s v="ZOM-10227"/>
    <d v="2026-03-08T00:00:00"/>
    <s v="16-02-2024"/>
    <d v="1899-12-30T00:00:00"/>
    <s v="Chai Point"/>
    <s v="Kolkata"/>
    <s v="Bakery"/>
    <n v="62"/>
    <n v="1.9"/>
    <s v="76mins"/>
    <n v="266"/>
    <n v="0"/>
    <x v="0"/>
    <s v="Delivered"/>
    <n v="1"/>
    <s v="Zomato Valet"/>
    <n v="14"/>
  </r>
  <r>
    <s v="ZOM-10228"/>
    <d v="2026-07-11T00:00:00"/>
    <s v="05-03-2024"/>
    <d v="1899-12-30T00:00:00"/>
    <s v="Burger King"/>
    <s v="Bangalore"/>
    <s v="Bakery"/>
    <n v="42"/>
    <n v="1.4"/>
    <s v="30mins"/>
    <n v="218"/>
    <n v="50"/>
    <x v="4"/>
    <s v="Delivered"/>
    <n v="4"/>
    <s v="Rapido"/>
    <n v="17"/>
  </r>
  <r>
    <s v="ZOM-10229"/>
    <d v="2026-07-23T00:00:00"/>
    <s v="23-05-2024"/>
    <d v="1899-12-30T00:00:00"/>
    <s v="Paradise Biryani"/>
    <s v="Jaipur"/>
    <s v="Bakery"/>
    <n v="21"/>
    <n v="3.8"/>
    <s v="65mins"/>
    <n v="1298"/>
    <n v="0"/>
    <x v="4"/>
    <s v="Delivered"/>
    <n v="3"/>
    <s v="Rapido"/>
    <n v="210"/>
  </r>
  <r>
    <s v="ZOM-10230"/>
    <d v="2026-03-16T00:00:00"/>
    <s v="14-05-2024"/>
    <d v="1899-12-30T00:00:00"/>
    <s v="Dominos Pizza"/>
    <s v="Jaipur"/>
    <s v="Fast Food"/>
    <n v="21"/>
    <n v="2"/>
    <s v="29mins"/>
    <n v="123"/>
    <n v="75"/>
    <x v="5"/>
    <s v="Cancelled"/>
    <n v="1"/>
    <s v="In-House"/>
    <n v="8"/>
  </r>
  <r>
    <s v="ZOM-10231"/>
    <d v="2026-05-16T00:00:00"/>
    <s v="17-05-2024"/>
    <d v="1899-12-30T00:00:00"/>
    <s v="Chai Point"/>
    <s v="Lucknow"/>
    <s v="Biryani"/>
    <n v="46"/>
    <n v="3.9"/>
    <s v="76mins"/>
    <n v="343"/>
    <n v="0.15"/>
    <x v="4"/>
    <s v="Unknown"/>
    <n v="3"/>
    <s v="Grab"/>
    <n v="33"/>
  </r>
  <r>
    <s v="ZOM-10232"/>
    <d v="2026-06-07T00:00:00"/>
    <s v="04-13-2024"/>
    <d v="1899-12-30T03:25:00"/>
    <s v="Barbeque Nation"/>
    <s v="Delhi"/>
    <s v="North Indian"/>
    <n v="56"/>
    <n v="2.5"/>
    <s v="28mins"/>
    <n v="1411"/>
    <n v="0"/>
    <x v="4"/>
    <s v="Cancelled"/>
    <n v="9"/>
    <s v="In-House"/>
    <m/>
  </r>
  <r>
    <s v="ZOM-10234"/>
    <d v="2026-07-29T00:00:00"/>
    <s v="07-01-2024"/>
    <d v="1899-12-30T02:36:00"/>
    <s v="Barbeque Nation"/>
    <s v="Ahmedabad"/>
    <s v="Biryani"/>
    <n v="40"/>
    <n v="2.7"/>
    <s v="67mins"/>
    <n v="1552"/>
    <n v="0.15"/>
    <x v="2"/>
    <s v="Delivered"/>
    <n v="7"/>
    <s v="Rapido"/>
    <n v="167"/>
  </r>
  <r>
    <s v="ORD_101"/>
    <d v="2026-02-06T00:00:00"/>
    <s v="02-04-2024"/>
    <d v="1899-12-30T00:00:00"/>
    <s v="Barbeque Nation"/>
    <s v="Bangalore"/>
    <s v="Italian"/>
    <n v="62"/>
    <n v="2.5"/>
    <s v="15 mins"/>
    <n v="2416"/>
    <n v="150"/>
    <x v="7"/>
    <s v="Delivered"/>
    <n v="1"/>
    <s v="Rapido"/>
    <n v="173"/>
  </r>
  <r>
    <s v="ZOM-10236"/>
    <d v="2026-03-05T00:00:00"/>
    <s v="17-03-2024"/>
    <d v="1899-12-30T00:00:00"/>
    <s v="Kfc"/>
    <s v="Bombay"/>
    <s v="Fast Food, Italian"/>
    <n v="47"/>
    <n v="4.3"/>
    <s v="79mins"/>
    <n v="848"/>
    <n v="75"/>
    <x v="0"/>
    <s v="Cancelled"/>
    <n v="9"/>
    <s v="Rapido"/>
    <n v="75"/>
  </r>
  <r>
    <s v="ZOM-10237"/>
    <d v="2026-02-07T00:00:00"/>
    <s v="12-02-2024"/>
    <d v="1899-12-30T00:00:00"/>
    <s v="Faasos"/>
    <s v="Unknown"/>
    <s v="Biryani"/>
    <n v="18"/>
    <n v="1.8"/>
    <s v="74 mins"/>
    <n v="197"/>
    <n v="120"/>
    <x v="0"/>
    <s v="Refunded"/>
    <n v="5"/>
    <s v="Grab"/>
    <n v="49"/>
  </r>
  <r>
    <s v="ZOM-10238"/>
    <d v="2026-11-20T00:00:00"/>
    <s v="25-03-2024"/>
    <d v="1899-12-30T00:00:00"/>
    <s v="Wow! Momo"/>
    <s v="Pune"/>
    <s v="Fast Food"/>
    <n v="63"/>
    <n v="1.9"/>
    <s v="33mins"/>
    <n v="1950"/>
    <n v="120"/>
    <x v="1"/>
    <s v="Delivered"/>
    <n v="7"/>
    <s v="Zomato Valet"/>
    <n v="48"/>
  </r>
  <r>
    <s v="ZOM-10239"/>
    <d v="2026-12-27T00:00:00"/>
    <s v="02-09-2024"/>
    <d v="1899-12-30T19:21:00"/>
    <s v="Paradise Biryani"/>
    <s v="Kolkata"/>
    <s v="South Indian"/>
    <n v="22"/>
    <n v="2.5"/>
    <s v="26 mins"/>
    <n v="1811"/>
    <n v="75"/>
    <x v="2"/>
    <s v="Delivered"/>
    <n v="7"/>
    <s v="Rapido"/>
    <n v="41"/>
  </r>
  <r>
    <s v="ZOM-10240"/>
    <d v="2026-11-19T00:00:00"/>
    <s v="23-06-2024"/>
    <d v="1899-12-30T00:00:00"/>
    <s v="Burger King"/>
    <s v="Delhi"/>
    <s v="North Indian"/>
    <n v="22"/>
    <n v="4.5"/>
    <s v="59mins"/>
    <n v="1229"/>
    <n v="100"/>
    <x v="0"/>
    <s v="Delivered"/>
    <n v="6"/>
    <s v="Dunzo"/>
    <n v="152"/>
  </r>
  <r>
    <s v="ORD_109"/>
    <d v="2026-06-13T00:00:00"/>
    <s v="04-30-2024"/>
    <d v="1899-12-30T04:58:00"/>
    <s v="Kfc"/>
    <s v="Chennai"/>
    <s v="Chinese"/>
    <n v="58"/>
    <n v="1.6"/>
    <s v="25mins"/>
    <n v="830"/>
    <n v="120"/>
    <x v="4"/>
    <s v="Delivered"/>
    <n v="5"/>
    <s v="Shadowfax"/>
    <n v="79"/>
  </r>
  <r>
    <s v="ZOM-10242"/>
    <d v="2026-09-21T00:00:00"/>
    <s v="21-04-2024"/>
    <d v="1899-12-30T00:00:00"/>
    <s v="Chai Point"/>
    <s v="Lucknow"/>
    <s v="Fast Food"/>
    <n v="65"/>
    <n v="1.1000000000000001"/>
    <s v="33mins"/>
    <n v="1309"/>
    <n v="150"/>
    <x v="2"/>
    <s v="Cancelled"/>
    <n v="1"/>
    <s v="Shadowfax"/>
    <n v="150"/>
  </r>
  <r>
    <s v="ZOM-10243"/>
    <d v="2026-11-05T00:00:00"/>
    <s v="23-02-2024"/>
    <d v="1899-12-30T00:00:00"/>
    <s v="Chai Point"/>
    <s v="Kolkata"/>
    <s v="Mughlai"/>
    <n v="39"/>
    <n v="1.7"/>
    <s v="37mins"/>
    <n v="1436"/>
    <n v="75"/>
    <x v="1"/>
    <s v="Delivered"/>
    <n v="2"/>
    <s v="Zomato Valet"/>
    <n v="228"/>
  </r>
  <r>
    <s v="ZOM-10244"/>
    <d v="2026-02-19T00:00:00"/>
    <s v="05-19-2024"/>
    <d v="1899-12-30T03:24:00"/>
    <s v="Wow! Momo"/>
    <s v="Pune"/>
    <s v="South Indian"/>
    <n v="47"/>
    <n v="4.3"/>
    <s v="65mins"/>
    <n v="138"/>
    <n v="0.2"/>
    <x v="5"/>
    <s v="Failed"/>
    <n v="0"/>
    <s v="Zomato Valet"/>
    <n v="190"/>
  </r>
  <r>
    <s v="ZOM-10245"/>
    <d v="2026-03-09T00:00:00"/>
    <s v="26-05-2024"/>
    <d v="1899-12-30T00:00:00"/>
    <s v="Subway"/>
    <s v="Lucknow"/>
    <s v="Fast Food"/>
    <n v="63"/>
    <n v="3"/>
    <s v="65mins"/>
    <n v="2126"/>
    <n v="0.6"/>
    <x v="4"/>
    <s v="Unknown"/>
    <n v="3"/>
    <s v="Zomato Valet"/>
    <n v="241"/>
  </r>
  <r>
    <s v="ZOM-10000"/>
    <d v="2026-01-15T00:00:00"/>
    <s v="06-07-2024"/>
    <d v="1899-12-30T00:00:00"/>
    <s v="Faasos"/>
    <s v="Kolkata"/>
    <s v="Italian"/>
    <n v="58"/>
    <n v="2.5"/>
    <s v="28mins"/>
    <n v="384"/>
    <n v="0.15"/>
    <x v="5"/>
    <s v="Refunded"/>
    <n v="1"/>
    <s v="Grab"/>
    <n v="55"/>
  </r>
  <r>
    <s v="ZOM-10247"/>
    <d v="2026-06-05T00:00:00"/>
    <s v="25-04-2024"/>
    <d v="1899-12-30T00:00:00"/>
    <s v="Bikanervala"/>
    <s v="Mumbai"/>
    <s v="Bakery, Street Food"/>
    <n v="25"/>
    <n v="1.1000000000000001"/>
    <s v="15 mins"/>
    <n v="1338"/>
    <n v="0"/>
    <x v="6"/>
    <s v="Cancelled"/>
    <n v="5"/>
    <s v="Dunzo"/>
    <n v="35"/>
  </r>
  <r>
    <s v="ZOM-10248"/>
    <d v="2026-03-09T00:00:00"/>
    <s v="06-05-2024"/>
    <d v="1899-12-30T00:00:00"/>
    <s v="Subway"/>
    <s v="Kolkata"/>
    <s v="Bakery"/>
    <n v="46"/>
    <n v="4"/>
    <s v="28mins"/>
    <n v="1565"/>
    <n v="75"/>
    <x v="1"/>
    <s v="Delivered"/>
    <n v="9"/>
    <s v="Dunzo"/>
    <n v="187"/>
  </r>
  <r>
    <s v="ZOM-10249"/>
    <d v="2026-09-07T00:00:00"/>
    <s v="25-02-2024"/>
    <d v="1899-12-30T00:00:00"/>
    <s v="B@Rbeque N@Ti0N"/>
    <s v="Chennai"/>
    <s v="Chinese"/>
    <n v="24"/>
    <n v="3.9"/>
    <s v="24mins"/>
    <n v="1486"/>
    <n v="100"/>
    <x v="5"/>
    <s v="Delivered"/>
    <n v="2"/>
    <s v="Grab"/>
    <n v="46"/>
  </r>
  <r>
    <s v="ZOM-10250"/>
    <d v="2026-03-15T00:00:00"/>
    <s v="27-05-2024"/>
    <d v="1899-12-30T00:00:00"/>
    <s v="Burger King"/>
    <s v="Jaipur"/>
    <s v="North Indian, Italian"/>
    <n v="35"/>
    <n v="2.4"/>
    <s v="64 mins"/>
    <n v="865"/>
    <n v="0.5"/>
    <x v="2"/>
    <s v="Refunded"/>
    <n v="1"/>
    <s v="Shadowfax"/>
    <n v="147"/>
  </r>
  <r>
    <s v="ZOM-10251"/>
    <d v="2026-10-01T00:00:00"/>
    <s v="04-04-2024"/>
    <d v="1899-12-30T00:00:00"/>
    <s v="Behrouz Biryani"/>
    <s v="Kolkata"/>
    <s v="Italian"/>
    <n v="26"/>
    <n v="1.6"/>
    <s v="67mins"/>
    <n v="1636"/>
    <n v="50"/>
    <x v="7"/>
    <s v="Delivered"/>
    <n v="2"/>
    <s v="Dunzo"/>
    <n v="138"/>
  </r>
  <r>
    <s v="ZOM-10252"/>
    <d v="2026-05-05T00:00:00"/>
    <s v="06-05-2024"/>
    <d v="1899-12-30T00:00:00"/>
    <s v="Faasos"/>
    <s v="Hyderabad"/>
    <s v="Desserts"/>
    <n v="50"/>
    <n v="1.5"/>
    <s v="64mins"/>
    <n v="2441"/>
    <n v="100"/>
    <x v="4"/>
    <s v="Delivered"/>
    <n v="2"/>
    <s v="Unknown"/>
    <n v="72"/>
  </r>
  <r>
    <s v="ZOM-10254"/>
    <d v="2026-05-15T00:00:00"/>
    <s v="02-22-2024"/>
    <d v="1899-12-30T05:50:00"/>
    <s v="Kfc"/>
    <s v="Bangalore"/>
    <s v="Biryani"/>
    <n v="28"/>
    <n v="4.5999999999999996"/>
    <s v="15 mins"/>
    <n v="1705"/>
    <n v="0"/>
    <x v="5"/>
    <s v="Delivered"/>
    <n v="8"/>
    <s v="Shadowfax"/>
    <n v="74"/>
  </r>
  <r>
    <s v="ZOM-10255"/>
    <d v="2026-11-23T00:00:00"/>
    <s v="05-08-2024"/>
    <d v="1899-12-30T05:42:00"/>
    <s v="Haldiram'S"/>
    <s v="Chennai"/>
    <s v="Desserts"/>
    <n v="51"/>
    <n v="4.4000000000000004"/>
    <s v="76mins"/>
    <n v="388"/>
    <n v="0"/>
    <x v="4"/>
    <s v="Failed"/>
    <n v="2"/>
    <s v="Shadowfax"/>
    <n v="44"/>
  </r>
  <r>
    <s v="ZOM-10256"/>
    <d v="2026-05-12T00:00:00"/>
    <s v="25-04-2024"/>
    <d v="1899-12-30T00:00:00"/>
    <s v="Faasos"/>
    <s v="Kolkata"/>
    <s v="Street Food"/>
    <n v="54"/>
    <n v="4.2"/>
    <s v="16mins"/>
    <n v="1307"/>
    <n v="50"/>
    <x v="7"/>
    <s v="Refunded"/>
    <n v="8"/>
    <s v="Zomato Valet"/>
    <n v="39"/>
  </r>
  <r>
    <s v="ZOM-10258"/>
    <d v="2026-05-22T00:00:00"/>
    <s v="19-05-2024"/>
    <d v="1899-12-30T00:00:00"/>
    <s v="Subway"/>
    <s v="Chennai"/>
    <s v="Italian"/>
    <n v="23"/>
    <n v="3.5"/>
    <s v="46mins"/>
    <n v="1501"/>
    <n v="120"/>
    <x v="5"/>
    <s v="Delivered"/>
    <n v="1"/>
    <s v="Zomato Valet"/>
    <n v="134"/>
  </r>
  <r>
    <s v="ZOM-10259"/>
    <d v="2026-07-30T00:00:00"/>
    <s v="03-05-2024"/>
    <d v="1899-12-30T00:00:00"/>
    <s v="Haldiram'S"/>
    <s v="Hyderabad"/>
    <s v="Fast Food"/>
    <n v="37"/>
    <n v="4.7"/>
    <s v="40mins"/>
    <n v="500"/>
    <n v="0"/>
    <x v="7"/>
    <s v="Delivered"/>
    <n v="7"/>
    <s v="Grab"/>
    <n v="198"/>
  </r>
  <r>
    <s v="ZOM-10260"/>
    <d v="2026-01-21T00:00:00"/>
    <s v="17-06-2024"/>
    <d v="1899-12-30T00:00:00"/>
    <s v="Barbeque Nation"/>
    <s v="Bangalore"/>
    <s v="Mughlai"/>
    <n v="60"/>
    <n v="2.5"/>
    <s v="74mins"/>
    <n v="1112"/>
    <n v="0"/>
    <x v="2"/>
    <s v="Delivered"/>
    <n v="1"/>
    <s v="Dunzo"/>
    <n v="159"/>
  </r>
  <r>
    <s v="ZOM-10261"/>
    <d v="2026-01-24T00:00:00"/>
    <s v="08-05-2024"/>
    <d v="1899-12-30T00:00:00"/>
    <s v="Behrouz Biryani"/>
    <s v="Lucknow"/>
    <s v="Biryani"/>
    <n v="59"/>
    <n v="4.9000000000000004"/>
    <s v="38mins"/>
    <n v="1491"/>
    <n v="120"/>
    <x v="5"/>
    <s v="Refunded"/>
    <n v="1"/>
    <s v="In-House"/>
    <n v="45"/>
  </r>
  <r>
    <s v="ZOM-10263"/>
    <d v="2026-08-02T00:00:00"/>
    <s v="01-02-2024"/>
    <d v="1899-12-30T12:16:00"/>
    <s v="Chai Point"/>
    <s v="Jaipur"/>
    <s v="Mughlai"/>
    <n v="22"/>
    <n v="3.5"/>
    <s v="25mins"/>
    <n v="423"/>
    <n v="0.5"/>
    <x v="3"/>
    <s v="Refunded"/>
    <n v="2"/>
    <s v="Shadowfax"/>
    <n v="110"/>
  </r>
  <r>
    <s v="ZOM-10265"/>
    <d v="2026-07-22T00:00:00"/>
    <s v="30-03-2024"/>
    <d v="1899-12-30T00:00:00"/>
    <s v="Unknown"/>
    <s v="Unknown"/>
    <s v="Chinese"/>
    <n v="53"/>
    <n v="2.5"/>
    <s v="31mins"/>
    <n v="1143"/>
    <n v="0.5"/>
    <x v="0"/>
    <s v="Cancelled"/>
    <n v="2"/>
    <s v="Unknown"/>
    <n v="56"/>
  </r>
  <r>
    <s v="ZOM-10266"/>
    <d v="2026-01-31T00:00:00"/>
    <s v="12-01-2024"/>
    <d v="1899-12-30T00:00:00"/>
    <s v="Dominos Pizza"/>
    <s v="Bangalore"/>
    <s v="Chinese"/>
    <n v="60"/>
    <n v="2"/>
    <s v="78mins"/>
    <n v="1799"/>
    <n v="50"/>
    <x v="2"/>
    <s v="Refunded"/>
    <n v="6"/>
    <s v="In-House"/>
    <n v="34"/>
  </r>
  <r>
    <s v="ZOM-10268"/>
    <d v="2026-06-02T00:00:00"/>
    <s v="27-03-2024"/>
    <d v="1899-12-30T00:00:00"/>
    <s v="Chai Point"/>
    <s v="Lucknow"/>
    <s v="North Indian"/>
    <n v="36"/>
    <n v="4.8"/>
    <s v="48mins"/>
    <n v="507"/>
    <n v="50"/>
    <x v="4"/>
    <s v="Refunded"/>
    <n v="6"/>
    <s v="Rapido"/>
    <n v="39"/>
  </r>
  <r>
    <s v="ZOM-10269"/>
    <d v="2026-10-13T00:00:00"/>
    <s v="04-06-2024"/>
    <d v="1899-12-30T00:00:00"/>
    <s v="Chai Point"/>
    <s v="Delhi"/>
    <s v="Mughlai"/>
    <n v="23"/>
    <n v="3.4"/>
    <s v="23mins"/>
    <n v="1168"/>
    <n v="75"/>
    <x v="2"/>
    <s v="Delivered"/>
    <n v="3"/>
    <s v="In-House"/>
    <n v="25"/>
  </r>
  <r>
    <s v="ZOM-10270"/>
    <d v="2026-02-13T00:00:00"/>
    <m/>
    <d v="1899-12-30T00:00:00"/>
    <s v="Kfc"/>
    <s v="Mumbai"/>
    <s v="Chinese"/>
    <n v="22"/>
    <n v="4.5"/>
    <s v="35 mins"/>
    <n v="1565"/>
    <n v="150"/>
    <x v="5"/>
    <s v="Cancelled"/>
    <n v="10"/>
    <s v="Zomato Valet"/>
    <n v="23"/>
  </r>
  <r>
    <s v="ZOM-10271"/>
    <d v="2026-11-10T00:00:00"/>
    <s v="01-07-2024"/>
    <d v="1899-12-30T00:00:00"/>
    <s v="Subway"/>
    <s v="Pune"/>
    <s v="Chinese"/>
    <n v="52"/>
    <n v="4.4000000000000004"/>
    <s v="21mins"/>
    <n v="1565"/>
    <n v="75"/>
    <x v="5"/>
    <s v="Refunded"/>
    <n v="8"/>
    <s v="Dunzo"/>
    <n v="0"/>
  </r>
  <r>
    <s v="ZOM-10272"/>
    <d v="2026-03-18T00:00:00"/>
    <s v="31-03-2024"/>
    <d v="1899-12-30T00:00:00"/>
    <s v="Kfc"/>
    <s v="Lucknow"/>
    <s v="Chinese"/>
    <n v="34"/>
    <n v="2.4"/>
    <s v="41 mins"/>
    <n v="1122"/>
    <n v="150"/>
    <x v="3"/>
    <s v="Delivered"/>
    <n v="8"/>
    <s v="In-House"/>
    <m/>
  </r>
  <r>
    <s v="ZOM-10273"/>
    <d v="2026-06-28T00:00:00"/>
    <s v="11-05-2024"/>
    <d v="1899-12-30T00:00:00"/>
    <s v="Subway"/>
    <s v="Mumbai"/>
    <s v="Bakery"/>
    <n v="40"/>
    <n v="4.5999999999999996"/>
    <s v="70mins"/>
    <n v="809"/>
    <n v="0.15"/>
    <x v="1"/>
    <s v="Pending"/>
    <n v="8"/>
    <s v="Grab"/>
    <n v="158"/>
  </r>
  <r>
    <s v="ZOM-10275"/>
    <d v="2026-06-16T00:00:00"/>
    <s v="05-18-2024"/>
    <d v="1899-12-30T18:21:00"/>
    <s v="Bikanervala"/>
    <s v="Lucknow"/>
    <s v="Mughlai"/>
    <n v="46"/>
    <n v="3"/>
    <s v="23 mins"/>
    <n v="2484"/>
    <n v="0.2"/>
    <x v="0"/>
    <s v="Cancelled"/>
    <n v="9"/>
    <s v="In-House"/>
    <n v="24"/>
  </r>
  <r>
    <s v="ZOM-10276"/>
    <d v="2026-05-14T00:00:00"/>
    <s v="13-05-2024"/>
    <d v="1899-12-30T00:00:00"/>
    <s v="Wow! Momo"/>
    <s v="Delhi"/>
    <s v="Chinese"/>
    <n v="64"/>
    <n v="1.5"/>
    <s v="26mins"/>
    <n v="2383"/>
    <n v="0"/>
    <x v="2"/>
    <s v="Cancelled"/>
    <n v="10"/>
    <s v="Shadowfax"/>
    <n v="137"/>
  </r>
  <r>
    <s v="ZOM-10277"/>
    <d v="2026-09-01T00:00:00"/>
    <s v="15-03-2024"/>
    <d v="1899-12-30T00:00:00"/>
    <s v="Faasos"/>
    <s v="Mumbai"/>
    <s v="Italian"/>
    <n v="47"/>
    <n v="3.6"/>
    <s v="65mins"/>
    <n v="1797"/>
    <n v="100"/>
    <x v="7"/>
    <s v="Delivered"/>
    <n v="9"/>
    <s v="Dunzo"/>
    <n v="49"/>
  </r>
  <r>
    <s v="ZOM-10278"/>
    <d v="2026-01-21T00:00:00"/>
    <s v="03-09-2024"/>
    <d v="1899-12-30T16:34:00"/>
    <s v="Kfc"/>
    <s v="Hyderabad"/>
    <s v="South Indian"/>
    <n v="19"/>
    <n v="1.1000000000000001"/>
    <s v="57mins"/>
    <n v="2291"/>
    <n v="150"/>
    <x v="0"/>
    <s v="Cancelled"/>
    <n v="5"/>
    <s v="Shadowfax"/>
    <n v="9"/>
  </r>
  <r>
    <s v="ORD_101"/>
    <d v="2026-11-27T00:00:00"/>
    <s v="12-07-2024"/>
    <d v="1899-12-30T00:00:00"/>
    <s v="Subway"/>
    <s v="Delhi"/>
    <s v="Biryani"/>
    <n v="65"/>
    <n v="4.4000000000000004"/>
    <s v="47 mins"/>
    <n v="1839"/>
    <n v="0"/>
    <x v="1"/>
    <s v="Delivered"/>
    <n v="5"/>
    <s v="Dunzo"/>
    <n v="20"/>
  </r>
  <r>
    <s v="ZOM-10282"/>
    <d v="2026-12-13T00:00:00"/>
    <s v="03-07-2024"/>
    <d v="1899-12-30T00:00:00"/>
    <s v="Kfc"/>
    <s v="Jaipur"/>
    <s v="Desserts"/>
    <n v="65"/>
    <n v="4.4000000000000004"/>
    <s v="48 mins"/>
    <n v="1822"/>
    <n v="0.15"/>
    <x v="3"/>
    <s v="Cancelled"/>
    <n v="2"/>
    <s v="Zomato Valet"/>
    <n v="58"/>
  </r>
  <r>
    <s v="ZOM-10283"/>
    <d v="2026-08-20T00:00:00"/>
    <s v="04-01-2024"/>
    <d v="1899-12-30T00:00:00"/>
    <s v="Subway"/>
    <s v="Kolkata"/>
    <s v="Bakery"/>
    <n v="24"/>
    <n v="3.1"/>
    <s v="64mins"/>
    <n v="906"/>
    <n v="75"/>
    <x v="1"/>
    <s v="Unknown"/>
    <n v="4"/>
    <s v="Zomato Valet"/>
    <n v="33"/>
  </r>
  <r>
    <s v="ZOM-10000"/>
    <d v="2026-09-21T00:00:00"/>
    <s v="20-01-2024"/>
    <d v="1899-12-30T00:00:00"/>
    <s v="Paradise Biryani"/>
    <s v="Hyderabad"/>
    <s v="Mughlai"/>
    <n v="56"/>
    <n v="4.8"/>
    <s v="50mins"/>
    <n v="1813"/>
    <n v="100"/>
    <x v="1"/>
    <s v="Delivered"/>
    <n v="8"/>
    <s v="In-House"/>
    <n v="124"/>
  </r>
  <r>
    <s v="ZOM-10286"/>
    <d v="2026-02-03T00:00:00"/>
    <s v="03-02-2024"/>
    <d v="1899-12-30T00:00:00"/>
    <s v="Haldiram'S"/>
    <s v="Jaipur"/>
    <s v="North Indian"/>
    <n v="28"/>
    <n v="3.3"/>
    <s v="16mins"/>
    <n v="2358"/>
    <n v="150"/>
    <x v="0"/>
    <s v="Refunded"/>
    <n v="4"/>
    <s v="In-House"/>
    <n v="166"/>
  </r>
  <r>
    <s v="ZOM-10000"/>
    <d v="2026-01-31T00:00:00"/>
    <s v="11-03-2024"/>
    <d v="1899-12-30T00:00:00"/>
    <s v="Kfc"/>
    <s v="Mumbai"/>
    <s v="Fast Food"/>
    <n v="18"/>
    <n v="2.5"/>
    <s v="61 mins"/>
    <n v="2365"/>
    <n v="50"/>
    <x v="1"/>
    <s v="Refunded"/>
    <n v="4"/>
    <s v="Shadowfax"/>
    <n v="243"/>
  </r>
  <r>
    <s v="ZOM-10288"/>
    <d v="2026-03-09T00:00:00"/>
    <s v="31-03-2024"/>
    <d v="1899-12-30T00:00:00"/>
    <s v="Faasos"/>
    <s v="Lucknow"/>
    <s v="Italian"/>
    <n v="62"/>
    <n v="3.2"/>
    <s v="49mins"/>
    <n v="336"/>
    <n v="0.5"/>
    <x v="6"/>
    <s v="Delivered"/>
    <n v="8"/>
    <s v="Rapido"/>
    <n v="137"/>
  </r>
  <r>
    <s v="ZOM-10289"/>
    <d v="2026-05-01T00:00:00"/>
    <s v="01-04-2024"/>
    <d v="1899-12-30T00:00:00"/>
    <s v="Paradise Biryani"/>
    <s v="Kolkata"/>
    <s v="Mughlai"/>
    <n v="43"/>
    <n v="2"/>
    <s v="58mins"/>
    <n v="1268"/>
    <n v="0"/>
    <x v="4"/>
    <s v="Delivered"/>
    <n v="10"/>
    <s v="Zomato Valet"/>
    <n v="19"/>
  </r>
  <r>
    <s v="ZOM-10290"/>
    <d v="2026-11-15T00:00:00"/>
    <s v="25-05-2024"/>
    <d v="1899-12-30T00:00:00"/>
    <s v="Kfc"/>
    <s v="Bangalore"/>
    <s v="North Indian"/>
    <n v="29"/>
    <n v="1.8"/>
    <s v="30 mins"/>
    <n v="487"/>
    <n v="0"/>
    <x v="2"/>
    <s v="Delivered"/>
    <n v="8"/>
    <s v="In-House"/>
    <n v="48"/>
  </r>
  <r>
    <s v="ZOM-10291"/>
    <d v="2026-10-30T00:00:00"/>
    <s v="24-03-2024"/>
    <d v="1899-12-30T00:00:00"/>
    <s v="Behrouz Biryani"/>
    <s v="Unknown"/>
    <s v="Bakery"/>
    <n v="18"/>
    <n v="4"/>
    <s v="44mins"/>
    <n v="449"/>
    <n v="0.5"/>
    <x v="0"/>
    <s v="Refunded"/>
    <n v="5"/>
    <s v="Grab"/>
    <n v="91"/>
  </r>
  <r>
    <s v="ZOM-10292"/>
    <d v="2026-11-15T00:00:00"/>
    <s v="07-06-2024"/>
    <d v="1899-12-30T03:27:00"/>
    <s v="Subway"/>
    <s v="Lucknow"/>
    <s v="Italian, Italian"/>
    <n v="58"/>
    <n v="4.2"/>
    <s v="79mins"/>
    <n v="1007"/>
    <n v="0.6"/>
    <x v="5"/>
    <s v="Delivered"/>
    <n v="0"/>
    <s v="In-House"/>
    <n v="188"/>
  </r>
  <r>
    <s v="ZOM-10293"/>
    <d v="2026-06-21T00:00:00"/>
    <s v="13-03-2024"/>
    <d v="1899-12-30T00:00:00"/>
    <s v="Paradise Biryani"/>
    <s v="Chennai"/>
    <s v="North Indian"/>
    <n v="18"/>
    <n v="3.5"/>
    <s v="60mins"/>
    <n v="1862"/>
    <n v="0.15"/>
    <x v="0"/>
    <s v="Delivered"/>
    <n v="10"/>
    <s v="Shadowfax"/>
    <n v="228"/>
  </r>
  <r>
    <s v="ZOM-10295"/>
    <d v="2026-09-23T00:00:00"/>
    <s v="22-06-2024"/>
    <d v="1899-12-30T00:00:00"/>
    <s v="Subway"/>
    <s v="Ahmedabad"/>
    <s v="Chinese"/>
    <n v="64"/>
    <n v="4.3"/>
    <s v="57mins"/>
    <n v="1409"/>
    <n v="75"/>
    <x v="5"/>
    <s v="Delivered"/>
    <n v="5"/>
    <s v="Unknown"/>
    <n v="201"/>
  </r>
  <r>
    <s v="ZOM-10296"/>
    <d v="2026-12-13T00:00:00"/>
    <s v="29-03-2024"/>
    <d v="1899-12-30T00:00:00"/>
    <s v="Wow! Momo"/>
    <s v="Delhi"/>
    <s v="Bakery"/>
    <n v="53"/>
    <n v="5"/>
    <s v="31mins"/>
    <n v="1021"/>
    <n v="0.5"/>
    <x v="4"/>
    <s v="Cancelled"/>
    <n v="9"/>
    <s v="Grab"/>
    <n v="217"/>
  </r>
  <r>
    <s v="ZOM-10298"/>
    <d v="2026-02-01T00:00:00"/>
    <s v="16-06-2024"/>
    <d v="1899-12-30T00:00:00"/>
    <s v="Dominos Pizza"/>
    <s v="Bangalore"/>
    <s v="Fast Food"/>
    <n v="33"/>
    <n v="2.8"/>
    <s v="26 mins"/>
    <n v="2435"/>
    <n v="0.6"/>
    <x v="5"/>
    <s v="Unknown"/>
    <n v="0"/>
    <s v="In-House"/>
    <n v="75"/>
  </r>
  <r>
    <s v="ZOM-10299"/>
    <d v="2026-08-09T00:00:00"/>
    <s v="02-07-2024"/>
    <d v="1899-12-30T00:00:00"/>
    <s v="Chai Point"/>
    <s v="Ahmedabad"/>
    <s v="Italian"/>
    <n v="50"/>
    <n v="2.8"/>
    <s v="28mins"/>
    <n v="467"/>
    <n v="0"/>
    <x v="1"/>
    <s v="Cancelled"/>
    <n v="2"/>
    <s v="Grab"/>
    <n v="1"/>
  </r>
  <r>
    <s v="ZOM-10300"/>
    <d v="2026-12-08T00:00:00"/>
    <s v="25-04-2024"/>
    <d v="1899-12-30T00:00:00"/>
    <s v="Unknown"/>
    <s v="Bangalore"/>
    <s v="Desserts"/>
    <n v="54"/>
    <n v="2.9"/>
    <s v="52mins"/>
    <n v="488"/>
    <n v="0.6"/>
    <x v="5"/>
    <s v="Cancelled"/>
    <n v="0"/>
    <s v="Dunzo"/>
    <n v="249"/>
  </r>
  <r>
    <s v="ZOM-10301"/>
    <d v="2026-03-18T00:00:00"/>
    <s v="29-03-2024"/>
    <d v="1899-12-30T00:00:00"/>
    <s v="Wow! Momo"/>
    <s v="Bangalore"/>
    <s v="Unknown"/>
    <n v="39"/>
    <n v="1.8"/>
    <s v="53 mins"/>
    <n v="1972"/>
    <n v="75"/>
    <x v="2"/>
    <s v="Delivered"/>
    <n v="1"/>
    <s v="Grab"/>
    <n v="87"/>
  </r>
  <r>
    <s v="ZOM-10302"/>
    <d v="2026-06-16T00:00:00"/>
    <s v="17-05-2024"/>
    <d v="1899-12-30T00:00:00"/>
    <s v="Bikanervala"/>
    <s v="Bangalore"/>
    <s v="Mughlai"/>
    <n v="65"/>
    <n v="4.3"/>
    <s v="72 mins"/>
    <n v="435"/>
    <n v="0.15"/>
    <x v="7"/>
    <s v="Delivered"/>
    <n v="2"/>
    <s v="Grab"/>
    <n v="99"/>
  </r>
  <r>
    <s v="ZOM-10303"/>
    <d v="2026-02-22T00:00:00"/>
    <s v="28-05-2024"/>
    <d v="1899-12-30T00:00:00"/>
    <s v="Haldiram'S"/>
    <s v="Lucknow"/>
    <s v="Italian"/>
    <n v="50"/>
    <n v="3.6"/>
    <s v="46mins"/>
    <n v="932"/>
    <n v="150"/>
    <x v="2"/>
    <s v="Delivered"/>
    <n v="3"/>
    <s v="Shadowfax"/>
    <n v="21"/>
  </r>
  <r>
    <s v="ZOM-10304"/>
    <d v="2026-11-12T00:00:00"/>
    <s v="17-05-2024"/>
    <d v="1899-12-30T00:00:00"/>
    <s v="Haldiram'S"/>
    <s v="Jaipur"/>
    <s v="Chinese"/>
    <n v="28"/>
    <n v="3.4"/>
    <s v="48 mins"/>
    <n v="2455"/>
    <n v="150"/>
    <x v="5"/>
    <s v="Refunded"/>
    <n v="6"/>
    <s v="Grab"/>
    <m/>
  </r>
  <r>
    <s v="ZOM-10305"/>
    <d v="2026-03-10T00:00:00"/>
    <s v="04-14-2024"/>
    <d v="1899-12-30T12:04:00"/>
    <s v="Barbeque Nation"/>
    <s v="Hyderabad"/>
    <s v="Unknown"/>
    <n v="42"/>
    <n v="3.2"/>
    <s v="28 mins"/>
    <n v="1590"/>
    <n v="0.1"/>
    <x v="4"/>
    <s v="Delivered"/>
    <n v="7"/>
    <s v="In-House"/>
    <n v="2"/>
  </r>
  <r>
    <s v="ZOM-10306"/>
    <d v="2026-07-22T00:00:00"/>
    <s v="15-01-2024"/>
    <d v="1899-12-30T00:00:00"/>
    <s v="Wow! Momo"/>
    <s v="Mumbai"/>
    <s v="Fast Food"/>
    <n v="46"/>
    <n v="3.3"/>
    <s v="48mins"/>
    <n v="1445"/>
    <n v="50"/>
    <x v="0"/>
    <s v="Refunded"/>
    <n v="3"/>
    <s v="Dunzo"/>
    <n v="30"/>
  </r>
  <r>
    <s v="ZOM-10307"/>
    <d v="2026-07-09T00:00:00"/>
    <s v="10-07-2024"/>
    <d v="1899-12-30T00:00:00"/>
    <s v="Faasos"/>
    <s v="Jaipur"/>
    <s v="Bakery, Street Food"/>
    <n v="38"/>
    <n v="3"/>
    <s v="23mins"/>
    <n v="1868"/>
    <n v="0"/>
    <x v="7"/>
    <s v="Delivered"/>
    <n v="2"/>
    <s v="In-House"/>
    <n v="69"/>
  </r>
  <r>
    <s v="ZOM-10308"/>
    <d v="2026-12-20T00:00:00"/>
    <s v="01-19-2024"/>
    <d v="1899-12-30T06:12:00"/>
    <s v="Kfc"/>
    <s v="Delhi"/>
    <s v="Unknown"/>
    <n v="45"/>
    <n v="4.4000000000000004"/>
    <s v="56mins"/>
    <n v="1387"/>
    <n v="0.6"/>
    <x v="5"/>
    <s v="Cancelled"/>
    <n v="1"/>
    <s v="Rapido"/>
    <n v="177"/>
  </r>
  <r>
    <s v="ZOM-10309"/>
    <d v="2026-01-21T00:00:00"/>
    <s v="03-21-2024"/>
    <d v="1899-12-30T07:51:00"/>
    <s v="Dominos Pizza"/>
    <s v="Hyderabad"/>
    <s v="Mughlai"/>
    <n v="65"/>
    <n v="1.2"/>
    <s v="40mins"/>
    <n v="609"/>
    <n v="0"/>
    <x v="4"/>
    <s v="Cancelled"/>
    <n v="10"/>
    <s v="Dunzo"/>
    <n v="17"/>
  </r>
  <r>
    <s v="ZOM-10310"/>
    <d v="2026-04-07T00:00:00"/>
    <s v="06-03-2024"/>
    <d v="1899-12-30T00:00:00"/>
    <s v="Unknown"/>
    <s v="Pune"/>
    <s v="Desserts"/>
    <n v="59"/>
    <n v="5"/>
    <s v="56 mins"/>
    <n v="2048"/>
    <n v="0"/>
    <x v="5"/>
    <s v="Cancelled"/>
    <n v="8"/>
    <s v="Zomato Valet"/>
    <n v="206"/>
  </r>
  <r>
    <s v="ZOM-10311"/>
    <d v="2026-02-13T00:00:00"/>
    <s v="10-02-2024"/>
    <d v="1899-12-30T00:00:00"/>
    <s v="Wow! Momo"/>
    <s v="Mumbai"/>
    <s v="Chinese"/>
    <n v="38"/>
    <n v="2.5"/>
    <s v="15 mins"/>
    <n v="188"/>
    <n v="50"/>
    <x v="2"/>
    <s v="Delivered"/>
    <n v="4"/>
    <s v="Zomato Valet"/>
    <n v="240"/>
  </r>
  <r>
    <s v="ZOM-10312"/>
    <d v="2026-10-18T00:00:00"/>
    <s v="22-04-2024"/>
    <d v="1899-12-30T00:00:00"/>
    <s v="Unknown"/>
    <s v="Ahmedabad"/>
    <s v="Street Food"/>
    <n v="65"/>
    <n v="3.3"/>
    <s v="47 mins"/>
    <n v="429"/>
    <n v="0.1"/>
    <x v="1"/>
    <s v="Delivered"/>
    <n v="5"/>
    <s v="Dunzo"/>
    <n v="115"/>
  </r>
  <r>
    <s v="ZOM-10313"/>
    <d v="2026-03-13T00:00:00"/>
    <s v="03-02-2024"/>
    <d v="1899-12-30T00:00:00"/>
    <s v="Faasos"/>
    <s v="Pune"/>
    <s v="North Indian, Chinese"/>
    <n v="38"/>
    <n v="2.5"/>
    <s v="59mins"/>
    <n v="567"/>
    <n v="100"/>
    <x v="2"/>
    <s v="Delivered"/>
    <n v="6"/>
    <s v="Dunzo"/>
    <n v="33"/>
  </r>
  <r>
    <s v="ZOM-10314"/>
    <d v="2026-04-23T00:00:00"/>
    <s v="25-01-2024"/>
    <d v="1899-12-30T00:00:00"/>
    <s v="W0W! M0M0"/>
    <s v="Jaipur"/>
    <s v="South Indian"/>
    <n v="46"/>
    <n v="4.9000000000000004"/>
    <s v="70 mins"/>
    <n v="2433"/>
    <n v="120"/>
    <x v="4"/>
    <s v="Cancelled"/>
    <n v="3"/>
    <s v="Rapido"/>
    <n v="184"/>
  </r>
  <r>
    <s v="ZOM-10315"/>
    <d v="2026-06-03T00:00:00"/>
    <s v="15-05-2024"/>
    <d v="1899-12-30T00:00:00"/>
    <s v="Haldiram'S"/>
    <s v="Bangalore"/>
    <s v="Chinese"/>
    <n v="51"/>
    <n v="4.5999999999999996"/>
    <s v="32mins"/>
    <n v="1837"/>
    <n v="0"/>
    <x v="1"/>
    <s v="Delivered"/>
    <n v="3"/>
    <s v="Shadowfax"/>
    <n v="241"/>
  </r>
  <r>
    <s v="ZOM-10316"/>
    <d v="2026-10-02T00:00:00"/>
    <s v="10-02-2024"/>
    <d v="1899-12-30T00:00:00"/>
    <s v="Chai Point"/>
    <s v="Kolkata"/>
    <s v="Bakery"/>
    <n v="38"/>
    <n v="2.5"/>
    <s v="34 mins"/>
    <n v="1368"/>
    <n v="50"/>
    <x v="1"/>
    <s v="Delivered"/>
    <n v="6"/>
    <s v="Dunzo"/>
    <n v="197"/>
  </r>
  <r>
    <s v="ZOM-10317"/>
    <d v="2026-10-21T00:00:00"/>
    <s v="02-13-2024"/>
    <d v="1899-12-30T16:37:00"/>
    <s v="Dominos Pizza"/>
    <s v="Lucknow"/>
    <s v="Mughlai"/>
    <n v="35"/>
    <n v="3.9"/>
    <s v="80mins"/>
    <n v="903"/>
    <n v="0.2"/>
    <x v="6"/>
    <s v="Delivered"/>
    <n v="5"/>
    <s v="Zomato Valet"/>
    <n v="81"/>
  </r>
  <r>
    <s v="ZOM-10318"/>
    <d v="2026-01-11T00:00:00"/>
    <s v="19-06-2024"/>
    <d v="1899-12-30T00:00:00"/>
    <s v="Haldiram'S"/>
    <s v="Mumbai"/>
    <s v="Bakery"/>
    <n v="46"/>
    <n v="3.3"/>
    <s v="66mins"/>
    <n v="2055"/>
    <n v="150"/>
    <x v="0"/>
    <s v="Refunded"/>
    <n v="8"/>
    <s v="Dunzo"/>
    <n v="36"/>
  </r>
  <r>
    <s v="ZOM-10319"/>
    <d v="2026-12-13T00:00:00"/>
    <s v="03-24-2024"/>
    <d v="1899-12-30T15:38:00"/>
    <s v="Faasos"/>
    <s v="Jaipur"/>
    <s v="Fast Food"/>
    <n v="65"/>
    <n v="4.9000000000000004"/>
    <s v="54mins"/>
    <n v="361"/>
    <n v="75"/>
    <x v="7"/>
    <s v="Refunded"/>
    <n v="8"/>
    <s v="Dunzo"/>
    <n v="27"/>
  </r>
  <r>
    <s v="ZOM-10320"/>
    <d v="2026-10-29T00:00:00"/>
    <s v="28-06-2024"/>
    <d v="1899-12-30T00:00:00"/>
    <s v="Wow! Momo"/>
    <s v="Mumbai"/>
    <s v="Biryani"/>
    <n v="42"/>
    <n v="4.8"/>
    <s v="52mins"/>
    <n v="1580"/>
    <n v="0.15"/>
    <x v="2"/>
    <s v="Unknown"/>
    <n v="4"/>
    <s v="Shadowfax"/>
    <n v="188"/>
  </r>
  <r>
    <s v="ZOM-10321"/>
    <d v="2026-07-24T00:00:00"/>
    <s v="05-06-2024"/>
    <d v="1899-12-30T00:00:00"/>
    <s v="Subway"/>
    <s v="Jaipur"/>
    <s v="Italian"/>
    <n v="34"/>
    <n v="2.5"/>
    <s v="45mins"/>
    <n v="882"/>
    <n v="50"/>
    <x v="5"/>
    <s v="Delivered"/>
    <n v="9"/>
    <s v="In-House"/>
    <n v="186"/>
  </r>
  <r>
    <s v="ZOM-10322"/>
    <d v="2026-02-24T00:00:00"/>
    <s v="14-06-2024"/>
    <d v="1899-12-30T00:00:00"/>
    <s v="Dominos Pizza"/>
    <s v="Ahmedabad"/>
    <s v="Unknown"/>
    <n v="59"/>
    <n v="2.5"/>
    <s v="33mins"/>
    <n v="272"/>
    <n v="75"/>
    <x v="7"/>
    <s v="Delivered"/>
    <n v="7"/>
    <s v="Shadowfax"/>
    <n v="150"/>
  </r>
  <r>
    <s v="ZOM-10323"/>
    <d v="2026-11-16T00:00:00"/>
    <s v="10-05-2024"/>
    <d v="1899-12-30T00:00:00"/>
    <s v="Wow! Momo"/>
    <s v="Delhi"/>
    <s v="South Indian"/>
    <n v="33"/>
    <n v="4.0999999999999996"/>
    <s v="38mins"/>
    <n v="190"/>
    <n v="75"/>
    <x v="0"/>
    <s v="Delivered"/>
    <n v="6"/>
    <s v="Shadowfax"/>
    <n v="153"/>
  </r>
  <r>
    <s v="ZOM-10324"/>
    <d v="2026-03-27T00:00:00"/>
    <s v="12-04-2024"/>
    <d v="1899-12-30T00:00:00"/>
    <s v="Faasos"/>
    <s v="Delhi"/>
    <s v="Street Food"/>
    <n v="51"/>
    <n v="2.5"/>
    <s v="54mins"/>
    <n v="186"/>
    <n v="0"/>
    <x v="4"/>
    <s v="Cancelled"/>
    <n v="3"/>
    <s v="Rapido"/>
    <n v="65"/>
  </r>
  <r>
    <s v="ZOM-10325"/>
    <d v="2026-03-18T00:00:00"/>
    <s v="04-23-2024"/>
    <d v="1899-12-30T01:02:00"/>
    <s v="Wow! Momo"/>
    <s v="Kolkata"/>
    <s v="Fast Food"/>
    <n v="39"/>
    <n v="4.7"/>
    <s v="64mins"/>
    <n v="1986"/>
    <n v="0"/>
    <x v="5"/>
    <s v="Delivered"/>
    <n v="8"/>
    <s v="In-House"/>
    <n v="47"/>
  </r>
  <r>
    <s v="ZOM-10326"/>
    <d v="2026-11-23T00:00:00"/>
    <s v="14-05-2024"/>
    <d v="1899-12-30T00:00:00"/>
    <s v="Wow! Momo"/>
    <s v="Bangalore"/>
    <s v="Italian"/>
    <n v="38"/>
    <n v="3.4"/>
    <s v="51mins"/>
    <n v="1955"/>
    <n v="0"/>
    <x v="4"/>
    <s v="Delivered"/>
    <n v="9"/>
    <s v="Unknown"/>
    <n v="20"/>
  </r>
  <r>
    <s v="ZOM-10327"/>
    <d v="2026-03-19T00:00:00"/>
    <s v="06-24-2024"/>
    <d v="1899-12-30T14:48:00"/>
    <s v="Wow! Momo"/>
    <s v="Hyderabad"/>
    <s v="Desserts"/>
    <n v="18"/>
    <n v="2.5"/>
    <s v="29mins"/>
    <n v="500"/>
    <n v="0.2"/>
    <x v="4"/>
    <s v="Delivered"/>
    <n v="5"/>
    <s v="Grab"/>
    <n v="218"/>
  </r>
  <r>
    <s v="ZOM-10328"/>
    <d v="2026-12-02T00:00:00"/>
    <s v="03-10-2024"/>
    <d v="1899-12-30T13:58:00"/>
    <s v="Subway"/>
    <s v="Ahmedabad"/>
    <s v="Italian"/>
    <n v="22"/>
    <n v="1.5"/>
    <s v="77mins"/>
    <n v="278"/>
    <n v="0.2"/>
    <x v="1"/>
    <s v="Refunded"/>
    <n v="2"/>
    <s v="Grab"/>
    <n v="234"/>
  </r>
  <r>
    <s v="ZOM-10329"/>
    <d v="2026-11-23T00:00:00"/>
    <s v="10-01-2024"/>
    <d v="1899-12-30T00:00:00"/>
    <s v="Haldiram'S"/>
    <s v="Mumbai"/>
    <s v="Fast Food"/>
    <n v="30"/>
    <n v="3.9"/>
    <s v="15 mins"/>
    <n v="154"/>
    <n v="75"/>
    <x v="4"/>
    <s v="Delivered"/>
    <n v="4"/>
    <s v="Shadowfax"/>
    <m/>
  </r>
  <r>
    <s v="ZOM-10331"/>
    <d v="2026-08-22T00:00:00"/>
    <s v="26-04-2024"/>
    <d v="1899-12-30T00:00:00"/>
    <s v="Barbeque Nation"/>
    <s v="Bangalore"/>
    <s v="Fast Food, Biryani"/>
    <n v="47"/>
    <n v="4.5"/>
    <s v="66mins"/>
    <n v="418"/>
    <n v="0.5"/>
    <x v="2"/>
    <s v="Delivered"/>
    <n v="3"/>
    <s v="In-House"/>
    <n v="155"/>
  </r>
  <r>
    <s v="ZOM-10332"/>
    <d v="2026-01-05T00:00:00"/>
    <s v="19-07-2024"/>
    <d v="1899-12-30T00:00:00"/>
    <s v="Paradise Biryani"/>
    <s v="Hyderabad"/>
    <s v="Mughlai"/>
    <n v="21"/>
    <n v="2.4"/>
    <s v="64mins"/>
    <n v="2350"/>
    <n v="0"/>
    <x v="1"/>
    <s v="Delivered"/>
    <n v="4"/>
    <s v="Shadowfax"/>
    <n v="206"/>
  </r>
  <r>
    <s v="ZOM-10333"/>
    <d v="2026-10-20T00:00:00"/>
    <s v="14-07-2024"/>
    <d v="1899-12-30T00:00:00"/>
    <s v="Faasos"/>
    <s v="Delhi"/>
    <s v="South Indian"/>
    <n v="31"/>
    <n v="1.3"/>
    <s v="55mins"/>
    <n v="1509"/>
    <n v="150"/>
    <x v="4"/>
    <s v="Cancelled"/>
    <n v="7"/>
    <s v="Shadowfax"/>
    <n v="151"/>
  </r>
  <r>
    <s v="ZOM-10335"/>
    <d v="2026-11-24T00:00:00"/>
    <s v="05-03-2024"/>
    <d v="1899-12-30T00:00:00"/>
    <s v="Wow! Momo"/>
    <s v="Bangalore"/>
    <s v="Mughlai"/>
    <n v="60"/>
    <n v="1.3"/>
    <s v="31mins"/>
    <n v="2195"/>
    <n v="0"/>
    <x v="6"/>
    <s v="Delivered"/>
    <n v="5"/>
    <s v="In-House"/>
    <n v="89"/>
  </r>
  <r>
    <s v="ZOM-10336"/>
    <d v="2026-03-11T00:00:00"/>
    <s v="02-03-2024"/>
    <d v="1899-12-30T11:49:00"/>
    <s v="Wow! Momo"/>
    <s v="Mumbai"/>
    <s v="Unknown"/>
    <n v="24"/>
    <n v="1.7"/>
    <s v="51 mins"/>
    <n v="2027"/>
    <n v="0"/>
    <x v="6"/>
    <s v="Refunded"/>
    <n v="8"/>
    <s v="In-House"/>
    <n v="45"/>
  </r>
  <r>
    <s v="ZOM-10337"/>
    <d v="2026-02-27T00:00:00"/>
    <s v="09-07-2024"/>
    <d v="1899-12-30T00:00:00"/>
    <s v="Behrouz Biryani"/>
    <s v="Hyderabad"/>
    <s v="Street Food"/>
    <n v="63"/>
    <n v="2.2000000000000002"/>
    <s v="22mins"/>
    <n v="1173"/>
    <n v="0"/>
    <x v="4"/>
    <s v="Cancelled"/>
    <n v="3"/>
    <s v="Dunzo"/>
    <n v="50"/>
  </r>
  <r>
    <s v="ZOM-10338"/>
    <d v="2026-12-22T00:00:00"/>
    <s v="12-06-2024"/>
    <d v="1899-12-30T00:00:00"/>
    <s v="Burger King"/>
    <s v="Kolkata"/>
    <s v="Mughlai"/>
    <n v="23"/>
    <n v="4.5999999999999996"/>
    <s v="26mins"/>
    <n v="878"/>
    <n v="150"/>
    <x v="1"/>
    <s v="Refunded"/>
    <n v="8"/>
    <s v="Dunzo"/>
    <n v="250"/>
  </r>
  <r>
    <s v="ZOM-10339"/>
    <d v="2026-05-17T00:00:00"/>
    <s v="31-03-2024"/>
    <d v="1899-12-30T00:00:00"/>
    <s v="Paradise Biryani"/>
    <s v="Ahmedabad"/>
    <s v="Italian"/>
    <n v="58"/>
    <n v="2.5"/>
    <s v="37mins"/>
    <n v="479"/>
    <n v="0.1"/>
    <x v="2"/>
    <s v="Delivered"/>
    <n v="9"/>
    <s v="Dunzo"/>
    <n v="159"/>
  </r>
  <r>
    <s v="ZOM-10340"/>
    <d v="2026-06-05T00:00:00"/>
    <s v="19-06-2024"/>
    <d v="1899-12-30T00:00:00"/>
    <s v="Haldiram'S"/>
    <s v="Hyderabad"/>
    <s v="Unknown"/>
    <n v="28"/>
    <n v="2.2000000000000002"/>
    <s v="30mins"/>
    <n v="1546"/>
    <n v="0.2"/>
    <x v="1"/>
    <s v="Unknown"/>
    <n v="4"/>
    <s v="Shadowfax"/>
    <n v="220"/>
  </r>
  <r>
    <s v="ZOM-10341"/>
    <d v="2026-07-01T00:00:00"/>
    <s v="01-05-2024"/>
    <d v="1899-12-30T00:00:00"/>
    <s v="Chai Point"/>
    <s v="Lucknow"/>
    <s v="Chinese"/>
    <n v="38"/>
    <n v="1.4"/>
    <s v="56mins"/>
    <n v="314"/>
    <n v="150"/>
    <x v="5"/>
    <s v="Refunded"/>
    <n v="8"/>
    <s v="Shadowfax"/>
    <n v="38"/>
  </r>
  <r>
    <s v="ZOM-10342"/>
    <d v="2026-09-16T00:00:00"/>
    <s v="22-03-2024"/>
    <d v="1899-12-30T00:00:00"/>
    <s v="Chai Point"/>
    <s v="Lucknow"/>
    <s v="Chinese"/>
    <n v="62"/>
    <n v="1"/>
    <s v="33mins"/>
    <n v="500"/>
    <n v="100"/>
    <x v="0"/>
    <s v="Delivered"/>
    <n v="6"/>
    <s v="Zomato Valet"/>
    <n v="15"/>
  </r>
  <r>
    <s v="ZOM-10344"/>
    <d v="2026-12-30T00:00:00"/>
    <s v="06-13-2024"/>
    <d v="1899-12-30T13:30:00"/>
    <s v="Wow! Momo"/>
    <s v="Kolkata"/>
    <s v="Unknown"/>
    <n v="62"/>
    <n v="1.2"/>
    <s v="29 mins"/>
    <n v="2381"/>
    <n v="0.2"/>
    <x v="5"/>
    <s v="Delivered"/>
    <n v="7"/>
    <s v="Rapido"/>
    <n v="68"/>
  </r>
  <r>
    <s v="ZOM-10345"/>
    <d v="2026-07-29T00:00:00"/>
    <s v="21-01-2024"/>
    <d v="1899-12-30T00:00:00"/>
    <s v="Wow! Momo"/>
    <s v="Lucknow"/>
    <s v="Fast Food"/>
    <n v="34"/>
    <n v="3.6"/>
    <s v="72mins"/>
    <n v="1556"/>
    <n v="100"/>
    <x v="4"/>
    <s v="Delivered"/>
    <n v="10"/>
    <s v="In-House"/>
    <n v="142"/>
  </r>
  <r>
    <s v="ZOM-10347"/>
    <d v="2026-06-27T00:00:00"/>
    <s v="18-04-2024"/>
    <d v="1899-12-30T00:00:00"/>
    <s v="Subway"/>
    <s v="Mumbai"/>
    <s v="Chinese"/>
    <n v="48"/>
    <n v="1.5"/>
    <s v="73mins"/>
    <n v="2190"/>
    <n v="75"/>
    <x v="0"/>
    <s v="Cancelled"/>
    <n v="1"/>
    <s v="Grab"/>
    <m/>
  </r>
  <r>
    <s v="ZOM-10349"/>
    <d v="2026-01-18T00:00:00"/>
    <s v="06-05-2024"/>
    <d v="1899-12-30T00:00:00"/>
    <s v="Kfc"/>
    <s v="Bangalore"/>
    <s v="Street Food"/>
    <n v="58"/>
    <n v="2.4"/>
    <s v="35mins"/>
    <n v="2146"/>
    <n v="50"/>
    <x v="1"/>
    <s v="Delivered"/>
    <n v="5"/>
    <s v="Rapido"/>
    <n v="5"/>
  </r>
  <r>
    <s v="ZOM-10350"/>
    <d v="2026-04-04T00:00:00"/>
    <s v="06-07-2024"/>
    <d v="1899-12-30T00:00:00"/>
    <s v="Subway"/>
    <s v="Pune"/>
    <s v="Mughlai"/>
    <n v="50"/>
    <n v="3"/>
    <s v="54mins"/>
    <n v="696"/>
    <n v="120"/>
    <x v="1"/>
    <s v="Delivered"/>
    <n v="2"/>
    <s v="Zomato Valet"/>
    <n v="59"/>
  </r>
  <r>
    <s v="ZOM-10351"/>
    <d v="2026-04-11T00:00:00"/>
    <s v="17-03-2024"/>
    <d v="1899-12-30T00:00:00"/>
    <s v="Dominos Pizza"/>
    <s v="Lucknow"/>
    <s v="Desserts"/>
    <n v="52"/>
    <n v="2.7"/>
    <s v="59mins"/>
    <n v="2379"/>
    <n v="100"/>
    <x v="0"/>
    <s v="Refunded"/>
    <n v="2"/>
    <s v="Grab"/>
    <n v="119"/>
  </r>
  <r>
    <s v="ZOM-10352"/>
    <d v="2026-05-09T00:00:00"/>
    <s v="29-06-2024"/>
    <d v="1899-12-30T00:00:00"/>
    <s v="Subway"/>
    <s v="Delhi"/>
    <s v="Mughlai"/>
    <n v="64"/>
    <n v="2.5"/>
    <s v="77mins"/>
    <n v="534"/>
    <n v="0"/>
    <x v="5"/>
    <s v="Delivered"/>
    <n v="0"/>
    <s v="In-House"/>
    <m/>
  </r>
  <r>
    <s v="ZOM-10354"/>
    <d v="2026-08-04T00:00:00"/>
    <s v="24-04-2024"/>
    <d v="1899-12-30T00:00:00"/>
    <s v="Kfc"/>
    <s v="Lucknow"/>
    <s v="Fast Food"/>
    <n v="50"/>
    <n v="1.5"/>
    <s v="16mins"/>
    <n v="842"/>
    <n v="0.15"/>
    <x v="2"/>
    <s v="Delivered"/>
    <n v="9"/>
    <s v="Zomato Valet"/>
    <n v="88"/>
  </r>
  <r>
    <s v="ZOM-10355"/>
    <d v="2026-01-15T00:00:00"/>
    <s v="19-01-2024"/>
    <d v="1899-12-30T00:00:00"/>
    <s v="Faasos"/>
    <s v="Calcutta"/>
    <s v="Desserts, Desserts"/>
    <n v="56"/>
    <n v="1.9"/>
    <s v="76mins"/>
    <n v="1583"/>
    <n v="150"/>
    <x v="1"/>
    <s v="Delvrd"/>
    <n v="3"/>
    <s v="Unknown"/>
    <n v="12"/>
  </r>
  <r>
    <s v="ZOM-10356"/>
    <d v="2026-02-04T00:00:00"/>
    <s v="28-03-2024"/>
    <d v="1899-12-30T00:00:00"/>
    <s v="Chai Point"/>
    <s v="Pune"/>
    <s v="Street Food"/>
    <n v="48"/>
    <n v="3.8"/>
    <s v="23mins"/>
    <n v="719"/>
    <n v="0.2"/>
    <x v="7"/>
    <s v="Cancelled"/>
    <n v="6"/>
    <s v="Rapido"/>
    <n v="117"/>
  </r>
  <r>
    <s v="ZOM-10357"/>
    <d v="2026-06-10T00:00:00"/>
    <s v="05-02-2024"/>
    <d v="1899-12-30T00:00:00"/>
    <s v="Faasos"/>
    <s v="Lucknow"/>
    <s v="Biryani"/>
    <n v="29"/>
    <n v="4.2"/>
    <s v="65mins"/>
    <n v="1273"/>
    <n v="120"/>
    <x v="5"/>
    <s v="Delivered"/>
    <n v="0"/>
    <s v="Shadowfax"/>
    <n v="83"/>
  </r>
  <r>
    <s v="ZOM-10358"/>
    <d v="2026-03-08T00:00:00"/>
    <s v="10-05-2024"/>
    <d v="1899-12-30T00:00:00"/>
    <s v="Burger King"/>
    <s v="Ahmedabad"/>
    <s v="South Indian"/>
    <n v="35"/>
    <n v="3.1"/>
    <s v="21 mins"/>
    <n v="2323"/>
    <n v="0.6"/>
    <x v="6"/>
    <s v="Refunded"/>
    <n v="4"/>
    <s v="Shadowfax"/>
    <n v="168"/>
  </r>
  <r>
    <s v="ZOM-10359"/>
    <d v="2026-04-25T00:00:00"/>
    <s v="06-01-2024"/>
    <d v="1899-12-30T00:00:00"/>
    <s v="Dominos Pizza"/>
    <s v="Delhi"/>
    <s v="Biryani"/>
    <n v="33"/>
    <n v="1.7"/>
    <s v="29 mins"/>
    <n v="500"/>
    <n v="100"/>
    <x v="7"/>
    <s v="Cancelled"/>
    <n v="8"/>
    <s v="Shadowfax"/>
    <n v="123"/>
  </r>
  <r>
    <s v="ZOM-10360"/>
    <d v="2026-04-27T00:00:00"/>
    <s v="21-06-2024"/>
    <d v="1899-12-30T00:00:00"/>
    <s v="Wow! Momo"/>
    <s v="Pune"/>
    <s v="South Indian"/>
    <n v="31"/>
    <n v="2.4"/>
    <s v="52mins"/>
    <n v="2258"/>
    <n v="0"/>
    <x v="1"/>
    <s v="Pending"/>
    <n v="1"/>
    <s v="Grab"/>
    <n v="60"/>
  </r>
  <r>
    <s v="ZOM-10361"/>
    <d v="2026-12-27T00:00:00"/>
    <s v="07-03-2024"/>
    <d v="1899-12-30T00:00:00"/>
    <s v="Dominos Pizza"/>
    <s v="Delhi"/>
    <s v="South Indian"/>
    <n v="34"/>
    <n v="4.7"/>
    <s v="52mins"/>
    <n v="457"/>
    <n v="50"/>
    <x v="4"/>
    <s v="Delivered"/>
    <n v="3"/>
    <s v="Dunzo"/>
    <n v="215"/>
  </r>
  <r>
    <s v="ZOM-10000"/>
    <d v="2026-02-18T00:00:00"/>
    <s v="04-27-2024"/>
    <d v="1899-12-30T18:03:00"/>
    <s v="Faasos"/>
    <s v="Ahmedabad"/>
    <s v="Bakery"/>
    <n v="44"/>
    <n v="4.4000000000000004"/>
    <s v="17 mins"/>
    <n v="612"/>
    <n v="0.2"/>
    <x v="0"/>
    <s v="Unknown"/>
    <n v="1"/>
    <s v="Shadowfax"/>
    <n v="31"/>
  </r>
  <r>
    <s v="ZOM-10364"/>
    <d v="2026-08-21T00:00:00"/>
    <s v="15-06-2024"/>
    <d v="1899-12-30T00:00:00"/>
    <s v="Unknown"/>
    <s v="Hyderabad"/>
    <s v="Mughlai"/>
    <n v="33"/>
    <n v="4.5999999999999996"/>
    <s v="52mins"/>
    <n v="1010"/>
    <n v="150"/>
    <x v="2"/>
    <s v="Delivered"/>
    <n v="8"/>
    <s v="Zomato Valet"/>
    <n v="224"/>
  </r>
  <r>
    <s v="ZOM-10365"/>
    <d v="2026-01-13T00:00:00"/>
    <s v="01-07-2024"/>
    <d v="1899-12-30T00:00:00"/>
    <s v="Bikanervala"/>
    <s v="Chennai"/>
    <s v="Biryani"/>
    <n v="49"/>
    <n v="3.1"/>
    <s v="79mins"/>
    <n v="280"/>
    <n v="100"/>
    <x v="5"/>
    <s v="Refunded"/>
    <n v="10"/>
    <s v="Grab"/>
    <m/>
  </r>
  <r>
    <s v="ZOM-10366"/>
    <d v="2026-12-12T00:00:00"/>
    <s v="02-19-2024"/>
    <d v="1899-12-30T14:15:00"/>
    <s v="Barbeque Nation"/>
    <s v="Mumbai"/>
    <s v="Mughlai"/>
    <n v="61"/>
    <n v="1.3"/>
    <s v="58mins"/>
    <n v="1588"/>
    <n v="75"/>
    <x v="7"/>
    <s v="Refunded"/>
    <n v="10"/>
    <s v="Rapido"/>
    <n v="177"/>
  </r>
  <r>
    <s v="ZOM-10367"/>
    <d v="2026-06-22T00:00:00"/>
    <s v="10-03-2024"/>
    <d v="1899-12-30T00:00:00"/>
    <s v="Burger King"/>
    <s v="Kolkata"/>
    <s v="Street Food"/>
    <n v="27"/>
    <n v="3.8"/>
    <s v="67mins"/>
    <n v="1887"/>
    <n v="0.1"/>
    <x v="4"/>
    <s v="Delivered"/>
    <n v="7"/>
    <s v="Grab"/>
    <n v="70"/>
  </r>
  <r>
    <s v="ZOM-10368"/>
    <d v="2026-02-13T00:00:00"/>
    <s v="05-05-2024"/>
    <d v="1899-12-30T00:00:00"/>
    <s v="Subway"/>
    <s v="Chennai"/>
    <s v="South Indian, North Indian"/>
    <n v="45"/>
    <n v="1.4"/>
    <s v="34mins"/>
    <n v="500"/>
    <n v="0.15"/>
    <x v="5"/>
    <s v="Refunded"/>
    <n v="5"/>
    <s v="Dunzo"/>
    <m/>
  </r>
  <r>
    <s v="ZOM-10000"/>
    <d v="2026-09-30T00:00:00"/>
    <s v="19-02-2024"/>
    <d v="1899-12-30T00:00:00"/>
    <s v="Paradise Biryani"/>
    <s v="Lucknow"/>
    <s v="Bakery"/>
    <n v="49"/>
    <n v="3.8"/>
    <s v="15 mins"/>
    <n v="2148"/>
    <n v="100"/>
    <x v="5"/>
    <s v="Delivered"/>
    <n v="5"/>
    <s v="In-House"/>
    <n v="31"/>
  </r>
  <r>
    <s v="ZOM-10370"/>
    <d v="2026-02-04T00:00:00"/>
    <s v="31-01-2024"/>
    <d v="1899-12-30T00:00:00"/>
    <s v="Paradise Biryani"/>
    <s v="Chennai"/>
    <s v="South Indian"/>
    <n v="37"/>
    <n v="1.8"/>
    <s v="19mins"/>
    <n v="987"/>
    <n v="0.1"/>
    <x v="0"/>
    <s v="Delivered"/>
    <n v="6"/>
    <s v="Grab"/>
    <n v="239"/>
  </r>
  <r>
    <s v="ZOM-10372"/>
    <d v="2026-06-14T00:00:00"/>
    <s v="31-05-2024"/>
    <d v="1899-12-30T00:00:00"/>
    <s v="Unknown"/>
    <s v="Unknown"/>
    <s v="Bakery"/>
    <n v="47"/>
    <n v="3.4"/>
    <s v="35 mins"/>
    <n v="2107"/>
    <n v="0.1"/>
    <x v="4"/>
    <s v="Failed"/>
    <n v="1"/>
    <s v="Unknown"/>
    <n v="55"/>
  </r>
  <r>
    <s v="ZOM-10374"/>
    <d v="2026-08-04T00:00:00"/>
    <s v="12-06-2024"/>
    <d v="1899-12-30T00:00:00"/>
    <s v="Barbeque Nation"/>
    <s v="Hyderabad"/>
    <s v="Biryani"/>
    <n v="52"/>
    <n v="1.5"/>
    <s v="50mins"/>
    <n v="1989"/>
    <n v="0"/>
    <x v="4"/>
    <s v="Delivered"/>
    <n v="2"/>
    <s v="Zomato Valet"/>
    <n v="92"/>
  </r>
  <r>
    <s v="ZOM-10376"/>
    <d v="2026-09-09T00:00:00"/>
    <s v="05-21-2024"/>
    <d v="1899-12-30T18:49:00"/>
    <s v="Kfc"/>
    <s v="Hyderabad"/>
    <s v="South Indian"/>
    <n v="34"/>
    <n v="5"/>
    <s v="67mins"/>
    <n v="2456"/>
    <n v="0.5"/>
    <x v="5"/>
    <s v="Refunded"/>
    <n v="9"/>
    <s v="Rapido"/>
    <n v="43"/>
  </r>
  <r>
    <s v="ZOM-10377"/>
    <d v="2026-02-19T00:00:00"/>
    <s v="01-02-2024"/>
    <d v="1899-12-30T00:00:00"/>
    <s v="Chai Point"/>
    <s v="Jaipur"/>
    <s v="Street Food"/>
    <n v="60"/>
    <n v="4.5999999999999996"/>
    <s v="20mins"/>
    <n v="862"/>
    <n v="0"/>
    <x v="5"/>
    <s v="Unknown"/>
    <n v="1"/>
    <s v="Grab"/>
    <n v="45"/>
  </r>
  <r>
    <s v="ZOM-10378"/>
    <d v="2026-11-14T00:00:00"/>
    <s v="04-03-2024"/>
    <d v="1899-12-30T00:00:00"/>
    <s v="Barbeque Nation"/>
    <s v="Delhi"/>
    <s v="Street Food"/>
    <n v="54"/>
    <n v="4.0999999999999996"/>
    <s v="50 mins"/>
    <n v="686"/>
    <n v="100"/>
    <x v="4"/>
    <s v="Delivered"/>
    <n v="10"/>
    <s v="Zomato Valet"/>
    <m/>
  </r>
  <r>
    <s v="ZOM-10379"/>
    <d v="2026-11-02T00:00:00"/>
    <s v="07-10-2024"/>
    <d v="1899-12-30T08:38:00"/>
    <s v="Chai Point"/>
    <s v="Bangalore"/>
    <s v="North Indian"/>
    <n v="25"/>
    <n v="3.6"/>
    <s v="16mins"/>
    <n v="1104"/>
    <n v="50"/>
    <x v="1"/>
    <s v="Delivered"/>
    <n v="4"/>
    <s v="In-House"/>
    <n v="18"/>
  </r>
  <r>
    <s v="ZOM-10380"/>
    <d v="2026-08-29T00:00:00"/>
    <s v="05-05-2024"/>
    <d v="1899-12-30T00:00:00"/>
    <s v="Unknown"/>
    <s v="Ahmedabad"/>
    <s v="Mughlai"/>
    <n v="36"/>
    <n v="2.7"/>
    <s v="15 mins"/>
    <n v="1990"/>
    <n v="75"/>
    <x v="5"/>
    <s v="Refunded"/>
    <n v="8"/>
    <s v="Shadowfax"/>
    <n v="178"/>
  </r>
  <r>
    <s v="ZOM-10381"/>
    <d v="2026-07-07T00:00:00"/>
    <s v="05-21-2024"/>
    <d v="1899-12-30T17:23:00"/>
    <s v="Barbeque Nation"/>
    <s v="Kolkata"/>
    <s v="Unknown"/>
    <n v="24"/>
    <n v="2.1"/>
    <s v="38mins"/>
    <n v="1614"/>
    <n v="0"/>
    <x v="0"/>
    <s v="Delivered"/>
    <n v="5"/>
    <s v="In-House"/>
    <n v="186"/>
  </r>
  <r>
    <s v="ZOM-10382"/>
    <d v="2026-01-01T00:00:00"/>
    <s v="03-06-2024"/>
    <d v="1899-12-30T00:00:00"/>
    <s v="Haldiram'S"/>
    <s v="Chennai"/>
    <s v="Mughlai"/>
    <n v="54"/>
    <n v="1.9"/>
    <s v="41mins"/>
    <n v="1232"/>
    <n v="0"/>
    <x v="1"/>
    <s v="Cancelled"/>
    <n v="5"/>
    <s v="Zomato Valet"/>
    <n v="247"/>
  </r>
  <r>
    <s v="ZOM-10383"/>
    <d v="2026-08-06T00:00:00"/>
    <s v="24-01-2024"/>
    <d v="1899-12-30T00:00:00"/>
    <s v="Chai Point"/>
    <s v="Hyderabad"/>
    <s v="North Indian"/>
    <n v="39"/>
    <n v="3"/>
    <s v="51 mins"/>
    <n v="781"/>
    <n v="0.2"/>
    <x v="2"/>
    <s v="Unknown"/>
    <n v="3"/>
    <s v="Shadowfax"/>
    <n v="21"/>
  </r>
  <r>
    <s v="ZOM-10384"/>
    <d v="2026-02-25T00:00:00"/>
    <s v="16-01-2024"/>
    <d v="1899-12-30T00:00:00"/>
    <s v="Chai Point"/>
    <s v="Kolkata"/>
    <s v="Fast Food, Desserts"/>
    <n v="18"/>
    <n v="4.4000000000000004"/>
    <s v="25mins"/>
    <n v="1939"/>
    <n v="0.1"/>
    <x v="2"/>
    <s v="Delivered"/>
    <n v="10"/>
    <s v="Rapido"/>
    <n v="28"/>
  </r>
  <r>
    <s v="ZOM-10385"/>
    <d v="2026-07-17T00:00:00"/>
    <s v="24-04-2024"/>
    <d v="1899-12-30T00:00:00"/>
    <s v="Paradise Biryani"/>
    <s v="Delhi"/>
    <s v="Mughlai"/>
    <n v="21"/>
    <n v="3.8"/>
    <s v="29mins"/>
    <n v="1453"/>
    <n v="150"/>
    <x v="1"/>
    <s v="Cancelled"/>
    <n v="10"/>
    <s v="Rapido"/>
    <n v="102"/>
  </r>
  <r>
    <s v="ZOM-10386"/>
    <d v="2026-05-27T00:00:00"/>
    <s v="26-03-2024"/>
    <d v="1899-12-30T00:00:00"/>
    <s v="Unknown"/>
    <s v="Ahmedabad"/>
    <s v="Chinese, Fast Food"/>
    <n v="22"/>
    <n v="3.5"/>
    <s v="63 mins"/>
    <n v="886"/>
    <n v="0.2"/>
    <x v="6"/>
    <s v="Delivered"/>
    <n v="1"/>
    <s v="Zomato Valet"/>
    <n v="187"/>
  </r>
  <r>
    <s v="ORD_116"/>
    <d v="2026-02-18T00:00:00"/>
    <s v="03-03-2024"/>
    <d v="1899-12-30T00:00:00"/>
    <s v="Kfc"/>
    <s v="Pune"/>
    <s v="Biryani"/>
    <n v="18"/>
    <n v="1.7"/>
    <s v="20mins"/>
    <n v="500"/>
    <n v="100"/>
    <x v="4"/>
    <s v="Delivered"/>
    <n v="0"/>
    <s v="Rapido"/>
    <n v="203"/>
  </r>
  <r>
    <s v="ZOM-10389"/>
    <d v="2026-02-21T00:00:00"/>
    <s v="13-01-2024"/>
    <d v="1899-12-30T00:00:00"/>
    <s v="Burger King"/>
    <s v="Delhi"/>
    <s v="Fast Food"/>
    <n v="30"/>
    <n v="4.0999999999999996"/>
    <s v="23mins"/>
    <n v="1071"/>
    <n v="50"/>
    <x v="1"/>
    <s v="Delivered"/>
    <n v="7"/>
    <s v="Dunzo"/>
    <n v="59"/>
  </r>
  <r>
    <s v="ZOM-10390"/>
    <d v="2026-11-16T00:00:00"/>
    <s v="15-05-2024"/>
    <d v="1899-12-30T00:00:00"/>
    <s v="Burger King"/>
    <s v="Pune"/>
    <s v="Desserts"/>
    <n v="29"/>
    <n v="1.9"/>
    <s v="58mins"/>
    <n v="1413"/>
    <n v="0.1"/>
    <x v="1"/>
    <s v="Refunded"/>
    <n v="9"/>
    <s v="Rapido"/>
    <n v="5"/>
  </r>
  <r>
    <s v="ZOM-10391"/>
    <d v="2026-09-04T00:00:00"/>
    <s v="12-05-2024"/>
    <d v="1899-12-30T00:00:00"/>
    <s v="Burger King"/>
    <s v="Delhi"/>
    <s v="North Indian"/>
    <n v="40"/>
    <n v="3.1"/>
    <s v="30mins"/>
    <n v="1059"/>
    <n v="0.1"/>
    <x v="0"/>
    <s v="Delivered"/>
    <n v="10"/>
    <s v="Zomato Valet"/>
    <n v="8"/>
  </r>
  <r>
    <s v="ZOM-10392"/>
    <d v="2026-02-14T00:00:00"/>
    <s v="04-14-2024"/>
    <d v="1899-12-30T01:11:00"/>
    <s v="Haldiram'S"/>
    <s v="Chennai"/>
    <s v="Italian"/>
    <n v="18"/>
    <n v="1.8"/>
    <s v="15 mins"/>
    <n v="2049"/>
    <n v="0.5"/>
    <x v="0"/>
    <s v="Delivered"/>
    <n v="8"/>
    <s v="Dunzo"/>
    <n v="117"/>
  </r>
  <r>
    <s v="ZOM-10393"/>
    <d v="2026-10-02T00:00:00"/>
    <s v="07-06-2024"/>
    <d v="1899-12-30T00:00:00"/>
    <s v="Kfc"/>
    <s v="Lucknow"/>
    <s v="Bakery"/>
    <n v="48"/>
    <n v="1.1000000000000001"/>
    <s v="41 mins"/>
    <n v="583"/>
    <n v="0.15"/>
    <x v="7"/>
    <s v="Refunded"/>
    <n v="1"/>
    <s v="In-House"/>
    <n v="37"/>
  </r>
  <r>
    <s v="ZOM-10394"/>
    <d v="2026-10-09T00:00:00"/>
    <m/>
    <d v="1899-12-30T00:00:00"/>
    <s v="Kfc"/>
    <s v="Delhi"/>
    <s v="Italian, North Indian"/>
    <n v="21"/>
    <n v="1.8"/>
    <s v="26mins"/>
    <n v="2067"/>
    <n v="0.5"/>
    <x v="0"/>
    <s v="Cancelled"/>
    <n v="1"/>
    <s v="Grab"/>
    <n v="109"/>
  </r>
  <r>
    <s v="ZOM-10395"/>
    <d v="2026-03-26T00:00:00"/>
    <s v="23-05-2024"/>
    <d v="1899-12-30T00:00:00"/>
    <s v="Chai Point"/>
    <s v="Delhi"/>
    <s v="Street Food"/>
    <n v="60"/>
    <n v="3.9"/>
    <s v="67mins"/>
    <n v="230"/>
    <n v="0.1"/>
    <x v="0"/>
    <s v="Pending"/>
    <n v="10"/>
    <s v="In-House"/>
    <n v="109"/>
  </r>
  <r>
    <s v="ZOM-10396"/>
    <d v="2026-08-22T00:00:00"/>
    <s v="06-03-2024"/>
    <d v="1899-12-30T00:00:00"/>
    <s v="Subway"/>
    <s v="Lucknow"/>
    <s v="Biryani"/>
    <n v="61"/>
    <n v="4.9000000000000004"/>
    <s v="52mins"/>
    <n v="466"/>
    <n v="150"/>
    <x v="7"/>
    <s v="Delivered"/>
    <n v="4"/>
    <s v="Shadowfax"/>
    <n v="197"/>
  </r>
  <r>
    <s v="ZOM-10397"/>
    <d v="2026-08-02T00:00:00"/>
    <s v="17-07-2024"/>
    <d v="1899-12-30T00:00:00"/>
    <s v="Wow! Momo"/>
    <s v="Delhi"/>
    <s v="South Indian"/>
    <n v="29"/>
    <n v="2.2000000000000002"/>
    <s v="44mins"/>
    <n v="1358"/>
    <n v="120"/>
    <x v="5"/>
    <s v="Delivered"/>
    <n v="1"/>
    <s v="Dunzo"/>
    <n v="41"/>
  </r>
  <r>
    <s v="ZOM-10398"/>
    <d v="2026-08-16T00:00:00"/>
    <s v="28-03-2024"/>
    <d v="1899-12-30T00:00:00"/>
    <s v="Barbeque Nation"/>
    <s v="Kolkata"/>
    <s v="Desserts, Chinese"/>
    <n v="18"/>
    <n v="2.7"/>
    <s v="33mins"/>
    <n v="1944"/>
    <n v="0.2"/>
    <x v="0"/>
    <s v="Delivered"/>
    <n v="9"/>
    <s v="Dunzo"/>
    <n v="70"/>
  </r>
  <r>
    <s v="ZOM-10400"/>
    <d v="2026-09-07T00:00:00"/>
    <s v="10-03-2024"/>
    <d v="1899-12-30T00:00:00"/>
    <s v="Paradise Biryani"/>
    <s v="Ahmedabad"/>
    <s v="Italian"/>
    <n v="23"/>
    <n v="3"/>
    <s v="75mins"/>
    <n v="2316"/>
    <n v="120"/>
    <x v="1"/>
    <s v="Delivered"/>
    <n v="2"/>
    <s v="Shadowfax"/>
    <n v="51"/>
  </r>
  <r>
    <s v="ZOM-10401"/>
    <d v="2026-08-14T00:00:00"/>
    <s v="13-02-2024"/>
    <d v="1899-12-30T00:00:00"/>
    <s v="Subw@Y"/>
    <s v="Bangalore"/>
    <s v="Unknown"/>
    <n v="45"/>
    <n v="3.1"/>
    <s v="31mins"/>
    <n v="1233"/>
    <n v="100"/>
    <x v="0"/>
    <s v="Delivered"/>
    <n v="3"/>
    <s v="Rapido"/>
    <n v="51"/>
  </r>
  <r>
    <s v="ZOM-10402"/>
    <d v="2026-04-09T00:00:00"/>
    <s v="11-03-2024"/>
    <d v="1899-12-30T00:00:00"/>
    <s v="Dominos Pizza"/>
    <s v="Jaipur"/>
    <s v="Mughlai"/>
    <n v="18"/>
    <n v="1.4"/>
    <s v="38mins"/>
    <n v="364"/>
    <n v="100"/>
    <x v="4"/>
    <s v="Delivered"/>
    <n v="4"/>
    <s v="Rapido"/>
    <n v="90"/>
  </r>
  <r>
    <s v="ZOM-10403"/>
    <d v="2026-06-05T00:00:00"/>
    <s v="27-03-2024"/>
    <d v="1899-12-30T00:00:00"/>
    <s v="Paradise Biryani"/>
    <s v="Lucknow"/>
    <s v="South Indian"/>
    <n v="33"/>
    <n v="3.1"/>
    <s v="16mins"/>
    <n v="500"/>
    <n v="0"/>
    <x v="1"/>
    <s v="Refunded"/>
    <n v="6"/>
    <s v="Zomato Valet"/>
    <n v="68"/>
  </r>
  <r>
    <s v="ZOM-10404"/>
    <d v="2026-02-19T00:00:00"/>
    <s v="06-07-2024"/>
    <d v="1899-12-30T00:00:00"/>
    <s v="Barbeque Nation"/>
    <s v="Ahmedabad"/>
    <s v="Street Food"/>
    <n v="36"/>
    <n v="4.5"/>
    <s v="31mins"/>
    <n v="500"/>
    <n v="0.1"/>
    <x v="7"/>
    <s v="Delivered"/>
    <n v="9"/>
    <s v="Dunzo"/>
    <n v="120"/>
  </r>
  <r>
    <s v="ZOM-10405"/>
    <d v="2026-08-30T00:00:00"/>
    <s v="17-01-2024"/>
    <d v="1899-12-30T00:00:00"/>
    <s v="Kfc"/>
    <s v="Delhi"/>
    <s v="Fast Food"/>
    <n v="52"/>
    <n v="3.6"/>
    <s v="15 mins"/>
    <n v="1585"/>
    <n v="120"/>
    <x v="0"/>
    <s v="Delivered"/>
    <n v="10"/>
    <s v="Rapido"/>
    <n v="157"/>
  </r>
  <r>
    <s v="ZOM-10406"/>
    <d v="2026-07-26T00:00:00"/>
    <s v="27-05-2024"/>
    <d v="1899-12-30T00:00:00"/>
    <s v="Unknown"/>
    <s v="Jaipur"/>
    <s v="Fast Food"/>
    <n v="19"/>
    <n v="4.5"/>
    <s v="64mins"/>
    <n v="1027"/>
    <n v="120"/>
    <x v="6"/>
    <s v="Delivered"/>
    <n v="6"/>
    <s v="Dunzo"/>
    <n v="93"/>
  </r>
  <r>
    <s v="ZOM-10407"/>
    <d v="2026-09-29T00:00:00"/>
    <s v="05-06-2024"/>
    <d v="1899-12-30T00:00:00"/>
    <s v="Dominos Pizza"/>
    <s v="Kolkata"/>
    <s v="Chinese"/>
    <n v="43"/>
    <n v="1.3"/>
    <s v="56mins"/>
    <n v="564"/>
    <n v="100"/>
    <x v="4"/>
    <s v="Delivered"/>
    <n v="4"/>
    <s v="Dunzo"/>
    <n v="42"/>
  </r>
  <r>
    <s v="ZOM-10409"/>
    <d v="2026-07-05T00:00:00"/>
    <s v="25-02-2024"/>
    <d v="1899-12-30T00:00:00"/>
    <s v="Dominos Pizza"/>
    <s v="Hyderabad"/>
    <s v="North Indian"/>
    <n v="59"/>
    <n v="2.1"/>
    <s v="26mins"/>
    <n v="204"/>
    <n v="120"/>
    <x v="7"/>
    <s v="Delivered"/>
    <n v="8"/>
    <s v="Zomato Valet"/>
    <n v="199"/>
  </r>
  <r>
    <s v="ZOM-10410"/>
    <d v="2026-11-22T00:00:00"/>
    <s v="11-02-2024"/>
    <d v="1899-12-30T00:00:00"/>
    <s v="Wow! Momo"/>
    <s v="Chennai"/>
    <s v="Mughlai"/>
    <n v="63"/>
    <n v="2.2999999999999998"/>
    <s v="50mins"/>
    <n v="1408"/>
    <n v="75"/>
    <x v="5"/>
    <s v="Delivered"/>
    <n v="2"/>
    <s v="In-House"/>
    <n v="35"/>
  </r>
  <r>
    <s v="ZOM-10411"/>
    <d v="2026-11-20T00:00:00"/>
    <s v="03-19-2024"/>
    <d v="1899-12-30T12:42:00"/>
    <s v="Chai Point"/>
    <s v="Mumbai"/>
    <s v="North Indian"/>
    <n v="45"/>
    <n v="1.7"/>
    <s v="34 mins"/>
    <n v="797"/>
    <n v="100"/>
    <x v="7"/>
    <s v="Cancelled"/>
    <n v="5"/>
    <s v="In-House"/>
    <n v="37"/>
  </r>
  <r>
    <s v="ZOM-10412"/>
    <d v="2026-01-27T00:00:00"/>
    <s v="04-04-2024"/>
    <d v="1899-12-30T00:00:00"/>
    <s v="Haldiram'S"/>
    <s v="Mumbai"/>
    <s v="Chinese"/>
    <n v="57"/>
    <n v="2.5"/>
    <s v="15 mins"/>
    <n v="334"/>
    <n v="0.15"/>
    <x v="3"/>
    <s v="Cancelled"/>
    <n v="8"/>
    <s v="Shadowfax"/>
    <n v="78"/>
  </r>
  <r>
    <s v="ZOM-10413"/>
    <d v="2026-03-17T00:00:00"/>
    <s v="09-06-2024"/>
    <d v="1899-12-30T00:00:00"/>
    <s v="Subway"/>
    <s v="Bangalore"/>
    <s v="Mughlai"/>
    <n v="21"/>
    <n v="1.7"/>
    <s v="30mins"/>
    <n v="1656"/>
    <n v="50"/>
    <x v="4"/>
    <s v="Delivered"/>
    <n v="1"/>
    <s v="Dunzo"/>
    <n v="235"/>
  </r>
  <r>
    <s v="ZOM-10414"/>
    <d v="2026-05-21T00:00:00"/>
    <s v="02-13-2024"/>
    <d v="1899-12-30T03:26:00"/>
    <s v="Kfc"/>
    <s v="Jaipur"/>
    <s v="Desserts"/>
    <n v="31"/>
    <n v="4.8"/>
    <s v="30mins"/>
    <n v="1284"/>
    <n v="100"/>
    <x v="4"/>
    <s v="Delivered"/>
    <n v="8"/>
    <s v="Rapido"/>
    <n v="215"/>
  </r>
  <r>
    <s v="ZOM-10415"/>
    <d v="2026-03-26T00:00:00"/>
    <s v="01-01-2024"/>
    <d v="1899-12-30T00:00:00"/>
    <s v="Paradise Biryani"/>
    <s v="Lucknow"/>
    <s v="South Indian"/>
    <n v="53"/>
    <n v="3.1"/>
    <s v="16 mins"/>
    <n v="2053"/>
    <n v="0"/>
    <x v="5"/>
    <s v="Delvrd"/>
    <n v="9"/>
    <s v="Grab"/>
    <n v="212"/>
  </r>
  <r>
    <s v="ZOM-10000"/>
    <d v="2026-03-16T00:00:00"/>
    <s v="18-03-2024"/>
    <d v="1899-12-30T00:00:00"/>
    <s v="Faasos"/>
    <s v="Delhi"/>
    <s v="Bakery"/>
    <n v="58"/>
    <n v="1.6"/>
    <s v="22 mins"/>
    <n v="2183"/>
    <n v="100"/>
    <x v="2"/>
    <s v="Delivered"/>
    <n v="3"/>
    <s v="Zomato Valet"/>
    <n v="67"/>
  </r>
  <r>
    <s v="ZOM-10418"/>
    <d v="2026-06-03T00:00:00"/>
    <s v="13-07-2024"/>
    <d v="1899-12-30T00:00:00"/>
    <s v="Dominos Pizza"/>
    <s v="Hyderabad"/>
    <s v="Fast Food"/>
    <n v="24"/>
    <n v="4.0999999999999996"/>
    <s v="20 mins"/>
    <n v="797"/>
    <n v="150"/>
    <x v="7"/>
    <s v="Refunded"/>
    <n v="3"/>
    <s v="Zomato Valet"/>
    <n v="151"/>
  </r>
  <r>
    <s v="ZOM-10419"/>
    <d v="2026-03-29T00:00:00"/>
    <m/>
    <d v="1899-12-30T00:00:00"/>
    <s v="Dominos Pizza"/>
    <s v="Lucknow"/>
    <s v="South Indian"/>
    <n v="40"/>
    <n v="3.2"/>
    <s v="31mins"/>
    <n v="500"/>
    <n v="150"/>
    <x v="6"/>
    <s v="Delivered"/>
    <n v="3"/>
    <s v="Grab"/>
    <n v="60"/>
  </r>
  <r>
    <s v="ZOM-10421"/>
    <d v="2026-09-25T00:00:00"/>
    <s v="04-03-2024"/>
    <d v="1899-12-30T00:00:00"/>
    <s v="H@Ldir@M'S"/>
    <s v="Delhi"/>
    <s v="Street Food"/>
    <n v="44"/>
    <n v="1.4"/>
    <s v="26mins"/>
    <n v="1284"/>
    <n v="0"/>
    <x v="0"/>
    <s v="Delivered"/>
    <n v="2"/>
    <s v="Dunzo"/>
    <m/>
  </r>
  <r>
    <s v="ZOM-10422"/>
    <d v="2026-08-29T00:00:00"/>
    <s v="28-04-2024"/>
    <d v="1899-12-30T00:00:00"/>
    <s v="Bikanervala"/>
    <s v="Ahmedabad"/>
    <s v="Unknown"/>
    <n v="29"/>
    <n v="4.4000000000000004"/>
    <s v="72mins"/>
    <n v="1134"/>
    <n v="0.1"/>
    <x v="4"/>
    <s v="Cancelled"/>
    <n v="10"/>
    <s v="Grab"/>
    <n v="230"/>
  </r>
  <r>
    <s v="ZOM-10423"/>
    <d v="2026-02-17T00:00:00"/>
    <s v="21-04-2024"/>
    <d v="1899-12-30T00:00:00"/>
    <s v="Chai Point"/>
    <s v="Unknown"/>
    <s v="Biryani"/>
    <n v="55"/>
    <n v="2.5"/>
    <s v="22 mins"/>
    <n v="240"/>
    <n v="0"/>
    <x v="6"/>
    <s v="Refunded"/>
    <n v="2"/>
    <s v="In-House"/>
    <n v="153"/>
  </r>
  <r>
    <s v="ZOM-10424"/>
    <d v="2026-05-19T00:00:00"/>
    <s v="19-06-2024"/>
    <d v="1899-12-30T00:00:00"/>
    <s v="Unknown"/>
    <s v="Lucknow"/>
    <s v="Bakery"/>
    <n v="43"/>
    <n v="3.1"/>
    <s v="43mins"/>
    <n v="1662"/>
    <n v="150"/>
    <x v="0"/>
    <s v="Refunded"/>
    <n v="3"/>
    <s v="Shadowfax"/>
    <n v="80"/>
  </r>
  <r>
    <s v="ZOM-10425"/>
    <d v="2026-12-16T00:00:00"/>
    <s v="14-07-2024"/>
    <d v="1899-12-30T00:00:00"/>
    <s v="Dominos Pizza"/>
    <s v="Lucknow"/>
    <s v="North Indian"/>
    <n v="60"/>
    <n v="1.9"/>
    <s v="44 mins"/>
    <n v="2071"/>
    <n v="0.1"/>
    <x v="2"/>
    <s v="Delivered"/>
    <n v="9"/>
    <s v="Zomato Valet"/>
    <n v="168"/>
  </r>
  <r>
    <s v="ZOM-10428"/>
    <d v="2026-08-05T00:00:00"/>
    <s v="22-05-2024"/>
    <d v="1899-12-30T00:00:00"/>
    <s v="Subway"/>
    <s v="Pune"/>
    <s v="Italian"/>
    <n v="33"/>
    <n v="4.7"/>
    <s v="49mins"/>
    <n v="1198"/>
    <n v="0"/>
    <x v="0"/>
    <s v="Cancelled"/>
    <n v="7"/>
    <s v="Dunzo"/>
    <n v="86"/>
  </r>
  <r>
    <s v="ZOM-10429"/>
    <d v="2026-03-19T00:00:00"/>
    <s v="16-05-2024"/>
    <d v="1899-12-30T00:00:00"/>
    <s v="Wow! Momo"/>
    <s v="Kolkata"/>
    <s v="Street Food"/>
    <n v="22"/>
    <n v="1.3"/>
    <s v="29mins"/>
    <n v="1516"/>
    <n v="75"/>
    <x v="1"/>
    <s v="Cancelled"/>
    <n v="7"/>
    <s v="Zomato Valet"/>
    <n v="66"/>
  </r>
  <r>
    <s v="ZOM-10431"/>
    <d v="2026-04-30T00:00:00"/>
    <s v="08-06-2024"/>
    <d v="1899-12-30T00:00:00"/>
    <s v="Faasos"/>
    <s v="Lucknow"/>
    <s v="Italian"/>
    <n v="54"/>
    <n v="4.5999999999999996"/>
    <s v="36 mins"/>
    <n v="1520"/>
    <n v="0"/>
    <x v="0"/>
    <s v="Cancelled"/>
    <n v="6"/>
    <s v="Shadowfax"/>
    <n v="149"/>
  </r>
  <r>
    <s v="ZOM-10432"/>
    <d v="2026-01-22T00:00:00"/>
    <s v="23-06-2024"/>
    <d v="1899-12-30T00:00:00"/>
    <s v="Chai Point"/>
    <s v="Chennai"/>
    <s v="South Indian"/>
    <n v="49"/>
    <n v="2.5"/>
    <s v="15 mins"/>
    <n v="1681"/>
    <n v="75"/>
    <x v="7"/>
    <s v="Delivered"/>
    <n v="9"/>
    <s v="Rapido"/>
    <n v="64"/>
  </r>
  <r>
    <s v="ORD_150"/>
    <d v="2026-08-05T00:00:00"/>
    <s v="20-03-2024"/>
    <d v="1899-12-30T00:00:00"/>
    <s v="Kfc"/>
    <s v="Ahmedabad"/>
    <s v="Chinese"/>
    <n v="33"/>
    <n v="2.5"/>
    <s v="63mins"/>
    <n v="1984"/>
    <n v="0.5"/>
    <x v="5"/>
    <s v="Refunded"/>
    <n v="1"/>
    <s v="In-House"/>
    <n v="202"/>
  </r>
  <r>
    <s v="ZOM-10434"/>
    <d v="2026-10-11T00:00:00"/>
    <s v="14-07-2024"/>
    <d v="1899-12-30T00:00:00"/>
    <s v="Paradise Biryani"/>
    <s v="Lucknow"/>
    <s v="South Indian"/>
    <n v="50"/>
    <n v="2"/>
    <s v="64mins"/>
    <n v="500"/>
    <n v="120"/>
    <x v="0"/>
    <s v="Delivered"/>
    <n v="2"/>
    <s v="Shadowfax"/>
    <n v="38"/>
  </r>
  <r>
    <s v="ZOM-10435"/>
    <d v="2026-09-18T00:00:00"/>
    <s v="10-03-2024"/>
    <d v="1899-12-30T00:00:00"/>
    <s v="Behrouz Biryani"/>
    <s v="Mumbai"/>
    <s v="Chinese"/>
    <n v="32"/>
    <n v="3.8"/>
    <s v="21mins"/>
    <n v="1218"/>
    <n v="50"/>
    <x v="5"/>
    <s v="Cancelled"/>
    <n v="9"/>
    <s v="Dunzo"/>
    <n v="168"/>
  </r>
  <r>
    <s v="ZOM-10436"/>
    <d v="2026-08-11T00:00:00"/>
    <s v="19-04-2024"/>
    <d v="1899-12-30T00:00:00"/>
    <s v="Kfc"/>
    <s v="Mumbai"/>
    <s v="Mughlai"/>
    <n v="49"/>
    <n v="3.5"/>
    <s v="25mins"/>
    <n v="1193"/>
    <n v="0.15"/>
    <x v="4"/>
    <s v="Failed"/>
    <n v="2"/>
    <s v="Grab"/>
    <n v="99"/>
  </r>
  <r>
    <s v="ZOM-10437"/>
    <d v="2026-08-07T00:00:00"/>
    <s v="04-03-2024"/>
    <d v="1899-12-30T00:00:00"/>
    <s v="Behrouz Biryani"/>
    <s v="Hyderabad"/>
    <s v="Biryani"/>
    <n v="18"/>
    <n v="2.5"/>
    <s v="28mins"/>
    <n v="1345"/>
    <n v="0.5"/>
    <x v="7"/>
    <s v="Refunded"/>
    <n v="6"/>
    <s v="Dunzo"/>
    <n v="95"/>
  </r>
  <r>
    <s v="ZOM-10438"/>
    <d v="2026-11-14T00:00:00"/>
    <s v="05-01-2024"/>
    <d v="1899-12-30T20:34:00"/>
    <s v="Paradise Biryani"/>
    <s v="Chennai"/>
    <s v="Mughlai"/>
    <n v="42"/>
    <n v="3.3"/>
    <s v="80mins"/>
    <n v="1968"/>
    <n v="120"/>
    <x v="0"/>
    <s v="Cancelled"/>
    <n v="3"/>
    <s v="Dunzo"/>
    <n v="50"/>
  </r>
  <r>
    <s v="ZOM-10439"/>
    <d v="2026-11-04T00:00:00"/>
    <s v="07-04-2024"/>
    <d v="1899-12-30T00:00:00"/>
    <s v="Barbeque Nation"/>
    <s v="Bangalore"/>
    <s v="Fast Food"/>
    <n v="43"/>
    <n v="1.6"/>
    <s v="41mins"/>
    <n v="2460"/>
    <n v="0"/>
    <x v="1"/>
    <s v="Delivered"/>
    <n v="3"/>
    <s v="Unknown"/>
    <n v="148"/>
  </r>
  <r>
    <s v="ORD_148"/>
    <d v="2026-04-19T00:00:00"/>
    <m/>
    <d v="1899-12-30T00:00:00"/>
    <s v="Burger King"/>
    <s v="Bombay"/>
    <s v="Italian"/>
    <n v="18"/>
    <n v="2.6"/>
    <s v="26mins"/>
    <n v="1807"/>
    <n v="50"/>
    <x v="6"/>
    <s v="Delivered"/>
    <n v="10"/>
    <s v="Dunzo"/>
    <m/>
  </r>
  <r>
    <s v="ZOM-10443"/>
    <d v="2026-09-13T00:00:00"/>
    <s v="26-04-2024"/>
    <d v="1899-12-30T00:00:00"/>
    <s v="Wow! Momo"/>
    <s v="Mumbai"/>
    <s v="Bakery"/>
    <n v="39"/>
    <n v="4.9000000000000004"/>
    <s v="46 mins"/>
    <n v="1207"/>
    <n v="50"/>
    <x v="2"/>
    <s v="Delivered"/>
    <n v="3"/>
    <s v="Dunzo"/>
    <n v="53"/>
  </r>
  <r>
    <s v="ZOM-10446"/>
    <d v="2026-02-11T00:00:00"/>
    <s v="22-04-2024"/>
    <d v="1899-12-30T00:00:00"/>
    <s v="Barbeque Nation"/>
    <s v="Pune"/>
    <s v="Mughlai"/>
    <n v="50"/>
    <n v="2.2000000000000002"/>
    <s v="52mins"/>
    <n v="660"/>
    <n v="120"/>
    <x v="2"/>
    <s v="Delivered"/>
    <n v="8"/>
    <s v="Zomato Valet"/>
    <n v="237"/>
  </r>
  <r>
    <s v="ZOM-10447"/>
    <d v="2026-02-01T00:00:00"/>
    <s v="01-05-2024"/>
    <d v="1899-12-30T00:00:00"/>
    <s v="Wow! Momo"/>
    <s v="Kolkata"/>
    <s v="Bakery"/>
    <n v="31"/>
    <n v="4.0999999999999996"/>
    <s v="71mins"/>
    <n v="729"/>
    <n v="75"/>
    <x v="4"/>
    <s v="Delivered"/>
    <n v="10"/>
    <s v="Rapido"/>
    <n v="3"/>
  </r>
  <r>
    <s v="ZOM-10448"/>
    <d v="2026-07-11T00:00:00"/>
    <s v="18-03-2024"/>
    <d v="1899-12-30T00:00:00"/>
    <s v="Dominos Pizza"/>
    <s v="Calcutta"/>
    <s v="Desserts"/>
    <n v="43"/>
    <n v="3.5"/>
    <s v="61mins"/>
    <n v="2407"/>
    <n v="150"/>
    <x v="0"/>
    <s v="Refunded"/>
    <n v="1"/>
    <s v="In-House"/>
    <n v="3"/>
  </r>
  <r>
    <s v="ZOM-10449"/>
    <d v="2026-11-03T00:00:00"/>
    <s v="09-05-2024"/>
    <d v="1899-12-30T00:00:00"/>
    <s v="Unknown"/>
    <s v="Chennai"/>
    <s v="Italian"/>
    <n v="18"/>
    <n v="2.5"/>
    <s v="67 mins"/>
    <n v="2309"/>
    <n v="150"/>
    <x v="4"/>
    <s v="Cancelled"/>
    <n v="10"/>
    <s v="Dunzo"/>
    <n v="28"/>
  </r>
  <r>
    <s v="ZOM-10450"/>
    <d v="2026-09-25T00:00:00"/>
    <s v="21-01-2024"/>
    <d v="1899-12-30T00:00:00"/>
    <s v="Dominos Pizza"/>
    <s v="Lucknow"/>
    <s v="North Indian, Mughlai"/>
    <n v="46"/>
    <n v="4.4000000000000004"/>
    <s v="21mins"/>
    <n v="2335"/>
    <n v="75"/>
    <x v="6"/>
    <s v="Cancelled"/>
    <n v="7"/>
    <s v="Dunzo"/>
    <n v="240"/>
  </r>
  <r>
    <s v="ZOM-10000"/>
    <d v="2026-06-12T00:00:00"/>
    <s v="25-06-2024"/>
    <d v="1899-12-30T00:00:00"/>
    <s v="Burger King"/>
    <s v="Jaipur"/>
    <s v="South Indian"/>
    <n v="59"/>
    <n v="3.5"/>
    <s v="60mins"/>
    <n v="944"/>
    <n v="150"/>
    <x v="7"/>
    <s v="Delivered"/>
    <n v="10"/>
    <s v="Unknown"/>
    <n v="74"/>
  </r>
  <r>
    <s v="ZOM-10452"/>
    <d v="2026-02-20T00:00:00"/>
    <s v="20-05-2024"/>
    <d v="1899-12-30T00:00:00"/>
    <s v="Subway"/>
    <s v="Hyderabad"/>
    <s v="Fast Food"/>
    <n v="36"/>
    <n v="3.8"/>
    <s v="43mins"/>
    <n v="169"/>
    <n v="50"/>
    <x v="5"/>
    <s v="Delivered"/>
    <n v="5"/>
    <s v="Shadowfax"/>
    <n v="45"/>
  </r>
  <r>
    <s v="ZOM-10453"/>
    <d v="2026-09-17T00:00:00"/>
    <s v="17-02-2024"/>
    <d v="1899-12-30T00:00:00"/>
    <s v="Behrouz Biryani"/>
    <s v="Bombay"/>
    <s v="North Indian"/>
    <n v="18"/>
    <n v="3.5"/>
    <s v="67mins"/>
    <n v="1335"/>
    <n v="0.1"/>
    <x v="0"/>
    <s v="Delivered"/>
    <n v="8"/>
    <s v="Dunzo"/>
    <n v="104"/>
  </r>
  <r>
    <s v="ZOM-10454"/>
    <d v="2026-07-10T00:00:00"/>
    <s v="17-02-2024"/>
    <d v="1899-12-30T00:00:00"/>
    <s v="Behrouz Biryani"/>
    <s v="Hyderabad"/>
    <s v="North Indian"/>
    <n v="22"/>
    <n v="4.9000000000000004"/>
    <s v="31mins"/>
    <n v="123"/>
    <n v="0"/>
    <x v="5"/>
    <s v="Delivered"/>
    <n v="2"/>
    <s v="In-House"/>
    <n v="24"/>
  </r>
  <r>
    <s v="ZOM-10455"/>
    <d v="2026-09-28T00:00:00"/>
    <s v="13-05-2024"/>
    <d v="1899-12-30T00:00:00"/>
    <s v="Unknown"/>
    <s v="Chennai"/>
    <s v="Street Food"/>
    <n v="64"/>
    <n v="2.2999999999999998"/>
    <s v="75mins"/>
    <n v="519"/>
    <n v="0.6"/>
    <x v="0"/>
    <s v="Cancelled"/>
    <n v="4"/>
    <s v="Zomato Valet"/>
    <n v="231"/>
  </r>
  <r>
    <s v="ZOM-10456"/>
    <d v="2026-12-12T00:00:00"/>
    <s v="10-05-2024"/>
    <d v="1899-12-30T00:00:00"/>
    <s v="Burger King"/>
    <s v="Ahmedabad"/>
    <s v="Street Food"/>
    <n v="32"/>
    <n v="4.8"/>
    <s v="20 mins"/>
    <n v="780"/>
    <n v="0.15"/>
    <x v="1"/>
    <s v="Delivered"/>
    <n v="10"/>
    <s v="Rapido"/>
    <n v="142"/>
  </r>
  <r>
    <s v="ZOM-10457"/>
    <d v="2026-08-25T00:00:00"/>
    <s v="11-06-2024"/>
    <d v="1899-12-30T00:00:00"/>
    <s v="Burger King"/>
    <s v="Ahmedabad"/>
    <s v="South Indian"/>
    <n v="26"/>
    <n v="2.7"/>
    <s v="67mins"/>
    <n v="723"/>
    <n v="0"/>
    <x v="5"/>
    <s v="Delivered"/>
    <n v="2"/>
    <s v="Rapido"/>
    <m/>
  </r>
  <r>
    <s v="ZOM-10458"/>
    <d v="2026-01-16T00:00:00"/>
    <s v="16-04-2024"/>
    <d v="1899-12-30T00:00:00"/>
    <s v="Faasos"/>
    <s v="Lucknow"/>
    <s v="Street Food"/>
    <n v="65"/>
    <n v="2.1"/>
    <s v="65mins"/>
    <n v="506"/>
    <n v="50"/>
    <x v="0"/>
    <s v="Delivered"/>
    <n v="7"/>
    <s v="Grab"/>
    <n v="214"/>
  </r>
  <r>
    <s v="ZOM-10459"/>
    <d v="2026-12-03T00:00:00"/>
    <s v="22-01-2024"/>
    <d v="1899-12-30T00:00:00"/>
    <s v="Subway"/>
    <s v="Kolkata"/>
    <s v="Italian"/>
    <n v="63"/>
    <n v="2.7"/>
    <s v="15 mins"/>
    <n v="1660"/>
    <n v="50"/>
    <x v="4"/>
    <s v="Delivered"/>
    <n v="7"/>
    <s v="In-House"/>
    <n v="33"/>
  </r>
  <r>
    <s v="ZOM-10460"/>
    <d v="2026-10-18T00:00:00"/>
    <s v="02-08-2024"/>
    <d v="1899-12-30T03:27:00"/>
    <s v="Wow! Momo"/>
    <s v="Lucknow"/>
    <s v="Italian"/>
    <n v="23"/>
    <n v="3.3"/>
    <s v="43mins"/>
    <n v="598"/>
    <n v="0.15"/>
    <x v="1"/>
    <s v="Cancelled"/>
    <n v="4"/>
    <s v="Shadowfax"/>
    <m/>
  </r>
  <r>
    <s v="ZOM-10461"/>
    <d v="2026-10-20T00:00:00"/>
    <s v="29-06-2024"/>
    <d v="1899-12-30T00:00:00"/>
    <s v="Wow! Momo"/>
    <s v="Kolkata"/>
    <s v="Bakery"/>
    <n v="63"/>
    <n v="4.2"/>
    <s v="57mins"/>
    <n v="2374"/>
    <n v="0.2"/>
    <x v="7"/>
    <s v="Delivered"/>
    <n v="7"/>
    <s v="Shadowfax"/>
    <n v="22"/>
  </r>
  <r>
    <s v="ZOM-10000"/>
    <d v="2026-08-16T00:00:00"/>
    <s v="27-06-2024"/>
    <d v="1899-12-30T00:00:00"/>
    <s v="Chai Point"/>
    <s v="Pune"/>
    <s v="Bakery"/>
    <n v="33"/>
    <n v="2.5"/>
    <s v="50mins"/>
    <n v="445"/>
    <n v="0"/>
    <x v="5"/>
    <s v="Delivered"/>
    <n v="10"/>
    <s v="Shadowfax"/>
    <n v="231"/>
  </r>
  <r>
    <s v="ZOM-10463"/>
    <d v="2026-03-14T00:00:00"/>
    <s v="03-20-2024"/>
    <d v="1899-12-30T07:17:00"/>
    <s v="Bikanervala"/>
    <s v="Bombay"/>
    <s v="Street Food"/>
    <n v="40"/>
    <n v="1.6"/>
    <s v="38 mins"/>
    <n v="1857"/>
    <n v="120"/>
    <x v="5"/>
    <s v="Refunded"/>
    <n v="9"/>
    <s v="Grab"/>
    <n v="135"/>
  </r>
  <r>
    <s v="ZOM-10464"/>
    <d v="2026-04-12T00:00:00"/>
    <s v="13-06-2024"/>
    <d v="1899-12-30T00:00:00"/>
    <s v="Unknown"/>
    <s v="Jaipur"/>
    <s v="Fast Food"/>
    <n v="43"/>
    <n v="2.6"/>
    <s v="15 mins"/>
    <n v="385"/>
    <n v="0"/>
    <x v="1"/>
    <s v="Delivered"/>
    <n v="9"/>
    <s v="In-House"/>
    <n v="224"/>
  </r>
  <r>
    <s v="ZOM-10465"/>
    <d v="2026-09-05T00:00:00"/>
    <s v="17-01-2024"/>
    <d v="1899-12-30T00:00:00"/>
    <s v="P@R@Dise Biry@Ni"/>
    <s v="Kolkata"/>
    <s v="Chinese"/>
    <n v="28"/>
    <n v="1.8"/>
    <s v="54 mins"/>
    <n v="943"/>
    <n v="100"/>
    <x v="4"/>
    <s v="Cancelled"/>
    <n v="4"/>
    <s v="Dunzo"/>
    <n v="123"/>
  </r>
  <r>
    <s v="ZOM-10466"/>
    <d v="2026-08-20T00:00:00"/>
    <s v="01-03-2024"/>
    <d v="1899-12-30T00:00:00"/>
    <s v="Faasos"/>
    <s v="Jaipur"/>
    <s v="Mughlai"/>
    <n v="40"/>
    <n v="1.9"/>
    <s v="79mins"/>
    <n v="500"/>
    <n v="0.1"/>
    <x v="7"/>
    <s v="Cancelled"/>
    <n v="9"/>
    <s v="Shadowfax"/>
    <m/>
  </r>
  <r>
    <s v="ZOM-10467"/>
    <d v="2026-06-28T00:00:00"/>
    <s v="31-03-2024"/>
    <d v="1899-12-30T00:00:00"/>
    <s v="Wow! Momo"/>
    <s v="Bangalore"/>
    <s v="Italian"/>
    <n v="43"/>
    <n v="2.2999999999999998"/>
    <s v="31mins"/>
    <n v="465"/>
    <n v="150"/>
    <x v="4"/>
    <s v="Delivered"/>
    <n v="3"/>
    <s v="Dunzo"/>
    <n v="164"/>
  </r>
  <r>
    <s v="ZOM-10468"/>
    <d v="2026-10-15T00:00:00"/>
    <s v="10-06-2024"/>
    <d v="1899-12-30T00:00:00"/>
    <s v="Kfc"/>
    <s v="Chennai"/>
    <s v="Chinese"/>
    <n v="33"/>
    <n v="3.6"/>
    <s v="49mins"/>
    <n v="1064"/>
    <n v="0.15"/>
    <x v="0"/>
    <s v="Refunded"/>
    <n v="1"/>
    <s v="In-House"/>
    <n v="22"/>
  </r>
  <r>
    <s v="ZOM-10469"/>
    <d v="2026-01-11T00:00:00"/>
    <s v="12-04-2024"/>
    <d v="1899-12-30T00:00:00"/>
    <s v="Behrouz Biryani"/>
    <s v="Ahmedabad"/>
    <s v="Fast Food"/>
    <n v="64"/>
    <n v="1.3"/>
    <s v="58mins"/>
    <n v="905"/>
    <n v="150"/>
    <x v="0"/>
    <s v="Delivered"/>
    <n v="3"/>
    <s v="Zomato Valet"/>
    <n v="35"/>
  </r>
  <r>
    <s v="ZOM-10470"/>
    <d v="2026-08-22T00:00:00"/>
    <s v="01-04-2024"/>
    <d v="1899-12-30T02:25:00"/>
    <s v="Faasos"/>
    <s v="Mumbai"/>
    <s v="Italian"/>
    <n v="47"/>
    <n v="3.3"/>
    <s v="42mins"/>
    <n v="297"/>
    <n v="50"/>
    <x v="0"/>
    <s v="Delivered"/>
    <n v="0"/>
    <s v="Dunzo"/>
    <n v="96"/>
  </r>
  <r>
    <s v="ZOM-10471"/>
    <d v="2026-03-16T00:00:00"/>
    <s v="12-06-2024"/>
    <d v="1899-12-30T00:00:00"/>
    <s v="Faasos"/>
    <s v="Lucknow"/>
    <s v="Unknown"/>
    <n v="64"/>
    <n v="3.5"/>
    <s v="22 mins"/>
    <n v="464"/>
    <n v="75"/>
    <x v="0"/>
    <s v="Refunded"/>
    <n v="8"/>
    <s v="Zomato Valet"/>
    <n v="59"/>
  </r>
  <r>
    <s v="ZOM-10472"/>
    <d v="2026-08-27T00:00:00"/>
    <s v="19-06-2024"/>
    <d v="1899-12-30T00:00:00"/>
    <s v="Burger King"/>
    <s v="Mumbai"/>
    <s v="Italian, Desserts"/>
    <n v="18"/>
    <n v="2.4"/>
    <s v="75mins"/>
    <n v="594"/>
    <n v="0.2"/>
    <x v="7"/>
    <s v="Delivered"/>
    <n v="3"/>
    <s v="Rapido"/>
    <n v="12"/>
  </r>
  <r>
    <s v="ZOM-10473"/>
    <d v="2026-01-03T00:00:00"/>
    <s v="15-02-2024"/>
    <d v="1899-12-30T00:00:00"/>
    <s v="Barbeque Nation"/>
    <s v="Hyderabad"/>
    <s v="Street Food"/>
    <n v="43"/>
    <n v="2.1"/>
    <s v="46mins"/>
    <n v="831"/>
    <n v="0.2"/>
    <x v="1"/>
    <s v="Refunded"/>
    <n v="10"/>
    <s v="Shadowfax"/>
    <n v="153"/>
  </r>
  <r>
    <s v="ZOM-10474"/>
    <d v="2026-04-10T00:00:00"/>
    <s v="27-02-2024"/>
    <d v="1899-12-30T00:00:00"/>
    <s v="Subway"/>
    <s v="Jaipur"/>
    <s v="Street Food"/>
    <n v="54"/>
    <n v="3.1"/>
    <s v="49mins"/>
    <n v="357"/>
    <n v="120"/>
    <x v="2"/>
    <s v="Delivered"/>
    <n v="9"/>
    <s v="Dunzo"/>
    <n v="179"/>
  </r>
  <r>
    <s v="ZOM-10475"/>
    <d v="2026-03-31T00:00:00"/>
    <m/>
    <d v="1899-12-30T00:00:00"/>
    <s v="Unknown"/>
    <s v="Kolkata"/>
    <s v="South Indian"/>
    <n v="27"/>
    <n v="4.5"/>
    <s v="64 mins"/>
    <n v="393"/>
    <n v="100"/>
    <x v="5"/>
    <s v="Delivered"/>
    <n v="1"/>
    <s v="Rapido"/>
    <n v="54"/>
  </r>
  <r>
    <s v="ZOM-10476"/>
    <d v="2026-02-22T00:00:00"/>
    <s v="29-06-2024"/>
    <d v="1899-12-30T00:00:00"/>
    <s v="Dominos Pizza"/>
    <s v="Hyderabad"/>
    <s v="Chinese"/>
    <n v="60"/>
    <n v="1.1000000000000001"/>
    <s v="34 mins"/>
    <n v="1209"/>
    <n v="150"/>
    <x v="6"/>
    <s v="Cancelled"/>
    <n v="7"/>
    <s v="Rapido"/>
    <n v="181"/>
  </r>
  <r>
    <s v="ZOM-10477"/>
    <d v="2026-06-20T00:00:00"/>
    <s v="06-02-2024"/>
    <d v="1899-12-30T00:00:00"/>
    <s v="Subway"/>
    <s v="Mumbai"/>
    <s v="Biryani"/>
    <n v="38"/>
    <n v="2.5"/>
    <s v="65 mins"/>
    <n v="2003"/>
    <n v="0"/>
    <x v="4"/>
    <s v="Delivered"/>
    <n v="3"/>
    <s v="Shadowfax"/>
    <n v="29"/>
  </r>
  <r>
    <s v="ZOM-10000"/>
    <d v="2026-10-05T00:00:00"/>
    <s v="05-01-2024"/>
    <d v="1899-12-30T00:00:00"/>
    <s v="Chai Point"/>
    <s v="Hyderabad"/>
    <s v="South Indian"/>
    <n v="18"/>
    <n v="2.7"/>
    <s v="59mins"/>
    <n v="1907"/>
    <n v="0"/>
    <x v="4"/>
    <s v="Cancelled"/>
    <n v="5"/>
    <s v="Grab"/>
    <n v="9"/>
  </r>
  <r>
    <s v="ZOM-10479"/>
    <d v="2026-06-30T00:00:00"/>
    <s v="18-05-2024"/>
    <d v="1899-12-30T00:00:00"/>
    <s v="Ch@I P0Int"/>
    <s v="Ahmedabad"/>
    <s v="Fast Food"/>
    <n v="64"/>
    <n v="4.3"/>
    <s v="74mins"/>
    <n v="1857"/>
    <n v="100"/>
    <x v="1"/>
    <s v="Delivered"/>
    <n v="3"/>
    <s v="Dunzo"/>
    <n v="99"/>
  </r>
  <r>
    <s v="ZOM-10480"/>
    <d v="2026-10-10T00:00:00"/>
    <s v="06-22-2024"/>
    <d v="1899-12-30T16:00:00"/>
    <s v="Kfc"/>
    <s v="Delhi"/>
    <s v="Italian"/>
    <n v="64"/>
    <n v="4.8"/>
    <s v="39mins"/>
    <n v="1194"/>
    <n v="0"/>
    <x v="4"/>
    <s v="Delivered"/>
    <n v="6"/>
    <s v="In-House"/>
    <m/>
  </r>
  <r>
    <s v="ZOM-10481"/>
    <d v="2026-02-18T00:00:00"/>
    <s v="19-01-2024"/>
    <d v="1899-12-30T00:00:00"/>
    <s v="Paradise Biryani"/>
    <s v="Hyderabad"/>
    <s v="Bakery"/>
    <n v="25"/>
    <n v="1.7"/>
    <s v="46 mins"/>
    <n v="2370"/>
    <n v="0.6"/>
    <x v="2"/>
    <s v="Refunded"/>
    <n v="6"/>
    <s v="In-House"/>
    <n v="133"/>
  </r>
  <r>
    <s v="ZOM-10482"/>
    <d v="2026-03-07T00:00:00"/>
    <s v="07-07-2024"/>
    <d v="1899-12-30T00:03:00"/>
    <s v="Dominos Pizza"/>
    <s v="Delhi"/>
    <s v="Bakery"/>
    <n v="18"/>
    <n v="4.4000000000000004"/>
    <s v="63mins"/>
    <n v="1943"/>
    <n v="0"/>
    <x v="5"/>
    <s v="Delivered"/>
    <n v="4"/>
    <s v="Shadowfax"/>
    <n v="24"/>
  </r>
  <r>
    <s v="ZOM-10484"/>
    <d v="2026-12-18T00:00:00"/>
    <s v="01-07-2024"/>
    <d v="1899-12-30T22:03:00"/>
    <s v="Kfc"/>
    <s v="Delhi"/>
    <s v="Chinese"/>
    <n v="27"/>
    <n v="4.3"/>
    <s v="62mins"/>
    <n v="1903"/>
    <n v="0"/>
    <x v="1"/>
    <s v="Delivered"/>
    <n v="1"/>
    <s v="Zomato Valet"/>
    <n v="28"/>
  </r>
  <r>
    <s v="ZOM-10487"/>
    <d v="2026-05-25T00:00:00"/>
    <s v="15-02-2024"/>
    <d v="1899-12-30T00:00:00"/>
    <s v="Wow! Momo"/>
    <s v="Chennai"/>
    <s v="Bakery"/>
    <n v="46"/>
    <n v="3.8"/>
    <s v="44 mins"/>
    <n v="1920"/>
    <n v="50"/>
    <x v="7"/>
    <s v="Delivered"/>
    <n v="4"/>
    <s v="Shadowfax"/>
    <n v="166"/>
  </r>
  <r>
    <s v="ZOM-10488"/>
    <d v="2026-02-11T00:00:00"/>
    <s v="18-05-2024"/>
    <d v="1899-12-30T00:00:00"/>
    <s v="Paradise Biryani"/>
    <s v="Delhi"/>
    <s v="Fast Food"/>
    <n v="52"/>
    <n v="3.9"/>
    <s v="72 mins"/>
    <n v="565"/>
    <n v="0"/>
    <x v="7"/>
    <s v="Delivered"/>
    <n v="2"/>
    <s v="Unknown"/>
    <n v="169"/>
  </r>
  <r>
    <s v="ZOM-10489"/>
    <d v="2026-07-27T00:00:00"/>
    <s v="11-06-2024"/>
    <d v="1899-12-30T00:00:00"/>
    <s v="Faasos"/>
    <s v="Lucknow"/>
    <s v="Street Food"/>
    <n v="52"/>
    <n v="3.2"/>
    <s v="78mins"/>
    <n v="544"/>
    <n v="150"/>
    <x v="4"/>
    <s v="Delivered"/>
    <n v="6"/>
    <s v="Rapido"/>
    <n v="68"/>
  </r>
  <r>
    <s v="ZOM-10490"/>
    <d v="2026-03-30T00:00:00"/>
    <s v="11-02-2024"/>
    <d v="1899-12-30T00:00:00"/>
    <s v="Chai Point"/>
    <s v="Kolkata"/>
    <s v="Mughlai"/>
    <n v="55"/>
    <n v="2.2000000000000002"/>
    <s v="65mins"/>
    <n v="1273"/>
    <n v="120"/>
    <x v="2"/>
    <s v="Refunded"/>
    <n v="5"/>
    <s v="Zomato Valet"/>
    <n v="121"/>
  </r>
  <r>
    <s v="ZOM-10491"/>
    <d v="2026-02-08T00:00:00"/>
    <s v="03-03-2024"/>
    <d v="1899-12-30T00:00:00"/>
    <s v="Wow! Momo"/>
    <s v="Jaipur"/>
    <s v="Unknown"/>
    <n v="18"/>
    <n v="1.7"/>
    <s v="65mins"/>
    <n v="2204"/>
    <n v="0.1"/>
    <x v="3"/>
    <s v="Delivered"/>
    <n v="9"/>
    <s v="Shadowfax"/>
    <n v="38"/>
  </r>
  <r>
    <s v="ZOM-10492"/>
    <d v="2026-04-02T00:00:00"/>
    <s v="18-05-2024"/>
    <d v="1899-12-30T00:00:00"/>
    <s v="Faasos"/>
    <s v="Jaipur"/>
    <s v="South Indian"/>
    <n v="18"/>
    <n v="2.8"/>
    <s v="16mins"/>
    <n v="232"/>
    <n v="150"/>
    <x v="2"/>
    <s v="Delivered"/>
    <n v="6"/>
    <s v="Grab"/>
    <n v="173"/>
  </r>
  <r>
    <s v="ZOM-10493"/>
    <d v="2026-05-22T00:00:00"/>
    <s v="16-03-2024"/>
    <d v="1899-12-30T00:00:00"/>
    <s v="Bik@Nerv@L@"/>
    <s v="Mumbai"/>
    <s v="Unknown"/>
    <n v="31"/>
    <n v="4.5999999999999996"/>
    <s v="29 mins"/>
    <n v="766"/>
    <n v="75"/>
    <x v="4"/>
    <s v="Refunded"/>
    <n v="7"/>
    <s v="Dunzo"/>
    <n v="45"/>
  </r>
  <r>
    <s v="ZOM-10494"/>
    <d v="2026-04-29T00:00:00"/>
    <s v="29-03-2024"/>
    <d v="1899-12-30T00:00:00"/>
    <s v="Paradise Biryani"/>
    <s v="Bangalore"/>
    <s v="Chinese"/>
    <n v="19"/>
    <n v="2.2000000000000002"/>
    <s v="53mins"/>
    <n v="1408"/>
    <n v="0.6"/>
    <x v="4"/>
    <s v="Cancelled"/>
    <n v="2"/>
    <s v="Shadowfax"/>
    <n v="8"/>
  </r>
  <r>
    <s v="ZOM-10495"/>
    <d v="2026-10-11T00:00:00"/>
    <s v="01-15-2024"/>
    <d v="1899-12-30T00:06:00"/>
    <s v="Subway"/>
    <s v="Ahmedabad"/>
    <s v="Mughlai"/>
    <n v="64"/>
    <n v="2.4"/>
    <s v="56mins"/>
    <n v="1439"/>
    <n v="75"/>
    <x v="4"/>
    <s v="Refunded"/>
    <n v="8"/>
    <s v="Dunzo"/>
    <n v="62"/>
  </r>
  <r>
    <s v="ZOM-10496"/>
    <d v="2026-07-13T00:00:00"/>
    <s v="02-04-2024"/>
    <d v="1899-12-30T00:00:00"/>
    <s v="Burger King"/>
    <s v="Hyderabad"/>
    <s v="Street Food"/>
    <n v="47"/>
    <n v="3.3"/>
    <s v="73mins"/>
    <n v="595"/>
    <n v="50"/>
    <x v="0"/>
    <s v="Cancelled"/>
    <n v="2"/>
    <s v="In-House"/>
    <n v="92"/>
  </r>
  <r>
    <s v="ZOM-10497"/>
    <d v="2026-03-06T00:00:00"/>
    <s v="11-05-2024"/>
    <d v="1899-12-30T00:00:00"/>
    <s v="Barbeque Nation"/>
    <s v="Jaipur"/>
    <s v="Street Food"/>
    <n v="46"/>
    <n v="2.6"/>
    <s v="42mins"/>
    <n v="2325"/>
    <n v="120"/>
    <x v="0"/>
    <s v="Delivered"/>
    <n v="7"/>
    <s v="Grab"/>
    <n v="165"/>
  </r>
  <r>
    <s v="ZOM-10498"/>
    <d v="2026-12-07T00:00:00"/>
    <s v="17-01-2024"/>
    <d v="1899-12-30T00:00:00"/>
    <s v="Subway"/>
    <s v="Pune"/>
    <s v="Bakery"/>
    <n v="52"/>
    <n v="2.4"/>
    <s v="16 mins"/>
    <n v="1384"/>
    <n v="150"/>
    <x v="5"/>
    <s v="Delivered"/>
    <n v="5"/>
    <s v="Grab"/>
    <n v="176"/>
  </r>
  <r>
    <s v="ZOM-10499"/>
    <d v="2026-07-16T00:00:00"/>
    <s v="06-20-2024"/>
    <d v="1899-12-30T20:59:00"/>
    <s v="Chai Point"/>
    <s v="Ahmedabad"/>
    <s v="Street Food"/>
    <n v="29"/>
    <n v="2.8"/>
    <s v="24mins"/>
    <n v="2072"/>
    <n v="150"/>
    <x v="7"/>
    <s v="Delivered"/>
    <n v="5"/>
    <s v="Dunzo"/>
    <n v="18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x v="0"/>
    <d v="2026-04-17T00:00:00"/>
    <s v="03-03-2024"/>
    <d v="1899-12-30T00:00:00"/>
    <s v="Haldiram'S"/>
    <x v="0"/>
    <s v="Street Food"/>
    <n v="55"/>
    <n v="4.5"/>
    <s v="35mins"/>
    <n v="1782"/>
    <n v="0.2"/>
    <s v="Upi"/>
    <s v="Failed"/>
    <n v="7"/>
    <s v="Zomato Valet"/>
    <n v="124"/>
  </r>
  <r>
    <x v="1"/>
    <d v="2026-07-09T00:00:00"/>
    <s v="12-01-2024"/>
    <d v="1899-12-30T00:00:00"/>
    <s v="Burger King"/>
    <x v="1"/>
    <s v="Chinese"/>
    <n v="58"/>
    <n v="3.9"/>
    <s v="39 mins"/>
    <n v="762"/>
    <n v="50"/>
    <s v="Wallet"/>
    <s v="Delivered"/>
    <n v="10"/>
    <s v="In-House"/>
    <n v="51"/>
  </r>
  <r>
    <x v="2"/>
    <d v="2026-07-22T00:00:00"/>
    <s v="04-03-2024"/>
    <d v="1899-12-30T00:00:00"/>
    <s v="Behrouz Biryani"/>
    <x v="2"/>
    <s v="Fast Food"/>
    <n v="42"/>
    <n v="2.9"/>
    <s v="16mins"/>
    <n v="1739"/>
    <n v="75"/>
    <s v="Wallet"/>
    <s v="Delivered"/>
    <n v="9"/>
    <s v="Shadowfax"/>
    <n v="126"/>
  </r>
  <r>
    <x v="3"/>
    <d v="2026-07-27T00:00:00"/>
    <s v="21-05-2024"/>
    <d v="1899-12-30T00:00:00"/>
    <s v="Bikanervala"/>
    <x v="3"/>
    <s v="Chinese"/>
    <n v="33"/>
    <n v="4.2"/>
    <s v="21 mins"/>
    <n v="1688"/>
    <n v="150"/>
    <s v="Upi"/>
    <s v="Delivered"/>
    <n v="4"/>
    <s v="Shadowfax"/>
    <n v="19"/>
  </r>
  <r>
    <x v="4"/>
    <d v="2026-02-05T00:00:00"/>
    <s v="20-05-2024"/>
    <d v="1899-12-30T00:00:00"/>
    <s v="Wow! Momo"/>
    <x v="4"/>
    <s v="North Indian, Italian"/>
    <n v="47"/>
    <n v="3.8"/>
    <s v="77mins"/>
    <n v="488"/>
    <n v="120"/>
    <s v="Wallet"/>
    <s v="Delivered"/>
    <n v="1"/>
    <s v="Rapido"/>
    <n v="116"/>
  </r>
  <r>
    <x v="5"/>
    <d v="2026-02-16T00:00:00"/>
    <s v="25-05-2024"/>
    <d v="1899-12-30T00:00:00"/>
    <s v="Bikanervala"/>
    <x v="5"/>
    <s v="Italian"/>
    <n v="22"/>
    <n v="2.5"/>
    <s v="27mins"/>
    <n v="294"/>
    <n v="0.2"/>
    <s v="Upi"/>
    <s v="Delivered"/>
    <n v="9"/>
    <s v="Zomato Valet"/>
    <n v="227"/>
  </r>
  <r>
    <x v="6"/>
    <d v="2026-09-07T00:00:00"/>
    <s v="28-01-2024"/>
    <d v="1899-12-30T00:00:00"/>
    <s v="Burger King"/>
    <x v="5"/>
    <s v="North Indian"/>
    <n v="18"/>
    <n v="3.5"/>
    <s v="71mins"/>
    <n v="1433"/>
    <n v="0"/>
    <s v="Upi"/>
    <s v="Delivered"/>
    <n v="3"/>
    <s v="Zomato Valet"/>
    <n v="183"/>
  </r>
  <r>
    <x v="7"/>
    <d v="2026-09-09T00:00:00"/>
    <s v="04-03-2024"/>
    <d v="1899-12-30T00:00:00"/>
    <s v="Wow! Momo"/>
    <x v="6"/>
    <s v="Unknown"/>
    <n v="39"/>
    <n v="2.6"/>
    <s v="46mins"/>
    <n v="755"/>
    <n v="0.1"/>
    <s v="Cash On Delivery"/>
    <s v="Refunded"/>
    <n v="4"/>
    <s v="Grab"/>
    <n v="239"/>
  </r>
  <r>
    <x v="8"/>
    <d v="2026-08-28T00:00:00"/>
    <s v="17-05-2024"/>
    <d v="1899-12-30T00:00:00"/>
    <s v="Haldiram'S"/>
    <x v="0"/>
    <s v="Desserts"/>
    <n v="30"/>
    <n v="3.8"/>
    <s v="15 mins"/>
    <n v="2323"/>
    <n v="150"/>
    <s v="Wallet"/>
    <s v="Delivered"/>
    <n v="5"/>
    <s v="Rapido"/>
    <n v="53"/>
  </r>
  <r>
    <x v="9"/>
    <d v="2026-07-05T00:00:00"/>
    <s v="04-07-2024"/>
    <d v="1899-12-30T23:07:00"/>
    <s v="B@Rbeque N@Ti0N"/>
    <x v="5"/>
    <s v="Desserts"/>
    <n v="65"/>
    <n v="1.3"/>
    <s v="57mins"/>
    <n v="342"/>
    <n v="0.2"/>
    <s v="Cash Card"/>
    <s v="Delivered"/>
    <n v="10"/>
    <s v="Shadowfax"/>
    <n v="52"/>
  </r>
  <r>
    <x v="10"/>
    <d v="2026-12-17T00:00:00"/>
    <s v="07-16-2024"/>
    <d v="1899-12-30T03:38:00"/>
    <s v="Dominos Pizza"/>
    <x v="6"/>
    <s v="Mughlai"/>
    <n v="46"/>
    <n v="3.9"/>
    <s v="72mins"/>
    <n v="2255"/>
    <n v="75"/>
    <s v="Credit Card"/>
    <s v="Delivered"/>
    <n v="5"/>
    <s v="Shadowfax"/>
    <n v="98"/>
  </r>
  <r>
    <x v="11"/>
    <d v="2026-10-01T00:00:00"/>
    <s v="29-06-2024"/>
    <d v="1899-12-30T00:00:00"/>
    <s v="Subway"/>
    <x v="7"/>
    <s v="Bakery, Desserts"/>
    <n v="42"/>
    <n v="4.8"/>
    <s v="43mins"/>
    <n v="1282"/>
    <n v="100"/>
    <s v="Debit Card"/>
    <s v="Delivered"/>
    <n v="7"/>
    <s v="Rapido"/>
    <n v="132"/>
  </r>
  <r>
    <x v="12"/>
    <d v="2026-12-17T00:00:00"/>
    <s v="07-04-2024"/>
    <d v="1899-12-30T00:00:00"/>
    <s v="Kfc"/>
    <x v="7"/>
    <s v="Street Food"/>
    <n v="59"/>
    <n v="2.5"/>
    <s v="15 mins"/>
    <n v="709"/>
    <n v="50"/>
    <s v="Credit Card"/>
    <s v="Delivered"/>
    <n v="10"/>
    <s v="In-House"/>
    <n v="26"/>
  </r>
  <r>
    <x v="13"/>
    <d v="2026-03-15T00:00:00"/>
    <s v="27-05-2024"/>
    <d v="1899-12-30T00:00:00"/>
    <s v="Subway"/>
    <x v="6"/>
    <s v="Bakery"/>
    <n v="18"/>
    <n v="3.6"/>
    <s v="56 mins"/>
    <n v="932"/>
    <n v="0"/>
    <s v="Cash On Delivery"/>
    <s v="Cancelled"/>
    <n v="5"/>
    <s v="Rapido"/>
    <n v="80"/>
  </r>
  <r>
    <x v="14"/>
    <d v="2026-01-13T00:00:00"/>
    <s v="03-03-2024"/>
    <d v="1899-12-30T00:00:00"/>
    <s v="Paradise Biryani"/>
    <x v="0"/>
    <s v="Desserts"/>
    <n v="35"/>
    <n v="3.1"/>
    <s v="30 mins"/>
    <n v="1834"/>
    <n v="150"/>
    <s v="Cash On Delivery"/>
    <s v="Delivered"/>
    <n v="10"/>
    <s v="Dunzo"/>
    <n v="60"/>
  </r>
  <r>
    <x v="15"/>
    <d v="2026-12-05T00:00:00"/>
    <s v="24-06-2024"/>
    <d v="1899-12-30T00:00:00"/>
    <s v="Chai Point"/>
    <x v="8"/>
    <s v="Chinese"/>
    <n v="55"/>
    <n v="2.2000000000000002"/>
    <s v="27mins"/>
    <n v="2375"/>
    <n v="0.1"/>
    <s v="Credit Card"/>
    <s v="Delivered"/>
    <n v="4"/>
    <s v="Dunzo"/>
    <n v="70"/>
  </r>
  <r>
    <x v="16"/>
    <d v="2026-01-14T00:00:00"/>
    <s v="06-09-2024"/>
    <d v="1899-12-30T20:07:00"/>
    <s v="Dominos Pizza"/>
    <x v="4"/>
    <s v="Bakery"/>
    <n v="43"/>
    <n v="3"/>
    <s v="25mins"/>
    <n v="1543"/>
    <n v="120"/>
    <s v="Unknown"/>
    <s v="Cancelled"/>
    <n v="1"/>
    <s v="In-House"/>
    <n v="172"/>
  </r>
  <r>
    <x v="17"/>
    <d v="2026-04-06T00:00:00"/>
    <s v="12-03-2024"/>
    <d v="1899-12-30T00:00:00"/>
    <s v="Subway"/>
    <x v="3"/>
    <s v="Italian"/>
    <n v="53"/>
    <n v="2.5"/>
    <s v="31 mins"/>
    <n v="889"/>
    <n v="120"/>
    <s v="Upi"/>
    <s v="Cancelled"/>
    <n v="8"/>
    <s v="Zomato Valet"/>
    <n v="226"/>
  </r>
  <r>
    <x v="18"/>
    <d v="2026-04-14T00:00:00"/>
    <s v="06-10-2024"/>
    <d v="1899-12-30T20:46:00"/>
    <s v="Behrouz Biryani"/>
    <x v="9"/>
    <s v="Mughlai"/>
    <n v="48"/>
    <n v="2"/>
    <s v="64mins"/>
    <n v="574"/>
    <n v="50"/>
    <s v="Upi"/>
    <s v="Pending"/>
    <n v="10"/>
    <s v="In-House"/>
    <n v="98"/>
  </r>
  <r>
    <x v="19"/>
    <d v="2026-03-10T00:00:00"/>
    <s v="26-04-2024"/>
    <d v="1899-12-30T00:00:00"/>
    <s v="Behrouz Biryani"/>
    <x v="3"/>
    <s v="Italian"/>
    <n v="20"/>
    <n v="4.9000000000000004"/>
    <s v="27mins"/>
    <n v="2201"/>
    <n v="100"/>
    <s v="Upi"/>
    <s v="Cancelled"/>
    <n v="10"/>
    <s v="In-House"/>
    <n v="28"/>
  </r>
  <r>
    <x v="20"/>
    <d v="2026-01-29T00:00:00"/>
    <s v="09-06-2024"/>
    <d v="1899-12-30T00:00:00"/>
    <s v="Bikanervala"/>
    <x v="6"/>
    <s v="South Indian"/>
    <n v="18"/>
    <n v="2.2000000000000002"/>
    <s v="33mins"/>
    <n v="701"/>
    <n v="50"/>
    <s v="Credit Card"/>
    <s v="Cancelled"/>
    <n v="5"/>
    <s v="Grab"/>
    <n v="186"/>
  </r>
  <r>
    <x v="21"/>
    <d v="2026-10-19T00:00:00"/>
    <s v="23-04-2024"/>
    <d v="1899-12-30T00:00:00"/>
    <s v="Burger King"/>
    <x v="6"/>
    <s v="Italian"/>
    <n v="60"/>
    <n v="1"/>
    <s v="21mins"/>
    <n v="2287"/>
    <n v="75"/>
    <s v="Credit Card"/>
    <s v="Delivered"/>
    <n v="3"/>
    <s v="In-House"/>
    <n v="67"/>
  </r>
  <r>
    <x v="22"/>
    <d v="2026-01-31T00:00:00"/>
    <s v="03-02-2024"/>
    <d v="1899-12-30T00:00:00"/>
    <s v="Kfc"/>
    <x v="3"/>
    <s v="Biryani"/>
    <n v="39"/>
    <n v="2.9"/>
    <s v="63 mins"/>
    <n v="2420"/>
    <n v="100"/>
    <s v="Net Banking"/>
    <s v="Delivered"/>
    <n v="5"/>
    <s v="Rapido"/>
    <n v="43"/>
  </r>
  <r>
    <x v="23"/>
    <d v="2026-06-21T00:00:00"/>
    <s v="23-05-2024"/>
    <d v="1899-12-30T00:00:00"/>
    <s v="Dominos Pizza"/>
    <x v="7"/>
    <s v="North Indian"/>
    <n v="26"/>
    <n v="2.5"/>
    <s v="68mins"/>
    <n v="1518"/>
    <n v="150"/>
    <s v="Upi"/>
    <s v="Refunded"/>
    <n v="4"/>
    <s v="Dunzo"/>
    <n v="100"/>
  </r>
  <r>
    <x v="24"/>
    <d v="2026-07-17T00:00:00"/>
    <s v="18-02-2024"/>
    <d v="1899-12-30T00:00:00"/>
    <s v="Paradise Biryani"/>
    <x v="0"/>
    <s v="Bakery"/>
    <n v="32"/>
    <n v="1.6"/>
    <s v="15mins"/>
    <n v="780"/>
    <n v="120"/>
    <s v="Debit Card"/>
    <s v="Unknown"/>
    <n v="4"/>
    <s v="Rapido"/>
    <n v="63"/>
  </r>
  <r>
    <x v="25"/>
    <d v="2026-09-30T00:00:00"/>
    <s v="05-01-2024"/>
    <d v="1899-12-30T15:18:00"/>
    <s v="Wow! Momo"/>
    <x v="8"/>
    <s v="Mughlai"/>
    <n v="46"/>
    <n v="1.3"/>
    <s v="23mins"/>
    <n v="420"/>
    <n v="150"/>
    <s v="Debit Card"/>
    <s v="Delivered"/>
    <n v="9"/>
    <s v="In-House"/>
    <n v="213"/>
  </r>
  <r>
    <x v="26"/>
    <d v="2026-02-04T00:00:00"/>
    <s v="05-07-2024"/>
    <d v="1899-12-30T00:00:00"/>
    <s v="Kfc"/>
    <x v="9"/>
    <s v="Desserts"/>
    <n v="39"/>
    <n v="2.6"/>
    <s v="69mins"/>
    <n v="2186"/>
    <n v="120"/>
    <s v="Debit Card"/>
    <s v="Delivered"/>
    <n v="6"/>
    <s v="Zomato Valet"/>
    <n v="186"/>
  </r>
  <r>
    <x v="27"/>
    <d v="2026-08-07T00:00:00"/>
    <s v="06-06-2024"/>
    <d v="1899-12-30T23:02:00"/>
    <s v="Bik@Nerv@L@"/>
    <x v="5"/>
    <s v="North Indian"/>
    <n v="65"/>
    <n v="1.1000000000000001"/>
    <s v="42mins"/>
    <n v="1015"/>
    <n v="0.2"/>
    <s v="Wallet"/>
    <s v="Delivered"/>
    <n v="2"/>
    <s v="Dunzo"/>
    <n v="120"/>
  </r>
  <r>
    <x v="28"/>
    <d v="2026-12-26T00:00:00"/>
    <s v="29-03-2024"/>
    <d v="1899-12-30T00:00:00"/>
    <s v="Faasos"/>
    <x v="7"/>
    <s v="Chinese"/>
    <n v="38"/>
    <n v="3"/>
    <s v="31mins"/>
    <n v="1025"/>
    <n v="150"/>
    <s v="Debit Card"/>
    <s v="Delivered"/>
    <n v="7"/>
    <s v="Rapido"/>
    <n v="16"/>
  </r>
  <r>
    <x v="29"/>
    <d v="2026-04-04T00:00:00"/>
    <s v="07-06-2024"/>
    <d v="1899-12-30T00:00:00"/>
    <s v="Kfc"/>
    <x v="8"/>
    <s v="Chinese"/>
    <n v="50"/>
    <n v="4.0999999999999996"/>
    <s v="33mins"/>
    <n v="682"/>
    <n v="0.6"/>
    <s v="Credit Card"/>
    <s v="Delivered"/>
    <n v="10"/>
    <s v="In-House"/>
    <n v="205"/>
  </r>
  <r>
    <x v="30"/>
    <d v="2026-04-17T00:00:00"/>
    <s v="23-04-2024"/>
    <d v="1899-12-30T00:00:00"/>
    <s v="Burger King"/>
    <x v="0"/>
    <s v="South Indian"/>
    <n v="65"/>
    <n v="2.8"/>
    <s v="39mins"/>
    <n v="885"/>
    <n v="0.1"/>
    <s v="Cash On Delivery"/>
    <s v="Delivered"/>
    <n v="8"/>
    <s v="Grab"/>
    <n v="40"/>
  </r>
  <r>
    <x v="31"/>
    <d v="2026-08-16T00:00:00"/>
    <s v="22-06-2024"/>
    <d v="1899-12-30T00:00:00"/>
    <s v="Faasos"/>
    <x v="7"/>
    <s v="Bakery"/>
    <n v="40"/>
    <n v="3.6"/>
    <s v="31mins"/>
    <n v="1536"/>
    <n v="0.5"/>
    <s v="Wallet"/>
    <s v="Delivered"/>
    <n v="1"/>
    <s v="Dunzo"/>
    <n v="33"/>
  </r>
  <r>
    <x v="32"/>
    <d v="2026-03-17T00:00:00"/>
    <s v="09-02-2024"/>
    <d v="1899-12-30T00:00:00"/>
    <s v="Haldiram'S"/>
    <x v="3"/>
    <s v="Fast Food"/>
    <n v="28"/>
    <n v="1.2"/>
    <s v="45mins"/>
    <n v="2428"/>
    <n v="100"/>
    <s v="Credit Card"/>
    <s v="Delivered"/>
    <n v="10"/>
    <s v="Grab"/>
    <n v="46"/>
  </r>
  <r>
    <x v="33"/>
    <d v="2026-11-22T00:00:00"/>
    <s v="03-06-2024"/>
    <d v="1899-12-30T00:00:00"/>
    <s v="Bikanervala"/>
    <x v="8"/>
    <s v="Biryani"/>
    <n v="32"/>
    <n v="4.5"/>
    <s v="68mins"/>
    <n v="247"/>
    <n v="0.1"/>
    <s v="Debit Card"/>
    <s v="Refunded"/>
    <n v="8"/>
    <s v="In-House"/>
    <n v="75"/>
  </r>
  <r>
    <x v="34"/>
    <d v="2026-07-16T00:00:00"/>
    <s v="08-02-2024"/>
    <d v="1899-12-30T00:00:00"/>
    <s v="Chai Point"/>
    <x v="0"/>
    <s v="South Indian"/>
    <n v="18"/>
    <n v="2"/>
    <s v="42 mins"/>
    <n v="124"/>
    <n v="50"/>
    <s v="Wallet"/>
    <s v="Delivered"/>
    <n v="1"/>
    <s v="Grab"/>
    <n v="48"/>
  </r>
  <r>
    <x v="35"/>
    <d v="2026-07-11T00:00:00"/>
    <s v="18-01-2024"/>
    <d v="1899-12-30T00:00:00"/>
    <s v="Faasos"/>
    <x v="0"/>
    <s v="Mughlai"/>
    <n v="63"/>
    <n v="2.8"/>
    <s v="20mins"/>
    <n v="2003"/>
    <n v="0.2"/>
    <s v="Net Banking"/>
    <s v="Delivered"/>
    <n v="1"/>
    <s v="In-House"/>
    <n v="41"/>
  </r>
  <r>
    <x v="36"/>
    <d v="2026-02-16T00:00:00"/>
    <s v="08-04-2024"/>
    <d v="1899-12-30T00:00:00"/>
    <s v="Paradise Biryani"/>
    <x v="9"/>
    <s v="Bakery"/>
    <n v="38"/>
    <n v="2.2000000000000002"/>
    <s v="69mins"/>
    <n v="517"/>
    <n v="150"/>
    <s v="Debit Card"/>
    <s v="Delivered"/>
    <n v="3"/>
    <s v="Zomato Valet"/>
    <m/>
  </r>
  <r>
    <x v="37"/>
    <d v="2026-01-30T00:00:00"/>
    <s v="03-04-2024"/>
    <d v="1899-12-30T00:00:00"/>
    <s v="Unknown"/>
    <x v="4"/>
    <s v="South Indian"/>
    <n v="33"/>
    <n v="1.1000000000000001"/>
    <s v="48 mins"/>
    <n v="1041"/>
    <n v="0.2"/>
    <s v="Wallet"/>
    <s v="Delivered"/>
    <n v="3"/>
    <s v="In-House"/>
    <n v="145"/>
  </r>
  <r>
    <x v="38"/>
    <d v="2026-04-13T00:00:00"/>
    <s v="17-01-2024"/>
    <d v="1899-12-30T00:00:00"/>
    <s v="Burger King"/>
    <x v="3"/>
    <s v="Fast Food"/>
    <n v="47"/>
    <n v="3.2"/>
    <s v="26mins"/>
    <n v="276"/>
    <n v="100"/>
    <s v="Net Banking"/>
    <s v="Cancelled"/>
    <n v="9"/>
    <s v="Dunzo"/>
    <n v="102"/>
  </r>
  <r>
    <x v="39"/>
    <d v="2026-12-15T00:00:00"/>
    <s v="08-05-2024"/>
    <d v="1899-12-30T00:00:00"/>
    <s v="Wow! Momo"/>
    <x v="3"/>
    <s v="South Indian"/>
    <n v="37"/>
    <n v="1.4"/>
    <s v="34mins"/>
    <n v="527"/>
    <n v="75"/>
    <s v="Net Banking"/>
    <s v="Delivered"/>
    <n v="10"/>
    <s v="Unknown"/>
    <n v="213"/>
  </r>
  <r>
    <x v="40"/>
    <d v="2026-04-19T00:00:00"/>
    <s v="03-03-2024"/>
    <d v="1899-12-30T00:00:00"/>
    <s v="Haldiram'S"/>
    <x v="3"/>
    <s v="Desserts"/>
    <n v="38"/>
    <n v="1.5"/>
    <s v="33mins"/>
    <n v="350"/>
    <n v="0.6"/>
    <s v="Cash On Delivery"/>
    <s v="Refunded"/>
    <n v="3"/>
    <s v="Grab"/>
    <n v="210"/>
  </r>
  <r>
    <x v="41"/>
    <d v="2026-08-18T00:00:00"/>
    <s v="27-04-2024"/>
    <d v="1899-12-30T00:00:00"/>
    <s v="Unknown"/>
    <x v="5"/>
    <s v="Mughlai, South Indian"/>
    <n v="34"/>
    <n v="4.0999999999999996"/>
    <s v="66mins"/>
    <n v="242"/>
    <n v="0.2"/>
    <s v="Upi"/>
    <s v="Delivered"/>
    <n v="7"/>
    <s v="Dunzo"/>
    <n v="230"/>
  </r>
  <r>
    <x v="42"/>
    <d v="2026-05-23T00:00:00"/>
    <s v="08-05-2024"/>
    <d v="1899-12-30T00:00:00"/>
    <s v="Barbeque Nation"/>
    <x v="8"/>
    <s v="Italian"/>
    <n v="50"/>
    <n v="3.8"/>
    <s v="17mins"/>
    <n v="997"/>
    <n v="120"/>
    <s v="Debit Card"/>
    <s v="Delivered"/>
    <n v="10"/>
    <s v="Rapido"/>
    <n v="79"/>
  </r>
  <r>
    <x v="43"/>
    <d v="2026-02-03T00:00:00"/>
    <s v="07-04-2024"/>
    <d v="1899-12-30T00:00:00"/>
    <s v="Unknown"/>
    <x v="9"/>
    <s v="Italian"/>
    <n v="65"/>
    <n v="3.8"/>
    <s v="56mins"/>
    <n v="2496"/>
    <n v="0.15"/>
    <s v="Cash On Delivery"/>
    <s v="Refunded"/>
    <n v="9"/>
    <s v="Dunzo"/>
    <n v="18"/>
  </r>
  <r>
    <x v="44"/>
    <d v="2026-03-18T00:00:00"/>
    <s v="22-03-2024"/>
    <d v="1899-12-30T00:00:00"/>
    <s v="Behrouz Biryani"/>
    <x v="7"/>
    <s v="Biryani"/>
    <n v="59"/>
    <n v="2.9"/>
    <s v="49 mins"/>
    <n v="765"/>
    <n v="0.1"/>
    <s v="Net Banking"/>
    <s v="Delivered"/>
    <n v="6"/>
    <s v="In-House"/>
    <n v="35"/>
  </r>
  <r>
    <x v="45"/>
    <d v="2026-12-19T00:00:00"/>
    <s v="16-06-2024"/>
    <d v="1899-12-30T00:00:00"/>
    <s v="Dominos Pizza"/>
    <x v="9"/>
    <s v="North Indian"/>
    <n v="20"/>
    <n v="2.6"/>
    <s v="52mins"/>
    <n v="500"/>
    <n v="0"/>
    <s v="Debit Card"/>
    <s v="Delivered"/>
    <n v="5"/>
    <s v="Shadowfax"/>
    <n v="161"/>
  </r>
  <r>
    <x v="46"/>
    <d v="2026-01-18T00:00:00"/>
    <s v="03-16-2024"/>
    <d v="1899-12-30T19:22:00"/>
    <s v="Dominos Pizza"/>
    <x v="8"/>
    <s v="Fast Food"/>
    <n v="46"/>
    <n v="4.8"/>
    <s v="16mins"/>
    <n v="742"/>
    <n v="0.1"/>
    <s v="Cash On Delivery"/>
    <s v="Refunded"/>
    <n v="6"/>
    <s v="Rapido"/>
    <n v="78"/>
  </r>
  <r>
    <x v="47"/>
    <d v="2026-03-22T00:00:00"/>
    <s v="28-06-2024"/>
    <d v="1899-12-30T00:00:00"/>
    <s v="Wow! Momo"/>
    <x v="10"/>
    <s v="Desserts"/>
    <n v="50"/>
    <n v="3.1"/>
    <s v="69 mins"/>
    <n v="1358"/>
    <n v="0.6"/>
    <s v="Cash On Delivery"/>
    <s v="Delivered"/>
    <n v="9"/>
    <s v="Grab"/>
    <n v="73"/>
  </r>
  <r>
    <x v="3"/>
    <d v="2026-12-24T00:00:00"/>
    <s v="25-02-2024"/>
    <d v="1899-12-30T00:00:00"/>
    <s v="Subway"/>
    <x v="9"/>
    <s v="Fast Food"/>
    <n v="44"/>
    <n v="4.5999999999999996"/>
    <s v="63mins"/>
    <n v="1014"/>
    <n v="120"/>
    <s v="Credit Card"/>
    <s v="Delivered"/>
    <n v="1"/>
    <s v="Zomato Valet"/>
    <n v="157"/>
  </r>
  <r>
    <x v="48"/>
    <d v="2026-01-28T00:00:00"/>
    <s v="27-04-2024"/>
    <d v="1899-12-30T00:00:00"/>
    <s v="Dominos Pizza"/>
    <x v="7"/>
    <s v="Chinese"/>
    <n v="63"/>
    <n v="2"/>
    <s v="15 mins"/>
    <n v="1165"/>
    <n v="0"/>
    <s v="Credit Card"/>
    <s v="Delivered"/>
    <n v="6"/>
    <s v="Shadowfax"/>
    <n v="138"/>
  </r>
  <r>
    <x v="49"/>
    <d v="2026-10-17T00:00:00"/>
    <s v="05-31-2024"/>
    <d v="1899-12-30T05:58:00"/>
    <s v="Subway"/>
    <x v="7"/>
    <s v="Fast Food"/>
    <n v="32"/>
    <n v="3.8"/>
    <s v="22mins"/>
    <n v="1458"/>
    <n v="50"/>
    <s v="Cash On Delivery"/>
    <s v="Delivered"/>
    <n v="4"/>
    <s v="Zomato Valet"/>
    <n v="119"/>
  </r>
  <r>
    <x v="50"/>
    <d v="2026-10-10T00:00:00"/>
    <s v="04-07-2024"/>
    <d v="1899-12-30T00:00:00"/>
    <s v="Paradise Biryani"/>
    <x v="6"/>
    <s v="Mughlai"/>
    <n v="33"/>
    <n v="4.0999999999999996"/>
    <s v="60mins"/>
    <n v="854"/>
    <n v="100"/>
    <s v="Upi"/>
    <s v="Refunded"/>
    <n v="10"/>
    <s v="Shadowfax"/>
    <n v="103"/>
  </r>
  <r>
    <x v="51"/>
    <d v="2026-08-12T00:00:00"/>
    <s v="20-02-2024"/>
    <d v="1899-12-30T00:00:00"/>
    <s v="Chai Point"/>
    <x v="5"/>
    <s v="Mughlai"/>
    <n v="52"/>
    <n v="4.7"/>
    <s v="22mins"/>
    <n v="1367"/>
    <n v="0"/>
    <s v="Wallet"/>
    <s v="Cancelled"/>
    <n v="1"/>
    <s v="Shadowfax"/>
    <n v="124"/>
  </r>
  <r>
    <x v="52"/>
    <d v="2026-03-26T00:00:00"/>
    <m/>
    <d v="1899-12-30T00:00:00"/>
    <s v="Wow! Momo"/>
    <x v="8"/>
    <s v="Italian"/>
    <n v="27"/>
    <n v="3.5"/>
    <s v="60mins"/>
    <n v="756"/>
    <n v="0.5"/>
    <s v="Cash On Delivery"/>
    <s v="Delivered"/>
    <n v="2"/>
    <s v="Grab"/>
    <m/>
  </r>
  <r>
    <x v="53"/>
    <d v="2026-08-30T00:00:00"/>
    <s v="03-28-2024"/>
    <d v="1899-12-30T20:39:00"/>
    <s v="Chai Point"/>
    <x v="5"/>
    <s v="Street Food"/>
    <n v="23"/>
    <n v="2.2000000000000002"/>
    <s v="19 mins"/>
    <n v="315"/>
    <n v="150"/>
    <s v="Credit Card"/>
    <s v="Delivered"/>
    <n v="2"/>
    <s v="Shadowfax"/>
    <n v="104"/>
  </r>
  <r>
    <x v="54"/>
    <d v="2026-07-07T00:00:00"/>
    <s v="21-05-2024"/>
    <d v="1899-12-30T00:00:00"/>
    <s v="Kfc"/>
    <x v="9"/>
    <s v="Chinese"/>
    <n v="37"/>
    <n v="1.6"/>
    <s v="32 mins"/>
    <n v="1122"/>
    <n v="0"/>
    <s v="Debit Card"/>
    <s v="Delivered"/>
    <n v="7"/>
    <s v="Dunzo"/>
    <n v="205"/>
  </r>
  <r>
    <x v="55"/>
    <d v="2026-05-01T00:00:00"/>
    <s v="15-06-2024"/>
    <d v="1899-12-30T00:00:00"/>
    <s v="Kfc"/>
    <x v="7"/>
    <s v="Mughlai"/>
    <n v="43"/>
    <n v="4.7"/>
    <s v="49 mins"/>
    <n v="548"/>
    <n v="0"/>
    <s v="Wallet"/>
    <s v="Refunded"/>
    <n v="7"/>
    <s v="In-House"/>
    <n v="0"/>
  </r>
  <r>
    <x v="56"/>
    <d v="2026-10-18T00:00:00"/>
    <s v="19-01-2024"/>
    <d v="1899-12-30T00:00:00"/>
    <s v="Paradise Biryani"/>
    <x v="7"/>
    <s v="Street Food"/>
    <n v="60"/>
    <n v="3.6"/>
    <s v="15 mins"/>
    <n v="2461"/>
    <n v="0.2"/>
    <s v="Cash On Delivery"/>
    <s v="Delivered"/>
    <n v="6"/>
    <s v="Grab"/>
    <n v="148"/>
  </r>
  <r>
    <x v="57"/>
    <d v="2026-03-08T00:00:00"/>
    <s v="16-03-2024"/>
    <d v="1899-12-30T00:00:00"/>
    <s v="Haldiram'S"/>
    <x v="1"/>
    <s v="South Indian"/>
    <n v="63"/>
    <n v="4.4000000000000004"/>
    <s v="36mins"/>
    <n v="2333"/>
    <n v="120"/>
    <s v="Credit Card"/>
    <s v="Delivered"/>
    <n v="7"/>
    <s v="Zomato Valet"/>
    <n v="68"/>
  </r>
  <r>
    <x v="3"/>
    <d v="2026-12-10T00:00:00"/>
    <s v="24-02-2024"/>
    <d v="1899-12-30T00:00:00"/>
    <s v="Behrouz Biryani"/>
    <x v="8"/>
    <s v="Biryani"/>
    <n v="42"/>
    <n v="3.3"/>
    <s v="73mins"/>
    <n v="1589"/>
    <n v="75"/>
    <s v="Net Banking"/>
    <s v="Cancelled"/>
    <n v="9"/>
    <s v="Grab"/>
    <n v="47"/>
  </r>
  <r>
    <x v="58"/>
    <d v="2026-10-27T00:00:00"/>
    <s v="14-06-2024"/>
    <d v="1899-12-30T00:00:00"/>
    <s v="Paradise Biryani"/>
    <x v="3"/>
    <s v="Italian"/>
    <n v="44"/>
    <n v="2.8"/>
    <s v="51 mins"/>
    <n v="193"/>
    <n v="0.2"/>
    <s v="Credit Card"/>
    <s v="Delivered"/>
    <n v="9"/>
    <s v="Dunzo"/>
    <n v="171"/>
  </r>
  <r>
    <x v="59"/>
    <d v="2026-06-04T00:00:00"/>
    <s v="07-07-2024"/>
    <d v="1899-12-30T22:18:00"/>
    <s v="Burger King"/>
    <x v="9"/>
    <s v="Chinese"/>
    <n v="57"/>
    <n v="1.7"/>
    <s v="28 mins"/>
    <n v="2056"/>
    <n v="120"/>
    <s v="Debit Card"/>
    <s v="Refunded"/>
    <n v="2"/>
    <s v="Shadowfax"/>
    <n v="223"/>
  </r>
  <r>
    <x v="60"/>
    <d v="2026-02-14T00:00:00"/>
    <s v="03-02-2024"/>
    <d v="1899-12-30T00:00:00"/>
    <s v="Kfc"/>
    <x v="10"/>
    <s v="South Indian"/>
    <n v="35"/>
    <n v="4.5"/>
    <s v="77mins"/>
    <n v="500"/>
    <n v="150"/>
    <s v="Upi"/>
    <s v="Refunded"/>
    <n v="7"/>
    <s v="Shadowfax"/>
    <n v="14"/>
  </r>
  <r>
    <x v="61"/>
    <d v="2026-07-04T00:00:00"/>
    <s v="03-28-2024"/>
    <d v="1899-12-30T23:17:00"/>
    <s v="Bikanervala"/>
    <x v="4"/>
    <s v="Italian"/>
    <n v="28"/>
    <n v="4.5"/>
    <s v="38 mins"/>
    <n v="716"/>
    <n v="50"/>
    <s v="Upi"/>
    <s v="Cancelled"/>
    <n v="4"/>
    <s v="Grab"/>
    <n v="91"/>
  </r>
  <r>
    <x v="62"/>
    <d v="2026-10-16T00:00:00"/>
    <s v="22-03-2024"/>
    <d v="1899-12-30T00:00:00"/>
    <s v="Chai Point"/>
    <x v="8"/>
    <s v="Mughlai"/>
    <n v="47"/>
    <n v="2.5"/>
    <s v="51 mins"/>
    <n v="1987"/>
    <n v="0.2"/>
    <s v="Net Banking"/>
    <s v="Delivered"/>
    <n v="0"/>
    <s v="Unknown"/>
    <n v="99"/>
  </r>
  <r>
    <x v="46"/>
    <d v="2026-03-04T00:00:00"/>
    <s v="01-01-2024"/>
    <d v="1899-12-30T00:00:00"/>
    <s v="Behrouz Biryani"/>
    <x v="1"/>
    <s v="Biryani"/>
    <n v="62"/>
    <n v="2.8"/>
    <s v="27mins"/>
    <n v="1323"/>
    <n v="0.6"/>
    <s v="Net Banking"/>
    <s v="Refunded"/>
    <n v="6"/>
    <s v="Dunzo"/>
    <n v="231"/>
  </r>
  <r>
    <x v="63"/>
    <d v="2026-03-14T00:00:00"/>
    <s v="28-01-2024"/>
    <d v="1899-12-30T00:00:00"/>
    <s v="Kfc"/>
    <x v="5"/>
    <s v="Biryani"/>
    <n v="38"/>
    <n v="3.8"/>
    <s v="65mins"/>
    <n v="1342"/>
    <n v="0.15"/>
    <s v="Upi"/>
    <s v="Delivered"/>
    <n v="3"/>
    <s v="Unknown"/>
    <n v="194"/>
  </r>
  <r>
    <x v="64"/>
    <d v="2026-06-21T00:00:00"/>
    <s v="05-04-2024"/>
    <d v="1899-12-30T00:00:00"/>
    <s v="H@Ldir@M'S"/>
    <x v="9"/>
    <s v="South Indian"/>
    <n v="18"/>
    <n v="1.7"/>
    <s v="65mins"/>
    <n v="1301"/>
    <n v="75"/>
    <s v="Credit Card"/>
    <s v="Cancelled"/>
    <n v="5"/>
    <s v="Grab"/>
    <n v="60"/>
  </r>
  <r>
    <x v="65"/>
    <d v="2026-06-20T00:00:00"/>
    <s v="05-14-2024"/>
    <d v="1899-12-30T08:30:00"/>
    <s v="Wow! Momo"/>
    <x v="8"/>
    <s v="Desserts"/>
    <n v="35"/>
    <n v="2.5"/>
    <s v="60mins"/>
    <n v="1945"/>
    <n v="0"/>
    <s v="Credit Card"/>
    <s v="Delivered"/>
    <n v="7"/>
    <s v="Dunzo"/>
    <n v="23"/>
  </r>
  <r>
    <x v="66"/>
    <d v="2026-02-15T00:00:00"/>
    <m/>
    <d v="1899-12-30T00:00:00"/>
    <s v="Behrouz Biryani"/>
    <x v="1"/>
    <s v="North Indian"/>
    <n v="18"/>
    <n v="1.8"/>
    <s v="60 mins"/>
    <n v="542"/>
    <n v="0"/>
    <s v="Upi"/>
    <s v="Delivered"/>
    <n v="6"/>
    <s v="In-House"/>
    <n v="47"/>
  </r>
  <r>
    <x v="67"/>
    <d v="2026-06-12T00:00:00"/>
    <s v="21-04-2024"/>
    <d v="1899-12-30T00:00:00"/>
    <s v="Faasos"/>
    <x v="10"/>
    <s v="Fast Food"/>
    <n v="18"/>
    <n v="4.8"/>
    <s v="19mins"/>
    <n v="553"/>
    <n v="120"/>
    <s v="Credit Card"/>
    <s v="Refunded"/>
    <n v="3"/>
    <s v="In-House"/>
    <n v="154"/>
  </r>
  <r>
    <x v="68"/>
    <d v="2026-10-24T00:00:00"/>
    <s v="08-03-2024"/>
    <d v="1899-12-30T00:00:00"/>
    <s v="Haldiram'S"/>
    <x v="1"/>
    <s v="Mughlai"/>
    <n v="54"/>
    <n v="3.7"/>
    <s v="19 mins"/>
    <n v="500"/>
    <n v="0"/>
    <s v="Debit Card"/>
    <s v="Delivered"/>
    <n v="2"/>
    <s v="Dunzo"/>
    <m/>
  </r>
  <r>
    <x v="69"/>
    <d v="2026-10-28T00:00:00"/>
    <s v="21-04-2024"/>
    <d v="1899-12-30T00:00:00"/>
    <s v="Kfc"/>
    <x v="8"/>
    <s v="North Indian"/>
    <n v="18"/>
    <n v="2.2000000000000002"/>
    <s v="76mins"/>
    <n v="500"/>
    <n v="0.2"/>
    <s v="Upi"/>
    <s v="Delivered"/>
    <n v="9"/>
    <s v="Grab"/>
    <n v="42"/>
  </r>
  <r>
    <x v="70"/>
    <d v="2026-05-16T00:00:00"/>
    <s v="27-02-2024"/>
    <d v="1899-12-30T00:00:00"/>
    <s v="Barbeque Nation"/>
    <x v="8"/>
    <s v="North Indian"/>
    <n v="48"/>
    <n v="1.9"/>
    <s v="65mins"/>
    <n v="2269"/>
    <n v="120"/>
    <s v="Net Banking"/>
    <s v="Delivered"/>
    <n v="4"/>
    <s v="Unknown"/>
    <n v="54"/>
  </r>
  <r>
    <x v="71"/>
    <d v="2026-10-02T00:00:00"/>
    <s v="07-02-2024"/>
    <d v="1899-12-30T00:00:00"/>
    <s v="Behrouz Biryani"/>
    <x v="7"/>
    <s v="North Indian"/>
    <n v="44"/>
    <n v="3.3"/>
    <s v="27mins"/>
    <n v="2321"/>
    <n v="0.2"/>
    <s v="Net Banking"/>
    <s v="Delivered"/>
    <n v="7"/>
    <s v="Shadowfax"/>
    <n v="53"/>
  </r>
  <r>
    <x v="72"/>
    <d v="2026-09-27T00:00:00"/>
    <s v="13-01-2024"/>
    <d v="1899-12-30T00:00:00"/>
    <s v="Unknown"/>
    <x v="5"/>
    <s v="South Indian"/>
    <n v="38"/>
    <n v="2.7"/>
    <s v="39mins"/>
    <n v="1171"/>
    <n v="100"/>
    <s v="Net Banking"/>
    <s v="Cancelled"/>
    <n v="9"/>
    <s v="Unknown"/>
    <n v="16"/>
  </r>
  <r>
    <x v="73"/>
    <d v="2026-11-02T00:00:00"/>
    <s v="26-04-2024"/>
    <d v="1899-12-30T00:00:00"/>
    <s v="Behrouz Biryani"/>
    <x v="9"/>
    <s v="Mughlai"/>
    <n v="28"/>
    <n v="2"/>
    <s v="26mins"/>
    <n v="798"/>
    <n v="0.6"/>
    <s v="Credit Card"/>
    <s v="Refunded"/>
    <n v="1"/>
    <s v="Grab"/>
    <m/>
  </r>
  <r>
    <x v="74"/>
    <d v="2026-05-10T00:00:00"/>
    <s v="19-03-2024"/>
    <d v="1899-12-30T00:00:00"/>
    <s v="Subway"/>
    <x v="8"/>
    <s v="Street Food"/>
    <n v="56"/>
    <n v="2.2000000000000002"/>
    <s v="19 mins"/>
    <n v="920"/>
    <n v="0.2"/>
    <s v="Debit Card"/>
    <s v="Cancelled"/>
    <n v="10"/>
    <s v="Grab"/>
    <n v="158"/>
  </r>
  <r>
    <x v="75"/>
    <d v="2026-10-05T00:00:00"/>
    <s v="17-04-2024"/>
    <d v="1899-12-30T00:00:00"/>
    <s v="Bikanervala"/>
    <x v="6"/>
    <s v="Desserts"/>
    <n v="29"/>
    <n v="2.9"/>
    <s v="38mins"/>
    <n v="2374"/>
    <n v="50"/>
    <s v="Debit Card"/>
    <s v="Refunded"/>
    <n v="2"/>
    <s v="Grab"/>
    <n v="112"/>
  </r>
  <r>
    <x v="76"/>
    <d v="2026-09-08T00:00:00"/>
    <s v="31-01-2024"/>
    <d v="1899-12-30T00:00:00"/>
    <s v="Burger King"/>
    <x v="3"/>
    <s v="Mughlai"/>
    <n v="39"/>
    <n v="1.7"/>
    <s v="15mins"/>
    <n v="1196"/>
    <n v="120"/>
    <s v="Credit Card"/>
    <s v="Delivered"/>
    <n v="8"/>
    <s v="Unknown"/>
    <n v="96"/>
  </r>
  <r>
    <x v="77"/>
    <d v="2026-02-02T00:00:00"/>
    <s v="12-07-2024"/>
    <d v="1899-12-30T00:00:00"/>
    <s v="Unknown"/>
    <x v="6"/>
    <s v="South Indian"/>
    <n v="37"/>
    <n v="2.8"/>
    <s v="58mins"/>
    <n v="1152"/>
    <n v="0.5"/>
    <s v="Debit Card"/>
    <s v="Unknown"/>
    <n v="3"/>
    <s v="Shadowfax"/>
    <n v="24"/>
  </r>
  <r>
    <x v="78"/>
    <d v="2026-11-23T00:00:00"/>
    <s v="03-06-2024"/>
    <d v="1899-12-30T18:15:00"/>
    <s v="Ch@I P0Int"/>
    <x v="9"/>
    <s v="Mughlai"/>
    <n v="18"/>
    <n v="1.4"/>
    <s v="32mins"/>
    <n v="1117"/>
    <n v="120"/>
    <s v="Upi"/>
    <s v="Delivered"/>
    <n v="4"/>
    <s v="Dunzo"/>
    <n v="67"/>
  </r>
  <r>
    <x v="79"/>
    <d v="2026-01-23T00:00:00"/>
    <m/>
    <d v="1899-12-30T00:00:00"/>
    <s v="Faasos"/>
    <x v="9"/>
    <s v="South Indian"/>
    <n v="34"/>
    <n v="1.4"/>
    <s v="17 mins"/>
    <n v="2148"/>
    <n v="100"/>
    <s v="Wallet"/>
    <s v="Delivered"/>
    <n v="6"/>
    <s v="Grab"/>
    <n v="162"/>
  </r>
  <r>
    <x v="80"/>
    <d v="2026-11-12T00:00:00"/>
    <s v="12-04-2024"/>
    <d v="1899-12-30T00:00:00"/>
    <s v="Subway"/>
    <x v="4"/>
    <s v="Fast Food"/>
    <n v="46"/>
    <n v="2.5"/>
    <s v="18mins"/>
    <n v="2173"/>
    <n v="50"/>
    <s v="Cash On Delivery"/>
    <s v="Delivered"/>
    <n v="0"/>
    <s v="In-House"/>
    <n v="159"/>
  </r>
  <r>
    <x v="81"/>
    <d v="2026-02-05T00:00:00"/>
    <s v="05-12-2024"/>
    <d v="1899-12-30T17:51:00"/>
    <s v="Chai Point"/>
    <x v="7"/>
    <s v="Bakery"/>
    <n v="49"/>
    <n v="1.3"/>
    <s v="45mins"/>
    <n v="908"/>
    <n v="120"/>
    <s v="Wallet"/>
    <s v="Delivered"/>
    <n v="8"/>
    <s v="Dunzo"/>
    <n v="136"/>
  </r>
  <r>
    <x v="82"/>
    <d v="2026-11-24T00:00:00"/>
    <s v="01-01-2024"/>
    <d v="1899-12-30T03:06:00"/>
    <s v="Chai Point"/>
    <x v="1"/>
    <s v="Chinese"/>
    <n v="63"/>
    <n v="3.9"/>
    <s v="63 mins"/>
    <n v="500"/>
    <n v="0.2"/>
    <s v="Net Banking"/>
    <s v="Cancelled"/>
    <n v="7"/>
    <s v="Zomato Valet"/>
    <n v="40"/>
  </r>
  <r>
    <x v="83"/>
    <d v="2026-07-09T00:00:00"/>
    <s v="18-02-2024"/>
    <d v="1899-12-30T00:00:00"/>
    <s v="Unknown"/>
    <x v="10"/>
    <s v="Bakery"/>
    <n v="21"/>
    <n v="2.7"/>
    <s v="80mins"/>
    <n v="1979"/>
    <n v="50"/>
    <s v="Wallet"/>
    <s v="Delivered"/>
    <n v="10"/>
    <s v="In-House"/>
    <n v="238"/>
  </r>
  <r>
    <x v="84"/>
    <d v="2026-05-20T00:00:00"/>
    <s v="04-15-2024"/>
    <d v="1899-12-30T20:33:00"/>
    <s v="Behrouz Biryani"/>
    <x v="8"/>
    <s v="Biryani"/>
    <n v="29"/>
    <n v="3.8"/>
    <s v="29mins"/>
    <n v="1931"/>
    <n v="150"/>
    <s v="Wallet"/>
    <s v="Refunded"/>
    <n v="0"/>
    <s v="Unknown"/>
    <n v="32"/>
  </r>
  <r>
    <x v="85"/>
    <d v="2026-06-25T00:00:00"/>
    <s v="02-11-2024"/>
    <d v="1899-12-30T09:46:00"/>
    <s v="Barbeque Nation"/>
    <x v="0"/>
    <s v="Street Food"/>
    <n v="62"/>
    <n v="3.7"/>
    <s v="64mins"/>
    <n v="1111"/>
    <n v="120"/>
    <s v="Unknown"/>
    <s v="Refunded"/>
    <n v="8"/>
    <s v="Shadowfax"/>
    <n v="134"/>
  </r>
  <r>
    <x v="86"/>
    <d v="2026-12-04T00:00:00"/>
    <s v="17-07-2024"/>
    <d v="1899-12-30T00:00:00"/>
    <s v="Barbeque Nation"/>
    <x v="8"/>
    <s v="Biryani"/>
    <n v="39"/>
    <n v="4.7"/>
    <s v="15 mins"/>
    <n v="2330"/>
    <n v="150"/>
    <s v="Net Banking"/>
    <s v="Delivered"/>
    <n v="4"/>
    <s v="Shadowfax"/>
    <n v="27"/>
  </r>
  <r>
    <x v="87"/>
    <d v="2026-03-30T00:00:00"/>
    <s v="24-02-2024"/>
    <d v="1899-12-30T00:00:00"/>
    <s v="Kfc"/>
    <x v="8"/>
    <s v="Desserts"/>
    <n v="20"/>
    <n v="2.2999999999999998"/>
    <s v="29mins"/>
    <n v="1038"/>
    <n v="0.6"/>
    <s v="Debit Card"/>
    <s v="Refunded"/>
    <n v="2"/>
    <s v="Shadowfax"/>
    <n v="96"/>
  </r>
  <r>
    <x v="88"/>
    <d v="2026-05-06T00:00:00"/>
    <s v="24-02-2024"/>
    <d v="1899-12-30T00:00:00"/>
    <s v="Dominos Pizza"/>
    <x v="9"/>
    <s v="Unknown"/>
    <n v="29"/>
    <n v="3.2"/>
    <s v="44mins"/>
    <n v="2288"/>
    <n v="100"/>
    <s v="Cash On Delivery"/>
    <s v="Delivered"/>
    <n v="10"/>
    <s v="Zomato Valet"/>
    <n v="226"/>
  </r>
  <r>
    <x v="89"/>
    <d v="2026-03-29T00:00:00"/>
    <s v="01-30-2024"/>
    <d v="1899-12-30T06:11:00"/>
    <s v="Chai Point"/>
    <x v="1"/>
    <s v="South Indian"/>
    <n v="40"/>
    <n v="3.6"/>
    <s v="54 mins"/>
    <n v="286"/>
    <n v="75"/>
    <s v="Net Banking"/>
    <s v="Delivered"/>
    <n v="1"/>
    <s v="Dunzo"/>
    <n v="164"/>
  </r>
  <r>
    <x v="90"/>
    <d v="2026-01-04T00:00:00"/>
    <s v="06-07-2024"/>
    <d v="1899-12-30T00:00:00"/>
    <s v="Paradise Biryani"/>
    <x v="10"/>
    <s v="Street Food"/>
    <n v="19"/>
    <n v="3.5"/>
    <s v="66mins"/>
    <n v="1951"/>
    <n v="0"/>
    <s v="Debit Card"/>
    <s v="Cancelled"/>
    <n v="5"/>
    <s v="Shadowfax"/>
    <n v="51"/>
  </r>
  <r>
    <x v="91"/>
    <d v="2026-08-25T00:00:00"/>
    <s v="06-06-2024"/>
    <d v="1899-12-30T05:39:00"/>
    <s v="Barbeque Nation"/>
    <x v="4"/>
    <s v="Chinese"/>
    <n v="60"/>
    <n v="4.5999999999999996"/>
    <s v="75mins"/>
    <n v="2305"/>
    <n v="0"/>
    <s v="Wallet"/>
    <s v="Refunded"/>
    <n v="3"/>
    <s v="Grab"/>
    <n v="136"/>
  </r>
  <r>
    <x v="92"/>
    <d v="2026-05-03T00:00:00"/>
    <s v="27-02-2024"/>
    <d v="1899-12-30T00:00:00"/>
    <s v="Kfc"/>
    <x v="4"/>
    <s v="Biryani"/>
    <n v="25"/>
    <n v="2.7"/>
    <s v="29mins"/>
    <n v="1266"/>
    <n v="0.15"/>
    <s v="Wallet"/>
    <s v="Delivered"/>
    <n v="9"/>
    <s v="Zomato Valet"/>
    <n v="25"/>
  </r>
  <r>
    <x v="93"/>
    <d v="2026-12-24T00:00:00"/>
    <s v="31-01-2024"/>
    <d v="1899-12-30T00:00:00"/>
    <s v="Barbeque Nation"/>
    <x v="7"/>
    <s v="Street Food"/>
    <n v="40"/>
    <n v="4"/>
    <s v="27mins"/>
    <n v="1133"/>
    <n v="0"/>
    <s v="Debit Card"/>
    <s v="Delivered"/>
    <n v="2"/>
    <s v="Unknown"/>
    <n v="136"/>
  </r>
  <r>
    <x v="94"/>
    <d v="2026-04-27T00:00:00"/>
    <s v="02-09-2024"/>
    <d v="1899-12-30T14:32:00"/>
    <s v="Burger King"/>
    <x v="7"/>
    <s v="Mughlai"/>
    <n v="54"/>
    <n v="3.8"/>
    <s v="30mins"/>
    <n v="1900"/>
    <n v="50"/>
    <s v="Upi"/>
    <s v="Delivered"/>
    <n v="7"/>
    <s v="Unknown"/>
    <n v="50"/>
  </r>
  <r>
    <x v="95"/>
    <d v="2026-04-22T00:00:00"/>
    <s v="17-01-2024"/>
    <d v="1899-12-30T00:00:00"/>
    <s v="Haldiram'S"/>
    <x v="8"/>
    <s v="Fast Food"/>
    <n v="51"/>
    <n v="1.1000000000000001"/>
    <s v="44mins"/>
    <n v="1584"/>
    <n v="0.1"/>
    <s v="Credit Card"/>
    <s v="Delivered"/>
    <n v="0"/>
    <s v="In-House"/>
    <n v="14"/>
  </r>
  <r>
    <x v="96"/>
    <d v="2026-02-01T00:00:00"/>
    <s v="03-11-2024"/>
    <d v="1899-12-30T07:43:00"/>
    <s v="Dominos Pizza"/>
    <x v="4"/>
    <s v="Biryani"/>
    <n v="52"/>
    <n v="3.3"/>
    <s v="63mins"/>
    <n v="1460"/>
    <n v="100"/>
    <s v="Wallet"/>
    <s v="Delivered"/>
    <n v="4"/>
    <s v="In-House"/>
    <n v="56"/>
  </r>
  <r>
    <x v="97"/>
    <d v="2026-10-21T00:00:00"/>
    <s v="08-03-2024"/>
    <d v="1899-12-30T00:00:00"/>
    <s v="Subway"/>
    <x v="1"/>
    <s v="Fast Food"/>
    <n v="30"/>
    <n v="2"/>
    <s v="44mins"/>
    <n v="603"/>
    <n v="50"/>
    <s v="Upi"/>
    <s v="Delivered"/>
    <n v="1"/>
    <s v="Grab"/>
    <n v="216"/>
  </r>
  <r>
    <x v="98"/>
    <d v="2026-08-29T00:00:00"/>
    <s v="16-02-2024"/>
    <d v="1899-12-30T00:00:00"/>
    <s v="Dominos Pizza"/>
    <x v="11"/>
    <s v="Desserts"/>
    <n v="62"/>
    <n v="2.2999999999999998"/>
    <s v="15 mins"/>
    <n v="1724"/>
    <n v="0.2"/>
    <s v="Net Banking"/>
    <s v="Refunded"/>
    <n v="8"/>
    <s v="Grab"/>
    <n v="43"/>
  </r>
  <r>
    <x v="99"/>
    <d v="2026-03-23T00:00:00"/>
    <s v="02-03-2024"/>
    <d v="1899-12-30T19:39:00"/>
    <s v="Haldiram'S"/>
    <x v="6"/>
    <s v="North Indian"/>
    <n v="51"/>
    <n v="2.2999999999999998"/>
    <s v="47mins"/>
    <n v="1458"/>
    <n v="0.15"/>
    <s v="Upi"/>
    <s v="Delivered"/>
    <n v="9"/>
    <s v="Rapido"/>
    <n v="73"/>
  </r>
  <r>
    <x v="3"/>
    <d v="2026-08-11T00:00:00"/>
    <s v="07-05-2024"/>
    <d v="1899-12-30T08:00:00"/>
    <s v="Behrouz Biryani"/>
    <x v="9"/>
    <s v="Unknown"/>
    <n v="23"/>
    <n v="3.5"/>
    <s v="74 mins"/>
    <n v="2227"/>
    <n v="0.2"/>
    <s v="Cash On Delivery"/>
    <s v="Delivered"/>
    <n v="8"/>
    <s v="Grab"/>
    <n v="10"/>
  </r>
  <r>
    <x v="100"/>
    <d v="2026-09-19T00:00:00"/>
    <s v="15-02-2024"/>
    <d v="1899-12-30T00:00:00"/>
    <s v="Faasos"/>
    <x v="8"/>
    <s v="South Indian"/>
    <n v="18"/>
    <n v="4"/>
    <s v="33 mins"/>
    <n v="500"/>
    <n v="100"/>
    <s v="Unknown"/>
    <s v="Delivered"/>
    <n v="9"/>
    <s v="Dunzo"/>
    <n v="64"/>
  </r>
  <r>
    <x v="101"/>
    <d v="2026-06-29T00:00:00"/>
    <s v="06-04-2024"/>
    <d v="1899-12-30T00:00:00"/>
    <s v="Subway"/>
    <x v="5"/>
    <s v="Italian, Fast Food"/>
    <n v="58"/>
    <n v="2.8"/>
    <s v="77mins"/>
    <n v="500"/>
    <n v="0"/>
    <s v="Unknown"/>
    <s v="Delivered"/>
    <n v="1"/>
    <s v="Shadowfax"/>
    <n v="8"/>
  </r>
  <r>
    <x v="102"/>
    <d v="2026-09-21T00:00:00"/>
    <s v="04-05-2024"/>
    <d v="1899-12-30T15:49:00"/>
    <s v="Bikanervala"/>
    <x v="7"/>
    <s v="Biryani"/>
    <n v="33"/>
    <n v="4.9000000000000004"/>
    <s v="17 mins"/>
    <n v="594"/>
    <n v="0"/>
    <s v="Wallet"/>
    <s v="Refunded"/>
    <n v="9"/>
    <s v="Rapido"/>
    <n v="19"/>
  </r>
  <r>
    <x v="103"/>
    <d v="2026-01-23T00:00:00"/>
    <s v="01-29-2024"/>
    <d v="1899-12-30T08:03:00"/>
    <s v="Unknown"/>
    <x v="5"/>
    <s v="North Indian"/>
    <n v="23"/>
    <n v="3"/>
    <s v="58mins"/>
    <n v="2335"/>
    <n v="0"/>
    <s v="Debit Card"/>
    <s v="Cancelled"/>
    <n v="6"/>
    <s v="Grab"/>
    <n v="45"/>
  </r>
  <r>
    <x v="104"/>
    <d v="2026-01-31T00:00:00"/>
    <s v="22-04-2024"/>
    <d v="1899-12-30T00:00:00"/>
    <s v="Behrouz Biryani"/>
    <x v="1"/>
    <s v="Street Food"/>
    <n v="52"/>
    <n v="1"/>
    <s v="63mins"/>
    <n v="1866"/>
    <n v="75"/>
    <s v="Net Banking"/>
    <s v="Delivered"/>
    <n v="9"/>
    <s v="Shadowfax"/>
    <n v="132"/>
  </r>
  <r>
    <x v="105"/>
    <d v="2026-08-11T00:00:00"/>
    <s v="03-02-2024"/>
    <d v="1899-12-30T00:00:00"/>
    <s v="Dominos Pizza"/>
    <x v="7"/>
    <s v="Biryani"/>
    <n v="18"/>
    <n v="3.6"/>
    <s v="25mins"/>
    <n v="1234"/>
    <n v="0.5"/>
    <s v="Debit Card"/>
    <s v="Delivered"/>
    <n v="4"/>
    <s v="Rapido"/>
    <n v="95"/>
  </r>
  <r>
    <x v="106"/>
    <d v="2026-05-28T00:00:00"/>
    <s v="09-06-2024"/>
    <d v="1899-12-30T00:00:00"/>
    <s v="Wow! Momo"/>
    <x v="1"/>
    <s v="Fast Food"/>
    <n v="56"/>
    <n v="2.4"/>
    <s v="56mins"/>
    <n v="2131"/>
    <n v="150"/>
    <s v="Debit Card"/>
    <s v="Delivered"/>
    <n v="8"/>
    <s v="Unknown"/>
    <n v="69"/>
  </r>
  <r>
    <x v="3"/>
    <d v="2026-10-12T00:00:00"/>
    <m/>
    <d v="1899-12-30T00:00:00"/>
    <s v="Dominos Pizza"/>
    <x v="5"/>
    <s v="Bakery, Desserts"/>
    <n v="34"/>
    <n v="3.3"/>
    <s v="66 mins"/>
    <n v="835"/>
    <n v="50"/>
    <s v="Wallet"/>
    <s v="Delivered"/>
    <n v="2"/>
    <s v="Rapido"/>
    <n v="187"/>
  </r>
  <r>
    <x v="107"/>
    <d v="2026-08-05T00:00:00"/>
    <s v="26-03-2024"/>
    <d v="1899-12-30T00:00:00"/>
    <s v="Subway"/>
    <x v="10"/>
    <s v="North Indian, Street Food"/>
    <n v="38"/>
    <n v="1.9"/>
    <s v="61 mins"/>
    <n v="2494"/>
    <n v="120"/>
    <s v="Net Banking"/>
    <s v="Cancelled"/>
    <n v="1"/>
    <s v="Rapido"/>
    <n v="86"/>
  </r>
  <r>
    <x v="108"/>
    <d v="2026-01-07T00:00:00"/>
    <s v="23-05-2024"/>
    <d v="1899-12-30T00:00:00"/>
    <s v="Faasos"/>
    <x v="6"/>
    <s v="Bakery"/>
    <n v="38"/>
    <n v="3.6"/>
    <s v="36mins"/>
    <n v="2471"/>
    <n v="100"/>
    <s v="Net Banking"/>
    <s v="Cancelled"/>
    <n v="2"/>
    <s v="Zomato Valet"/>
    <n v="125"/>
  </r>
  <r>
    <x v="109"/>
    <d v="2026-09-12T00:00:00"/>
    <s v="20-03-2024"/>
    <d v="1899-12-30T00:00:00"/>
    <s v="Wow! Momo"/>
    <x v="6"/>
    <s v="Street Food"/>
    <n v="59"/>
    <n v="4.7"/>
    <s v="30mins"/>
    <n v="558"/>
    <n v="0.1"/>
    <s v="Debit Card"/>
    <s v="Delivered"/>
    <n v="5"/>
    <s v="Shadowfax"/>
    <n v="19"/>
  </r>
  <r>
    <x v="110"/>
    <d v="2026-01-05T00:00:00"/>
    <s v="25-05-2024"/>
    <d v="1899-12-30T00:00:00"/>
    <s v="Dominos Pizza"/>
    <x v="1"/>
    <s v="Desserts"/>
    <n v="32"/>
    <n v="2.5"/>
    <s v="16mins"/>
    <n v="2323"/>
    <n v="0.15"/>
    <s v="Credit Card"/>
    <s v="Delivered"/>
    <n v="4"/>
    <s v="Grab"/>
    <n v="163"/>
  </r>
  <r>
    <x v="111"/>
    <d v="2026-11-22T00:00:00"/>
    <s v="09-07-2024"/>
    <d v="1899-12-30T00:00:00"/>
    <s v="Wow! Momo"/>
    <x v="12"/>
    <s v="Chinese"/>
    <n v="51"/>
    <n v="4.9000000000000004"/>
    <s v="43 mins"/>
    <n v="1067"/>
    <n v="100"/>
    <s v="Credit Card"/>
    <s v="Delivered"/>
    <n v="2"/>
    <s v="In-House"/>
    <n v="113"/>
  </r>
  <r>
    <x v="112"/>
    <d v="2026-07-06T00:00:00"/>
    <m/>
    <d v="1899-12-30T00:00:00"/>
    <s v="Paradise Biryani"/>
    <x v="5"/>
    <s v="Fast Food"/>
    <n v="41"/>
    <n v="3.8"/>
    <s v="80mins"/>
    <n v="1577"/>
    <n v="0"/>
    <s v="Credit Card"/>
    <s v="Cancelled"/>
    <n v="1"/>
    <s v="Grab"/>
    <n v="237"/>
  </r>
  <r>
    <x v="113"/>
    <d v="2026-03-07T00:00:00"/>
    <s v="02-21-2024"/>
    <d v="1899-12-30T00:07:00"/>
    <s v="Unknown"/>
    <x v="1"/>
    <s v="Mughlai"/>
    <n v="23"/>
    <n v="1"/>
    <s v="50mins"/>
    <n v="1595"/>
    <n v="0"/>
    <s v="Cash Card"/>
    <s v="Delivered"/>
    <n v="2"/>
    <s v="Zomato Valet"/>
    <n v="27"/>
  </r>
  <r>
    <x v="114"/>
    <d v="2026-05-03T00:00:00"/>
    <s v="26-05-2024"/>
    <d v="1899-12-30T00:00:00"/>
    <s v="Paradise Biryani"/>
    <x v="5"/>
    <s v="Italian, Mughlai"/>
    <n v="62"/>
    <n v="2.2999999999999998"/>
    <s v="41mins"/>
    <n v="1776"/>
    <n v="0.6"/>
    <s v="Upi"/>
    <s v="Refunded"/>
    <n v="10"/>
    <s v="Rapido"/>
    <n v="106"/>
  </r>
  <r>
    <x v="115"/>
    <d v="2026-07-01T00:00:00"/>
    <s v="16-02-2024"/>
    <d v="1899-12-30T00:00:00"/>
    <s v="Burger King"/>
    <x v="9"/>
    <s v="Italian"/>
    <n v="18"/>
    <n v="3.8"/>
    <s v="23mins"/>
    <n v="852"/>
    <n v="0.1"/>
    <s v="Upi"/>
    <s v="Delivered"/>
    <n v="6"/>
    <s v="In-House"/>
    <n v="68"/>
  </r>
  <r>
    <x v="116"/>
    <d v="2026-01-26T00:00:00"/>
    <s v="17-05-2024"/>
    <d v="1899-12-30T00:00:00"/>
    <s v="Subway"/>
    <x v="10"/>
    <s v="Chinese"/>
    <n v="22"/>
    <n v="2.1"/>
    <s v="15 mins"/>
    <n v="2461"/>
    <n v="120"/>
    <s v="Net Banking"/>
    <s v="Refunded"/>
    <n v="0"/>
    <s v="Grab"/>
    <n v="43"/>
  </r>
  <r>
    <x v="117"/>
    <d v="2026-11-16T00:00:00"/>
    <s v="14-02-2024"/>
    <d v="1899-12-30T00:00:00"/>
    <s v="Bik@Nerv@L@"/>
    <x v="1"/>
    <s v="Mughlai"/>
    <n v="24"/>
    <n v="4.8"/>
    <s v="31mins"/>
    <n v="500"/>
    <n v="0.6"/>
    <s v="Unknown"/>
    <s v="Delivered"/>
    <n v="8"/>
    <s v="Zomato Valet"/>
    <m/>
  </r>
  <r>
    <x v="118"/>
    <d v="2026-11-06T00:00:00"/>
    <s v="23-02-2024"/>
    <d v="1899-12-30T00:00:00"/>
    <s v="Burger King"/>
    <x v="4"/>
    <s v="Street Food"/>
    <n v="27"/>
    <n v="4.2"/>
    <s v="36mins"/>
    <n v="290"/>
    <n v="0.5"/>
    <s v="Upi"/>
    <s v="Delivered"/>
    <n v="10"/>
    <s v="Rapido"/>
    <n v="67"/>
  </r>
  <r>
    <x v="119"/>
    <d v="2026-01-27T00:00:00"/>
    <s v="13-07-2024"/>
    <d v="1899-12-30T00:00:00"/>
    <s v="Haldiram'S"/>
    <x v="1"/>
    <s v="Mughlai"/>
    <n v="34"/>
    <n v="2.6"/>
    <s v="57mins"/>
    <n v="1997"/>
    <n v="0"/>
    <s v="Upi"/>
    <s v="Cancelled"/>
    <n v="9"/>
    <s v="Zomato Valet"/>
    <n v="45"/>
  </r>
  <r>
    <x v="120"/>
    <d v="2026-06-13T00:00:00"/>
    <s v="28-04-2024"/>
    <d v="1899-12-30T00:00:00"/>
    <s v="Dominos Pizza"/>
    <x v="3"/>
    <s v="Italian"/>
    <n v="60"/>
    <n v="4.7"/>
    <s v="77mins"/>
    <n v="392"/>
    <n v="0.1"/>
    <s v="Cash On Delivery"/>
    <s v="Delivered"/>
    <n v="6"/>
    <s v="Grab"/>
    <n v="8"/>
  </r>
  <r>
    <x v="121"/>
    <d v="2026-06-27T00:00:00"/>
    <s v="01-01-2024"/>
    <d v="1899-12-30T05:00:00"/>
    <s v="Paradise Biryani"/>
    <x v="3"/>
    <s v="Italian"/>
    <n v="57"/>
    <n v="2.6"/>
    <s v="33 mins"/>
    <n v="269"/>
    <n v="0"/>
    <s v="Wallet"/>
    <s v="Refunded"/>
    <n v="7"/>
    <s v="In-House"/>
    <n v="46"/>
  </r>
  <r>
    <x v="122"/>
    <d v="2026-11-04T00:00:00"/>
    <s v="18-02-2024"/>
    <d v="1899-12-30T00:00:00"/>
    <s v="Kfc"/>
    <x v="11"/>
    <s v="North Indian"/>
    <n v="26"/>
    <n v="3.6"/>
    <s v="73mins"/>
    <n v="2247"/>
    <n v="120"/>
    <s v="Credit Card"/>
    <s v="Delivered"/>
    <n v="10"/>
    <s v="Grab"/>
    <n v="86"/>
  </r>
  <r>
    <x v="123"/>
    <d v="2026-02-07T00:00:00"/>
    <s v="10-01-2024"/>
    <d v="1899-12-30T00:00:00"/>
    <s v="Kfc"/>
    <x v="8"/>
    <s v="Mughlai"/>
    <n v="58"/>
    <n v="4.8"/>
    <s v="55 mins"/>
    <n v="1403"/>
    <n v="75"/>
    <s v="Net Banking"/>
    <s v="Delivered"/>
    <n v="5"/>
    <s v="Dunzo"/>
    <n v="117"/>
  </r>
  <r>
    <x v="124"/>
    <d v="2026-06-28T00:00:00"/>
    <s v="10-06-2024"/>
    <d v="1899-12-30T00:00:00"/>
    <s v="Chai Point"/>
    <x v="5"/>
    <s v="Biryani"/>
    <n v="65"/>
    <n v="1.7"/>
    <s v="34mins"/>
    <n v="1689"/>
    <n v="0.15"/>
    <s v="Cod"/>
    <s v="Delivered"/>
    <n v="8"/>
    <s v="Grab"/>
    <n v="65"/>
  </r>
  <r>
    <x v="125"/>
    <d v="2026-07-07T00:00:00"/>
    <s v="03-29-2024"/>
    <d v="1899-12-30T01:51:00"/>
    <s v="Haldiram'S"/>
    <x v="8"/>
    <s v="Biryani"/>
    <n v="46"/>
    <n v="2.2999999999999998"/>
    <s v="20mins"/>
    <n v="352"/>
    <n v="0.5"/>
    <s v="Net Banking"/>
    <s v="Refunded"/>
    <n v="8"/>
    <s v="In-House"/>
    <n v="114"/>
  </r>
  <r>
    <x v="126"/>
    <d v="2026-05-30T00:00:00"/>
    <s v="16-02-2024"/>
    <d v="1899-12-30T00:00:00"/>
    <s v="Unknown"/>
    <x v="11"/>
    <s v="South Indian"/>
    <n v="34"/>
    <n v="1.1000000000000001"/>
    <s v="75 mins"/>
    <n v="1534"/>
    <n v="0.6"/>
    <s v="Wallet"/>
    <s v="Delivered"/>
    <n v="10"/>
    <s v="Shadowfax"/>
    <n v="4"/>
  </r>
  <r>
    <x v="127"/>
    <d v="2026-05-16T00:00:00"/>
    <s v="03-11-2024"/>
    <d v="1899-12-30T14:34:00"/>
    <s v="Faasos"/>
    <x v="0"/>
    <s v="Biryani, Chinese"/>
    <n v="29"/>
    <n v="1.4"/>
    <s v="70mins"/>
    <n v="640"/>
    <n v="150"/>
    <s v="Debit Card"/>
    <s v="Failed"/>
    <n v="1"/>
    <s v="Zomato Valet"/>
    <n v="151"/>
  </r>
  <r>
    <x v="128"/>
    <d v="2026-10-09T00:00:00"/>
    <s v="16-07-2024"/>
    <d v="1899-12-30T00:00:00"/>
    <s v="Subway"/>
    <x v="0"/>
    <s v="South Indian"/>
    <n v="43"/>
    <n v="2.5"/>
    <s v="26mins"/>
    <n v="990"/>
    <n v="0.5"/>
    <s v="Debit Card"/>
    <s v="Delivered"/>
    <n v="2"/>
    <s v="In-House"/>
    <n v="212"/>
  </r>
  <r>
    <x v="129"/>
    <d v="2026-10-18T00:00:00"/>
    <s v="03-07-2024"/>
    <d v="1899-12-30T00:00:00"/>
    <s v="Subway"/>
    <x v="1"/>
    <s v="Desserts"/>
    <n v="59"/>
    <n v="2.8"/>
    <s v="34mins"/>
    <n v="1884"/>
    <n v="0"/>
    <s v="Wallet"/>
    <s v="Delivered"/>
    <n v="3"/>
    <s v="Unknown"/>
    <n v="21"/>
  </r>
  <r>
    <x v="130"/>
    <d v="2026-10-06T00:00:00"/>
    <s v="31-05-2024"/>
    <d v="1899-12-30T00:00:00"/>
    <s v="Haldiram'S"/>
    <x v="6"/>
    <s v="Italian"/>
    <n v="31"/>
    <n v="3.4"/>
    <s v="30mins"/>
    <n v="772"/>
    <n v="0.2"/>
    <s v="Net Banking"/>
    <s v="Cancelled"/>
    <n v="3"/>
    <s v="Zomato Valet"/>
    <n v="78"/>
  </r>
  <r>
    <x v="131"/>
    <d v="2026-11-24T00:00:00"/>
    <s v="03-13-2024"/>
    <d v="1899-12-30T14:12:00"/>
    <s v="Paradise Biryani"/>
    <x v="7"/>
    <s v="Bakery"/>
    <n v="37"/>
    <n v="1"/>
    <s v="22 mins"/>
    <n v="2468"/>
    <n v="120"/>
    <s v="Net Banking"/>
    <s v="Refunded"/>
    <n v="8"/>
    <s v="Grab"/>
    <n v="66"/>
  </r>
  <r>
    <x v="132"/>
    <d v="2026-10-02T00:00:00"/>
    <s v="10-03-2024"/>
    <d v="1899-12-30T00:00:00"/>
    <s v="Bikanervala"/>
    <x v="1"/>
    <s v="Biryani"/>
    <n v="28"/>
    <n v="3.2"/>
    <s v="41 mins"/>
    <n v="2160"/>
    <n v="120"/>
    <s v="Cash On Delivery"/>
    <s v="Cancelled"/>
    <n v="10"/>
    <s v="Shadowfax"/>
    <m/>
  </r>
  <r>
    <x v="133"/>
    <d v="2026-08-06T00:00:00"/>
    <s v="09-05-2024"/>
    <d v="1899-12-30T00:00:00"/>
    <s v="Subway"/>
    <x v="6"/>
    <s v="Italian"/>
    <n v="23"/>
    <n v="2.5"/>
    <s v="35mins"/>
    <n v="1794"/>
    <n v="0"/>
    <s v="Cash On Delivery"/>
    <s v="Cancelled"/>
    <n v="1"/>
    <s v="In-House"/>
    <m/>
  </r>
  <r>
    <x v="134"/>
    <d v="2026-12-01T00:00:00"/>
    <s v="05-06-2024"/>
    <d v="1899-12-30T00:00:00"/>
    <s v="Dominos Pizza"/>
    <x v="0"/>
    <s v="North Indian"/>
    <n v="29"/>
    <n v="3.8"/>
    <s v="41mins"/>
    <n v="449"/>
    <n v="150"/>
    <s v="Cash On Delivery"/>
    <s v="Cancelled"/>
    <n v="5"/>
    <s v="Rapido"/>
    <n v="59"/>
  </r>
  <r>
    <x v="135"/>
    <d v="2026-06-01T00:00:00"/>
    <s v="02-01-2024"/>
    <d v="1899-12-30T16:02:00"/>
    <s v="Faasos"/>
    <x v="9"/>
    <s v="Italian"/>
    <n v="35"/>
    <n v="1.6"/>
    <s v="28 mins"/>
    <n v="1359"/>
    <n v="0.6"/>
    <s v="Credit Card"/>
    <s v="Delivered"/>
    <n v="4"/>
    <s v="Rapido"/>
    <n v="33"/>
  </r>
  <r>
    <x v="136"/>
    <d v="2026-11-01T00:00:00"/>
    <s v="27-04-2024"/>
    <d v="1899-12-30T00:00:00"/>
    <s v="Behrouz Biryani"/>
    <x v="5"/>
    <s v="Fast Food"/>
    <n v="25"/>
    <n v="4.5999999999999996"/>
    <s v="50 mins"/>
    <n v="500"/>
    <n v="50"/>
    <s v="Cash On Delivery"/>
    <s v="Cancelled"/>
    <n v="5"/>
    <s v="Unknown"/>
    <n v="98"/>
  </r>
  <r>
    <x v="137"/>
    <d v="2026-05-02T00:00:00"/>
    <s v="23-01-2024"/>
    <d v="1899-12-30T00:00:00"/>
    <s v="Burger King"/>
    <x v="4"/>
    <s v="Mughlai"/>
    <n v="53"/>
    <n v="1.9"/>
    <s v="34mins"/>
    <n v="745"/>
    <n v="100"/>
    <s v="Upi"/>
    <s v="Delivered"/>
    <n v="0"/>
    <s v="Dunzo"/>
    <n v="118"/>
  </r>
  <r>
    <x v="138"/>
    <d v="2026-12-12T00:00:00"/>
    <s v="03-07-2024"/>
    <d v="1899-12-30T21:26:00"/>
    <s v="Behr0Uz Biry@Ni"/>
    <x v="5"/>
    <s v="Desserts"/>
    <n v="41"/>
    <n v="4.5999999999999996"/>
    <s v="52mins"/>
    <n v="814"/>
    <n v="0"/>
    <s v="Credit Card"/>
    <s v="Cancelled"/>
    <n v="5"/>
    <s v="Dunzo"/>
    <n v="48"/>
  </r>
  <r>
    <x v="139"/>
    <d v="2026-02-27T00:00:00"/>
    <s v="03-13-2024"/>
    <d v="1899-12-30T12:43:00"/>
    <s v="Subway"/>
    <x v="6"/>
    <s v="Street Food"/>
    <n v="44"/>
    <n v="1.3"/>
    <s v="17mins"/>
    <n v="1261"/>
    <n v="0.5"/>
    <s v="Net Banking"/>
    <s v="Unknown"/>
    <n v="4"/>
    <s v="Shadowfax"/>
    <n v="5"/>
  </r>
  <r>
    <x v="140"/>
    <d v="2026-05-19T00:00:00"/>
    <s v="05-05-2024"/>
    <d v="1899-12-30T00:00:00"/>
    <s v="Paradise Biryani"/>
    <x v="10"/>
    <s v="Fast Food"/>
    <n v="43"/>
    <n v="4.4000000000000004"/>
    <s v="50mins"/>
    <n v="1940"/>
    <n v="150"/>
    <s v="Cash On Delivery"/>
    <s v="Delivered"/>
    <n v="2"/>
    <s v="Dunzo"/>
    <m/>
  </r>
  <r>
    <x v="141"/>
    <d v="2026-12-25T00:00:00"/>
    <m/>
    <d v="1899-12-30T00:00:00"/>
    <s v="Barbeque Nation"/>
    <x v="9"/>
    <s v="Mughlai"/>
    <n v="34"/>
    <n v="4.2"/>
    <s v="17mins"/>
    <n v="500"/>
    <n v="0"/>
    <s v="Cash On Delivery"/>
    <s v="Delivered"/>
    <n v="5"/>
    <s v="In-House"/>
    <n v="23"/>
  </r>
  <r>
    <x v="142"/>
    <d v="2026-10-02T00:00:00"/>
    <s v="05-05-2024"/>
    <d v="1899-12-30T00:00:00"/>
    <s v="Wow! Momo"/>
    <x v="7"/>
    <s v="Desserts"/>
    <n v="26"/>
    <n v="2.4"/>
    <s v="18mins"/>
    <n v="1941"/>
    <n v="0.5"/>
    <s v="Debit Card"/>
    <s v="Cancelled"/>
    <n v="2"/>
    <s v="Dunzo"/>
    <m/>
  </r>
  <r>
    <x v="143"/>
    <d v="2026-09-28T00:00:00"/>
    <s v="02-23-2024"/>
    <d v="1899-12-30T11:51:00"/>
    <s v="Faasos"/>
    <x v="3"/>
    <s v="Mughlai"/>
    <n v="51"/>
    <n v="3.3"/>
    <s v="67 mins"/>
    <n v="1886"/>
    <n v="120"/>
    <s v="Net Banking"/>
    <s v="Delivered"/>
    <n v="3"/>
    <s v="In-House"/>
    <n v="64"/>
  </r>
  <r>
    <x v="144"/>
    <d v="2026-10-31T00:00:00"/>
    <s v="22-02-2024"/>
    <d v="1899-12-30T00:00:00"/>
    <s v="Burger King"/>
    <x v="9"/>
    <s v="Biryani"/>
    <n v="20"/>
    <n v="2.1"/>
    <s v="15 mins"/>
    <n v="1999"/>
    <n v="150"/>
    <s v="Upi"/>
    <s v="Delivered"/>
    <n v="7"/>
    <s v="Dunzo"/>
    <n v="51"/>
  </r>
  <r>
    <x v="145"/>
    <d v="2026-04-25T00:00:00"/>
    <s v="26-05-2024"/>
    <d v="1899-12-30T00:00:00"/>
    <s v="Wow! Momo"/>
    <x v="1"/>
    <s v="Desserts"/>
    <n v="33"/>
    <n v="1.9"/>
    <s v="28 mins"/>
    <n v="2428"/>
    <n v="0.6"/>
    <s v="Upi"/>
    <s v="Refunded"/>
    <n v="5"/>
    <s v="Shadowfax"/>
    <m/>
  </r>
  <r>
    <x v="146"/>
    <d v="2026-10-30T00:00:00"/>
    <s v="07-08-2024"/>
    <d v="1899-12-30T22:36:00"/>
    <s v="Bikanervala"/>
    <x v="5"/>
    <s v="South Indian"/>
    <n v="18"/>
    <n v="4.7"/>
    <s v="53mins"/>
    <n v="335"/>
    <n v="0.15"/>
    <s v="Credit Card"/>
    <s v="Delivered"/>
    <n v="8"/>
    <s v="Grab"/>
    <n v="30"/>
  </r>
  <r>
    <x v="147"/>
    <d v="2026-09-26T00:00:00"/>
    <s v="11-02-2024"/>
    <d v="1899-12-30T00:00:00"/>
    <s v="Kfc"/>
    <x v="0"/>
    <s v="Mughlai"/>
    <n v="38"/>
    <n v="1.4"/>
    <s v="60 mins"/>
    <n v="2428"/>
    <n v="120"/>
    <s v="Wallet"/>
    <s v="Cancelled"/>
    <n v="5"/>
    <s v="Shadowfax"/>
    <n v="50"/>
  </r>
  <r>
    <x v="148"/>
    <d v="2026-11-09T00:00:00"/>
    <s v="06-01-2024"/>
    <d v="1899-12-30T00:00:00"/>
    <s v="Faasos"/>
    <x v="5"/>
    <s v="Italian"/>
    <n v="54"/>
    <n v="3.9"/>
    <s v="73mins"/>
    <n v="2089"/>
    <n v="0.15"/>
    <s v="Credit Card"/>
    <s v="Delivered"/>
    <n v="4"/>
    <s v="Dunzo"/>
    <n v="20"/>
  </r>
  <r>
    <x v="3"/>
    <d v="2026-05-10T00:00:00"/>
    <s v="03-08-2024"/>
    <d v="1899-12-30T08:02:00"/>
    <s v="D0Min0S Pizz@"/>
    <x v="4"/>
    <s v="Chinese"/>
    <n v="24"/>
    <n v="1.2"/>
    <s v="75mins"/>
    <n v="2282"/>
    <n v="120"/>
    <s v="Wallet"/>
    <s v="Refunded"/>
    <n v="6"/>
    <s v="Shadowfax"/>
    <n v="112"/>
  </r>
  <r>
    <x v="149"/>
    <d v="2026-02-26T00:00:00"/>
    <s v="29-04-2024"/>
    <d v="1899-12-30T00:00:00"/>
    <s v="Behrouz Biryani"/>
    <x v="4"/>
    <s v="Desserts"/>
    <n v="34"/>
    <n v="2.7"/>
    <s v="62 mins"/>
    <n v="2487"/>
    <n v="0.5"/>
    <s v="Upi"/>
    <s v="Delivered"/>
    <n v="8"/>
    <s v="Zomato Valet"/>
    <n v="105"/>
  </r>
  <r>
    <x v="150"/>
    <d v="2026-07-17T00:00:00"/>
    <s v="07-02-2024"/>
    <d v="1899-12-30T00:00:00"/>
    <s v="Dominos Pizza"/>
    <x v="5"/>
    <s v="North Indian"/>
    <n v="49"/>
    <n v="4.5"/>
    <s v="15 mins"/>
    <n v="1742"/>
    <n v="0.6"/>
    <s v="Upi"/>
    <s v="Delivered"/>
    <n v="1"/>
    <s v="Dunzo"/>
    <n v="234"/>
  </r>
  <r>
    <x v="151"/>
    <d v="2026-08-01T00:00:00"/>
    <s v="25-05-2024"/>
    <d v="1899-12-30T00:00:00"/>
    <s v="Bikanervala"/>
    <x v="8"/>
    <s v="Fast Food"/>
    <n v="18"/>
    <n v="2.6"/>
    <s v="34mins"/>
    <n v="407"/>
    <n v="75"/>
    <s v="Wallet"/>
    <s v="Refunded"/>
    <n v="8"/>
    <s v="Dunzo"/>
    <n v="170"/>
  </r>
  <r>
    <x v="152"/>
    <d v="2026-07-25T00:00:00"/>
    <s v="10-04-2024"/>
    <d v="1899-12-30T00:00:00"/>
    <s v="Behrouz Biryani"/>
    <x v="10"/>
    <s v="Fast Food, Bakery"/>
    <n v="61"/>
    <n v="3.1"/>
    <s v="15 mins"/>
    <n v="398"/>
    <n v="150"/>
    <s v="Cash On Delivery"/>
    <s v="Delivered"/>
    <n v="7"/>
    <s v="Dunzo"/>
    <n v="17"/>
  </r>
  <r>
    <x v="153"/>
    <d v="2026-09-27T00:00:00"/>
    <s v="07-01-2024"/>
    <d v="1899-12-30T00:00:00"/>
    <s v="Barbeque Nation"/>
    <x v="6"/>
    <s v="Unknown"/>
    <n v="27"/>
    <n v="2.8"/>
    <s v="17mins"/>
    <n v="2166"/>
    <n v="0.6"/>
    <s v="Cash On Delivery"/>
    <s v="Delivered"/>
    <n v="10"/>
    <s v="In-House"/>
    <n v="81"/>
  </r>
  <r>
    <x v="154"/>
    <d v="2026-09-20T00:00:00"/>
    <s v="22-06-2024"/>
    <d v="1899-12-30T00:00:00"/>
    <s v="Bikanervala"/>
    <x v="7"/>
    <s v="Desserts"/>
    <n v="48"/>
    <n v="1.9"/>
    <s v="73 mins"/>
    <n v="1750"/>
    <n v="150"/>
    <s v="Wallet"/>
    <s v="Delivered"/>
    <n v="6"/>
    <s v="Grab"/>
    <n v="125"/>
  </r>
  <r>
    <x v="155"/>
    <d v="2026-07-23T00:00:00"/>
    <s v="03-02-2024"/>
    <d v="1899-12-30T00:00:00"/>
    <s v="Chai Point"/>
    <x v="6"/>
    <s v="North Indian"/>
    <n v="50"/>
    <n v="2.5"/>
    <s v="42 mins"/>
    <n v="391"/>
    <n v="100"/>
    <s v="Debit Card"/>
    <s v="Delivered"/>
    <n v="9"/>
    <s v="Rapido"/>
    <n v="226"/>
  </r>
  <r>
    <x v="156"/>
    <d v="2026-02-19T00:00:00"/>
    <s v="01-29-2024"/>
    <d v="1899-12-30T03:36:00"/>
    <s v="Chai Point"/>
    <x v="9"/>
    <s v="Desserts"/>
    <n v="64"/>
    <n v="1.6"/>
    <s v="32mins"/>
    <n v="413"/>
    <n v="0"/>
    <s v="Credit Card"/>
    <s v="Cancelled"/>
    <n v="6"/>
    <s v="In-House"/>
    <n v="169"/>
  </r>
  <r>
    <x v="157"/>
    <d v="2026-04-05T00:00:00"/>
    <s v="05-19-2024"/>
    <d v="1899-12-30T21:18:00"/>
    <s v="Faasos"/>
    <x v="6"/>
    <s v="Italian"/>
    <n v="36"/>
    <n v="3"/>
    <s v="58mins"/>
    <n v="1922"/>
    <n v="0"/>
    <s v="Net Banking"/>
    <s v="Delivered"/>
    <n v="6"/>
    <s v="Dunzo"/>
    <n v="64"/>
  </r>
  <r>
    <x v="158"/>
    <d v="2026-02-10T00:00:00"/>
    <s v="07-07-2024"/>
    <d v="1899-12-30T00:00:00"/>
    <s v="Dominos Pizza"/>
    <x v="8"/>
    <s v="Bakery"/>
    <n v="38"/>
    <n v="1.8"/>
    <s v="73mins"/>
    <n v="353"/>
    <n v="0"/>
    <s v="Upi"/>
    <s v="Delivered"/>
    <n v="9"/>
    <s v="Rapido"/>
    <n v="113"/>
  </r>
  <r>
    <x v="159"/>
    <d v="2026-06-14T00:00:00"/>
    <s v="05-05-2024"/>
    <d v="1899-12-30T00:00:00"/>
    <s v="Barbeque Nation"/>
    <x v="8"/>
    <s v="Unknown"/>
    <n v="53"/>
    <n v="4.8"/>
    <s v="67mins"/>
    <n v="383"/>
    <n v="0.6"/>
    <s v="Credit Card"/>
    <s v="Refunded"/>
    <n v="10"/>
    <s v="Unknown"/>
    <n v="215"/>
  </r>
  <r>
    <x v="160"/>
    <d v="2026-05-13T00:00:00"/>
    <s v="05-05-2024"/>
    <d v="1899-12-30T00:00:00"/>
    <s v="Kfc"/>
    <x v="5"/>
    <s v="Mughlai"/>
    <n v="58"/>
    <n v="2.8"/>
    <s v="56mins"/>
    <n v="333"/>
    <n v="100"/>
    <s v="Cash Card"/>
    <s v="Delivered"/>
    <n v="1"/>
    <s v="Rapido"/>
    <n v="22"/>
  </r>
  <r>
    <x v="161"/>
    <d v="2026-02-21T00:00:00"/>
    <s v="06-02-2024"/>
    <d v="1899-12-30T00:00:00"/>
    <s v="Barbeque Nation"/>
    <x v="1"/>
    <s v="Bakery"/>
    <n v="48"/>
    <n v="2"/>
    <s v="59mins"/>
    <n v="2125"/>
    <n v="75"/>
    <s v="Upi"/>
    <s v="Delivered"/>
    <n v="9"/>
    <s v="Dunzo"/>
    <n v="87"/>
  </r>
  <r>
    <x v="162"/>
    <d v="2026-03-30T00:00:00"/>
    <s v="11-06-2024"/>
    <d v="1899-12-30T00:00:00"/>
    <s v="Behrouz Biryani"/>
    <x v="1"/>
    <s v="Fast Food, Mughlai"/>
    <n v="18"/>
    <n v="2.5"/>
    <s v="50 mins"/>
    <n v="2251"/>
    <n v="120"/>
    <s v="Upi"/>
    <s v="Delivered"/>
    <n v="2"/>
    <s v="Dunzo"/>
    <n v="118"/>
  </r>
  <r>
    <x v="163"/>
    <d v="2026-01-13T00:00:00"/>
    <s v="03-01-2024"/>
    <d v="1899-12-30T00:00:00"/>
    <s v="Dominos Pizza"/>
    <x v="5"/>
    <s v="Bakery"/>
    <n v="41"/>
    <n v="2.5"/>
    <s v="41mins"/>
    <n v="137"/>
    <n v="0"/>
    <s v="Debit Card"/>
    <s v="Delivered"/>
    <n v="10"/>
    <s v="Shadowfax"/>
    <n v="228"/>
  </r>
  <r>
    <x v="164"/>
    <d v="2026-09-20T00:00:00"/>
    <s v="11-03-2024"/>
    <d v="1899-12-30T00:00:00"/>
    <s v="Bikanervala"/>
    <x v="8"/>
    <s v="Italian"/>
    <n v="45"/>
    <n v="2.6"/>
    <s v="48 mins"/>
    <n v="1230"/>
    <n v="150"/>
    <s v="Credit Card"/>
    <s v="Unknown"/>
    <n v="2"/>
    <s v="Rapido"/>
    <n v="6"/>
  </r>
  <r>
    <x v="165"/>
    <d v="2026-12-05T00:00:00"/>
    <s v="20-02-2024"/>
    <d v="1899-12-30T00:00:00"/>
    <s v="Haldiram'S"/>
    <x v="0"/>
    <s v="Biryani"/>
    <n v="39"/>
    <n v="1.9"/>
    <s v="53 mins"/>
    <n v="1595"/>
    <n v="120"/>
    <s v="Upi"/>
    <s v="Refunded"/>
    <n v="1"/>
    <s v="Grab"/>
    <n v="63"/>
  </r>
  <r>
    <x v="166"/>
    <d v="2026-04-18T00:00:00"/>
    <s v="07-04-2024"/>
    <d v="1899-12-30T00:00:00"/>
    <s v="Subw@Y"/>
    <x v="7"/>
    <s v="South Indian"/>
    <n v="39"/>
    <n v="1.4"/>
    <s v="15 mins"/>
    <n v="1818"/>
    <n v="120"/>
    <s v="Credit Card"/>
    <s v="Delivered"/>
    <n v="1"/>
    <s v="Shadowfax"/>
    <n v="237"/>
  </r>
  <r>
    <x v="167"/>
    <d v="2026-05-22T00:00:00"/>
    <s v="17-07-2024"/>
    <d v="1899-12-30T00:00:00"/>
    <s v="Burger King"/>
    <x v="4"/>
    <s v="North Indian"/>
    <n v="22"/>
    <n v="3.7"/>
    <s v="74mins"/>
    <n v="1547"/>
    <n v="75"/>
    <s v="Net Banking"/>
    <s v="Delivered"/>
    <n v="4"/>
    <s v="Grab"/>
    <n v="162"/>
  </r>
  <r>
    <x v="168"/>
    <d v="2026-05-20T00:00:00"/>
    <s v="22-02-2024"/>
    <d v="1899-12-30T00:00:00"/>
    <s v="Bikanervala"/>
    <x v="9"/>
    <s v="Desserts, Chinese"/>
    <n v="32"/>
    <n v="3.9"/>
    <s v="46mins"/>
    <n v="500"/>
    <n v="0"/>
    <s v="Upi"/>
    <s v="Delivered"/>
    <n v="6"/>
    <s v="Dunzo"/>
    <n v="242"/>
  </r>
  <r>
    <x v="169"/>
    <d v="2026-09-15T00:00:00"/>
    <s v="17-01-2024"/>
    <d v="1899-12-30T00:00:00"/>
    <s v="Barbeque Nation"/>
    <x v="10"/>
    <s v="Bakery"/>
    <n v="33"/>
    <n v="2.5"/>
    <s v="31mins"/>
    <n v="2147"/>
    <n v="50"/>
    <s v="Wallet"/>
    <s v="Delivered"/>
    <n v="9"/>
    <s v="Dunzo"/>
    <n v="26"/>
  </r>
  <r>
    <x v="170"/>
    <d v="2026-05-30T00:00:00"/>
    <s v="11-03-2024"/>
    <d v="1899-12-30T00:00:00"/>
    <s v="Haldiram'S"/>
    <x v="5"/>
    <s v="Biryani"/>
    <n v="63"/>
    <n v="4.5999999999999996"/>
    <s v="15 mins"/>
    <n v="833"/>
    <n v="100"/>
    <s v="Cod"/>
    <s v="Delivered"/>
    <n v="4"/>
    <s v="Shadowfax"/>
    <n v="3"/>
  </r>
  <r>
    <x v="171"/>
    <d v="2026-06-01T00:00:00"/>
    <s v="04-28-2024"/>
    <d v="1899-12-30T11:37:00"/>
    <s v="Kfc"/>
    <x v="1"/>
    <s v="Bakery"/>
    <n v="60"/>
    <n v="2.4"/>
    <s v="66mins"/>
    <n v="1936"/>
    <n v="0.6"/>
    <s v="Upi"/>
    <s v="Cancelled"/>
    <n v="10"/>
    <s v="Rapido"/>
    <n v="46"/>
  </r>
  <r>
    <x v="172"/>
    <d v="2026-02-07T00:00:00"/>
    <s v="01-05-2024"/>
    <d v="1899-12-30T00:00:00"/>
    <s v="Paradise Biryani"/>
    <x v="11"/>
    <s v="Bakery"/>
    <n v="36"/>
    <n v="2.2000000000000002"/>
    <s v="73mins"/>
    <n v="257"/>
    <n v="0.5"/>
    <s v="Cash On Delivery"/>
    <s v="Delivered"/>
    <n v="4"/>
    <s v="Shadowfax"/>
    <n v="190"/>
  </r>
  <r>
    <x v="173"/>
    <d v="2026-05-20T00:00:00"/>
    <s v="20-03-2024"/>
    <d v="1899-12-30T00:00:00"/>
    <s v="Behrouz Biryani"/>
    <x v="4"/>
    <s v="Chinese"/>
    <n v="54"/>
    <n v="2.5"/>
    <s v="56 mins"/>
    <n v="2217"/>
    <n v="150"/>
    <s v="Debit Card"/>
    <s v="Delivered"/>
    <n v="8"/>
    <s v="Grab"/>
    <n v="108"/>
  </r>
  <r>
    <x v="174"/>
    <d v="2026-11-16T00:00:00"/>
    <s v="03-27-2024"/>
    <d v="1899-12-30T06:33:00"/>
    <s v="Haldiram'S"/>
    <x v="4"/>
    <s v="Street Food"/>
    <n v="31"/>
    <n v="2.6"/>
    <s v="44mins"/>
    <n v="629"/>
    <n v="0.5"/>
    <s v="Wallet"/>
    <s v="Delivered"/>
    <n v="1"/>
    <s v="Zomato Valet"/>
    <n v="173"/>
  </r>
  <r>
    <x v="175"/>
    <d v="2026-06-15T00:00:00"/>
    <s v="25-05-2024"/>
    <d v="1899-12-30T00:00:00"/>
    <s v="Haldiram'S"/>
    <x v="4"/>
    <s v="Desserts"/>
    <n v="18"/>
    <n v="2.8"/>
    <s v="44mins"/>
    <n v="1318"/>
    <n v="0"/>
    <s v="Upi"/>
    <s v="Delivered"/>
    <n v="6"/>
    <s v="Grab"/>
    <m/>
  </r>
  <r>
    <x v="176"/>
    <d v="2026-12-27T00:00:00"/>
    <s v="23-04-2024"/>
    <d v="1899-12-30T00:00:00"/>
    <s v="Kfc"/>
    <x v="5"/>
    <s v="Desserts"/>
    <n v="33"/>
    <n v="3.8"/>
    <s v="70 mins"/>
    <n v="1028"/>
    <n v="0"/>
    <s v="Upi"/>
    <s v="Cancelled"/>
    <n v="9"/>
    <s v="Shadowfax"/>
    <n v="159"/>
  </r>
  <r>
    <x v="177"/>
    <d v="2026-01-21T00:00:00"/>
    <s v="15-02-2024"/>
    <d v="1899-12-30T00:00:00"/>
    <s v="Burger King"/>
    <x v="1"/>
    <s v="Fast Food"/>
    <n v="27"/>
    <n v="4.2"/>
    <s v="15 mins"/>
    <n v="1028"/>
    <n v="75"/>
    <s v="Net Banking"/>
    <s v="Delivered"/>
    <n v="10"/>
    <s v="Grab"/>
    <n v="75"/>
  </r>
  <r>
    <x v="178"/>
    <d v="2026-04-03T00:00:00"/>
    <s v="05-07-2024"/>
    <d v="1899-12-30T00:00:00"/>
    <s v="Subway"/>
    <x v="10"/>
    <s v="South Indian"/>
    <n v="34"/>
    <n v="4"/>
    <s v="77mins"/>
    <n v="1631"/>
    <n v="0"/>
    <s v="Cash On Delivery"/>
    <s v="Delivered"/>
    <n v="1"/>
    <s v="In-House"/>
    <n v="120"/>
  </r>
  <r>
    <x v="179"/>
    <d v="2026-07-09T00:00:00"/>
    <s v="06-16-2024"/>
    <d v="1899-12-30T09:50:00"/>
    <s v="Barbeque Nation"/>
    <x v="8"/>
    <s v="Fast Food"/>
    <n v="44"/>
    <n v="4.7"/>
    <s v="55 mins"/>
    <n v="515"/>
    <n v="0.2"/>
    <s v="Upi"/>
    <s v="Unknown"/>
    <n v="1"/>
    <s v="In-House"/>
    <n v="48"/>
  </r>
  <r>
    <x v="3"/>
    <d v="2026-10-31T00:00:00"/>
    <s v="03-06-2024"/>
    <d v="1899-12-30T00:00:00"/>
    <s v="Burger King"/>
    <x v="3"/>
    <s v="Chinese"/>
    <n v="40"/>
    <n v="4.2"/>
    <s v="15 mins"/>
    <n v="2192"/>
    <n v="50"/>
    <s v="Upi"/>
    <s v="Cancelled"/>
    <n v="8"/>
    <s v="Rapido"/>
    <n v="245"/>
  </r>
  <r>
    <x v="180"/>
    <d v="2026-05-27T00:00:00"/>
    <s v="01-12-2024"/>
    <d v="1899-12-30T11:06:00"/>
    <s v="Dominos Pizza"/>
    <x v="7"/>
    <s v="South Indian"/>
    <n v="51"/>
    <n v="4.0999999999999996"/>
    <s v="19mins"/>
    <n v="424"/>
    <n v="0.6"/>
    <s v="Cash On Delivery"/>
    <s v="Delivered"/>
    <n v="2"/>
    <s v="Zomato Valet"/>
    <n v="27"/>
  </r>
  <r>
    <x v="181"/>
    <d v="2026-05-07T00:00:00"/>
    <s v="02-26-2024"/>
    <d v="1899-12-30T08:47:00"/>
    <s v="Faasos"/>
    <x v="9"/>
    <s v="Bakery"/>
    <n v="63"/>
    <n v="3.9"/>
    <s v="70mins"/>
    <n v="2044"/>
    <n v="0.1"/>
    <s v="Upi"/>
    <s v="Delivered"/>
    <n v="7"/>
    <s v="Rapido"/>
    <n v="115"/>
  </r>
  <r>
    <x v="182"/>
    <d v="2026-08-13T00:00:00"/>
    <s v="07-16-2024"/>
    <d v="1899-12-30T12:27:00"/>
    <s v="Barbeque Nation"/>
    <x v="8"/>
    <s v="Biryani"/>
    <n v="27"/>
    <n v="4.4000000000000004"/>
    <s v="19mins"/>
    <n v="1545"/>
    <n v="0"/>
    <s v="Debit Card"/>
    <s v="Cancelled"/>
    <n v="6"/>
    <s v="Shadowfax"/>
    <n v="162"/>
  </r>
  <r>
    <x v="183"/>
    <d v="2026-04-02T00:00:00"/>
    <s v="17-07-2024"/>
    <d v="1899-12-30T00:00:00"/>
    <s v="Behrouz Biryani"/>
    <x v="0"/>
    <s v="Desserts"/>
    <n v="62"/>
    <n v="3.8"/>
    <s v="27mins"/>
    <n v="432"/>
    <n v="0"/>
    <s v="Wallet"/>
    <s v="Delivered"/>
    <n v="4"/>
    <s v="In-House"/>
    <n v="40"/>
  </r>
  <r>
    <x v="184"/>
    <d v="2026-06-22T00:00:00"/>
    <s v="07-02-2024"/>
    <d v="1899-12-30T00:00:00"/>
    <s v="Subway"/>
    <x v="1"/>
    <s v="Street Food"/>
    <n v="43"/>
    <n v="1.5"/>
    <s v="53mins"/>
    <n v="1757"/>
    <n v="100"/>
    <s v="Wallet"/>
    <s v="Delivered"/>
    <n v="8"/>
    <s v="Unknown"/>
    <n v="42"/>
  </r>
  <r>
    <x v="185"/>
    <d v="2026-07-02T00:00:00"/>
    <s v="27-02-2024"/>
    <d v="1899-12-30T00:00:00"/>
    <s v="Chai Point"/>
    <x v="7"/>
    <s v="Bakery"/>
    <n v="52"/>
    <n v="4.3"/>
    <s v="15 mins"/>
    <n v="1443"/>
    <n v="100"/>
    <s v="Upi"/>
    <s v="Delivered"/>
    <n v="2"/>
    <s v="Shadowfax"/>
    <n v="78"/>
  </r>
  <r>
    <x v="186"/>
    <d v="2026-10-07T00:00:00"/>
    <s v="22-02-2024"/>
    <d v="1899-12-30T00:00:00"/>
    <s v="Wow! Momo"/>
    <x v="5"/>
    <s v="North Indian, Street Food"/>
    <n v="36"/>
    <n v="2.8"/>
    <s v="55mins"/>
    <n v="1364"/>
    <n v="0.6"/>
    <s v="Net Banking"/>
    <s v="Cancelled"/>
    <n v="4"/>
    <s v="Shadowfax"/>
    <n v="38"/>
  </r>
  <r>
    <x v="187"/>
    <d v="2026-07-19T00:00:00"/>
    <s v="29-04-2024"/>
    <d v="1899-12-30T00:00:00"/>
    <s v="Subway"/>
    <x v="9"/>
    <s v="South Indian, Chinese"/>
    <n v="28"/>
    <n v="1.3"/>
    <s v="78mins"/>
    <n v="500"/>
    <n v="150"/>
    <s v="Net Banking"/>
    <s v="Delivered"/>
    <n v="1"/>
    <s v="In-House"/>
    <n v="34"/>
  </r>
  <r>
    <x v="188"/>
    <d v="2026-01-26T00:00:00"/>
    <s v="05-15-2024"/>
    <d v="1899-12-30T23:20:00"/>
    <s v="Chai Point"/>
    <x v="6"/>
    <s v="Desserts"/>
    <n v="25"/>
    <n v="3.7"/>
    <s v="30mins"/>
    <n v="810"/>
    <n v="0.1"/>
    <s v="Wallet"/>
    <s v="Failed"/>
    <n v="8"/>
    <s v="Zomato Valet"/>
    <n v="28"/>
  </r>
  <r>
    <x v="3"/>
    <d v="2026-06-10T00:00:00"/>
    <s v="03-07-2024"/>
    <d v="1899-12-30T00:00:00"/>
    <s v="Bikanervala"/>
    <x v="4"/>
    <s v="Biryani"/>
    <n v="29"/>
    <n v="2.1"/>
    <s v="71mins"/>
    <n v="505"/>
    <n v="75"/>
    <s v="Wallet"/>
    <s v="Delivered"/>
    <n v="0"/>
    <s v="In-House"/>
    <n v="140"/>
  </r>
  <r>
    <x v="189"/>
    <d v="2026-07-16T00:00:00"/>
    <s v="23-06-2024"/>
    <d v="1899-12-30T00:00:00"/>
    <s v="Subway"/>
    <x v="9"/>
    <s v="Desserts"/>
    <n v="39"/>
    <n v="3.4"/>
    <s v="15 mins"/>
    <n v="1263"/>
    <n v="0"/>
    <s v="Cash On Delivery"/>
    <s v="Cancelled"/>
    <n v="4"/>
    <s v="In-House"/>
    <n v="153"/>
  </r>
  <r>
    <x v="190"/>
    <d v="2026-03-18T00:00:00"/>
    <s v="16-02-2024"/>
    <d v="1899-12-30T00:00:00"/>
    <s v="Chai Point"/>
    <x v="5"/>
    <s v="Bakery"/>
    <n v="62"/>
    <n v="1.9"/>
    <s v="76mins"/>
    <n v="266"/>
    <n v="0"/>
    <s v="Upi"/>
    <s v="Delivered"/>
    <n v="1"/>
    <s v="Zomato Valet"/>
    <n v="14"/>
  </r>
  <r>
    <x v="191"/>
    <d v="2026-02-08T00:00:00"/>
    <s v="05-03-2024"/>
    <d v="1899-12-30T00:00:00"/>
    <s v="Burger King"/>
    <x v="4"/>
    <s v="Bakery"/>
    <n v="42"/>
    <n v="1.4"/>
    <s v="30mins"/>
    <n v="218"/>
    <n v="50"/>
    <s v="Credit Card"/>
    <s v="Delivered"/>
    <n v="4"/>
    <s v="Rapido"/>
    <n v="17"/>
  </r>
  <r>
    <x v="192"/>
    <d v="2026-03-29T00:00:00"/>
    <s v="23-05-2024"/>
    <d v="1899-12-30T00:00:00"/>
    <s v="Paradise Biryani"/>
    <x v="8"/>
    <s v="Bakery"/>
    <n v="21"/>
    <n v="3.8"/>
    <s v="65mins"/>
    <n v="1298"/>
    <n v="0"/>
    <s v="Credit Card"/>
    <s v="Delivered"/>
    <n v="3"/>
    <s v="Rapido"/>
    <n v="210"/>
  </r>
  <r>
    <x v="193"/>
    <d v="2026-01-21T00:00:00"/>
    <s v="14-05-2024"/>
    <d v="1899-12-30T00:00:00"/>
    <s v="Dominos Pizza"/>
    <x v="8"/>
    <s v="Fast Food"/>
    <n v="21"/>
    <n v="2"/>
    <s v="29mins"/>
    <n v="123"/>
    <n v="75"/>
    <s v="Debit Card"/>
    <s v="Cancelled"/>
    <n v="1"/>
    <s v="In-House"/>
    <n v="8"/>
  </r>
  <r>
    <x v="194"/>
    <d v="2026-08-11T00:00:00"/>
    <s v="17-05-2024"/>
    <d v="1899-12-30T00:00:00"/>
    <s v="Chai Point"/>
    <x v="10"/>
    <s v="Biryani"/>
    <n v="46"/>
    <n v="3.9"/>
    <s v="76mins"/>
    <n v="343"/>
    <n v="0.15"/>
    <s v="Credit Card"/>
    <s v="Unknown"/>
    <n v="3"/>
    <s v="Grab"/>
    <n v="33"/>
  </r>
  <r>
    <x v="195"/>
    <d v="2026-05-02T00:00:00"/>
    <s v="04-13-2024"/>
    <d v="1899-12-30T03:25:00"/>
    <s v="Barbeque Nation"/>
    <x v="0"/>
    <s v="North Indian"/>
    <n v="56"/>
    <n v="2.5"/>
    <s v="28mins"/>
    <n v="1411"/>
    <n v="0"/>
    <s v="Credit Card"/>
    <s v="Cancelled"/>
    <n v="9"/>
    <s v="In-House"/>
    <m/>
  </r>
  <r>
    <x v="196"/>
    <d v="2026-09-14T00:00:00"/>
    <s v="07-01-2024"/>
    <d v="1899-12-30T02:36:00"/>
    <s v="Barbeque Nation"/>
    <x v="1"/>
    <s v="Biryani"/>
    <n v="40"/>
    <n v="2.7"/>
    <s v="67mins"/>
    <n v="1552"/>
    <n v="0.15"/>
    <s v="Cash On Delivery"/>
    <s v="Delivered"/>
    <n v="7"/>
    <s v="Rapido"/>
    <n v="167"/>
  </r>
  <r>
    <x v="129"/>
    <d v="2026-03-30T00:00:00"/>
    <s v="02-04-2024"/>
    <d v="1899-12-30T00:00:00"/>
    <s v="Barbeque Nation"/>
    <x v="4"/>
    <s v="Italian"/>
    <n v="62"/>
    <n v="2.5"/>
    <s v="15 mins"/>
    <n v="2416"/>
    <n v="150"/>
    <s v="Net Banking"/>
    <s v="Delivered"/>
    <n v="1"/>
    <s v="Rapido"/>
    <n v="173"/>
  </r>
  <r>
    <x v="197"/>
    <d v="2026-05-22T00:00:00"/>
    <s v="17-03-2024"/>
    <d v="1899-12-30T00:00:00"/>
    <s v="Kfc"/>
    <x v="12"/>
    <s v="Fast Food, Italian"/>
    <n v="47"/>
    <n v="4.3"/>
    <s v="79mins"/>
    <n v="848"/>
    <n v="75"/>
    <s v="Upi"/>
    <s v="Cancelled"/>
    <n v="9"/>
    <s v="Rapido"/>
    <n v="75"/>
  </r>
  <r>
    <x v="198"/>
    <d v="2026-02-24T00:00:00"/>
    <s v="12-02-2024"/>
    <d v="1899-12-30T00:00:00"/>
    <s v="Faasos"/>
    <x v="11"/>
    <s v="Biryani"/>
    <n v="18"/>
    <n v="1.8"/>
    <s v="74 mins"/>
    <n v="197"/>
    <n v="120"/>
    <s v="Upi"/>
    <s v="Refunded"/>
    <n v="5"/>
    <s v="Grab"/>
    <n v="49"/>
  </r>
  <r>
    <x v="199"/>
    <d v="2026-06-05T00:00:00"/>
    <s v="25-03-2024"/>
    <d v="1899-12-30T00:00:00"/>
    <s v="Wow! Momo"/>
    <x v="7"/>
    <s v="Fast Food"/>
    <n v="63"/>
    <n v="1.9"/>
    <s v="33mins"/>
    <n v="1950"/>
    <n v="120"/>
    <s v="Wallet"/>
    <s v="Delivered"/>
    <n v="7"/>
    <s v="Zomato Valet"/>
    <n v="48"/>
  </r>
  <r>
    <x v="200"/>
    <d v="2026-10-31T00:00:00"/>
    <s v="02-09-2024"/>
    <d v="1899-12-30T19:21:00"/>
    <s v="Paradise Biryani"/>
    <x v="5"/>
    <s v="South Indian"/>
    <n v="22"/>
    <n v="2.5"/>
    <s v="26 mins"/>
    <n v="1811"/>
    <n v="75"/>
    <s v="Cash On Delivery"/>
    <s v="Delivered"/>
    <n v="7"/>
    <s v="Rapido"/>
    <n v="41"/>
  </r>
  <r>
    <x v="201"/>
    <d v="2026-06-08T00:00:00"/>
    <s v="23-06-2024"/>
    <d v="1899-12-30T00:00:00"/>
    <s v="Burger King"/>
    <x v="0"/>
    <s v="North Indian"/>
    <n v="22"/>
    <n v="4.5"/>
    <s v="59mins"/>
    <n v="1229"/>
    <n v="100"/>
    <s v="Upi"/>
    <s v="Delivered"/>
    <n v="6"/>
    <s v="Dunzo"/>
    <n v="152"/>
  </r>
  <r>
    <x v="202"/>
    <d v="2026-10-17T00:00:00"/>
    <s v="04-30-2024"/>
    <d v="1899-12-30T04:58:00"/>
    <s v="Kfc"/>
    <x v="3"/>
    <s v="Chinese"/>
    <n v="58"/>
    <n v="1.6"/>
    <s v="25mins"/>
    <n v="830"/>
    <n v="120"/>
    <s v="Credit Card"/>
    <s v="Delivered"/>
    <n v="5"/>
    <s v="Shadowfax"/>
    <n v="79"/>
  </r>
  <r>
    <x v="203"/>
    <d v="2026-09-16T00:00:00"/>
    <s v="21-04-2024"/>
    <d v="1899-12-30T00:00:00"/>
    <s v="Chai Point"/>
    <x v="10"/>
    <s v="Fast Food"/>
    <n v="65"/>
    <n v="1.1000000000000001"/>
    <s v="33mins"/>
    <n v="1309"/>
    <n v="150"/>
    <s v="Cash On Delivery"/>
    <s v="Cancelled"/>
    <n v="1"/>
    <s v="Shadowfax"/>
    <n v="150"/>
  </r>
  <r>
    <x v="204"/>
    <d v="2026-04-28T00:00:00"/>
    <s v="23-02-2024"/>
    <d v="1899-12-30T00:00:00"/>
    <s v="Chai Point"/>
    <x v="5"/>
    <s v="Mughlai"/>
    <n v="39"/>
    <n v="1.7"/>
    <s v="37mins"/>
    <n v="1436"/>
    <n v="75"/>
    <s v="Wallet"/>
    <s v="Delivered"/>
    <n v="2"/>
    <s v="Zomato Valet"/>
    <n v="228"/>
  </r>
  <r>
    <x v="205"/>
    <d v="2026-03-09T00:00:00"/>
    <s v="05-19-2024"/>
    <d v="1899-12-30T03:24:00"/>
    <s v="Wow! Momo"/>
    <x v="7"/>
    <s v="South Indian"/>
    <n v="47"/>
    <n v="4.3"/>
    <s v="65mins"/>
    <n v="138"/>
    <n v="0.2"/>
    <s v="Debit Card"/>
    <s v="Failed"/>
    <n v="0"/>
    <s v="Zomato Valet"/>
    <n v="190"/>
  </r>
  <r>
    <x v="206"/>
    <d v="2026-12-29T00:00:00"/>
    <s v="26-05-2024"/>
    <d v="1899-12-30T00:00:00"/>
    <s v="Subway"/>
    <x v="10"/>
    <s v="Fast Food"/>
    <n v="63"/>
    <n v="3"/>
    <s v="65mins"/>
    <n v="2126"/>
    <n v="0.6"/>
    <s v="Credit Card"/>
    <s v="Unknown"/>
    <n v="3"/>
    <s v="Zomato Valet"/>
    <n v="241"/>
  </r>
  <r>
    <x v="3"/>
    <d v="2026-03-06T00:00:00"/>
    <s v="06-07-2024"/>
    <d v="1899-12-30T00:00:00"/>
    <s v="Faasos"/>
    <x v="5"/>
    <s v="Italian"/>
    <n v="58"/>
    <n v="2.5"/>
    <s v="28mins"/>
    <n v="384"/>
    <n v="0.15"/>
    <s v="Debit Card"/>
    <s v="Refunded"/>
    <n v="1"/>
    <s v="Grab"/>
    <n v="55"/>
  </r>
  <r>
    <x v="207"/>
    <d v="2026-06-25T00:00:00"/>
    <s v="25-04-2024"/>
    <d v="1899-12-30T00:00:00"/>
    <s v="Bikanervala"/>
    <x v="9"/>
    <s v="Bakery, Street Food"/>
    <n v="25"/>
    <n v="1.1000000000000001"/>
    <s v="15 mins"/>
    <n v="1338"/>
    <n v="0"/>
    <s v="Unknown"/>
    <s v="Cancelled"/>
    <n v="5"/>
    <s v="Dunzo"/>
    <n v="35"/>
  </r>
  <r>
    <x v="208"/>
    <d v="2026-09-19T00:00:00"/>
    <s v="06-05-2024"/>
    <d v="1899-12-30T00:00:00"/>
    <s v="Subway"/>
    <x v="5"/>
    <s v="Bakery"/>
    <n v="46"/>
    <n v="4"/>
    <s v="28mins"/>
    <n v="1565"/>
    <n v="75"/>
    <s v="Wallet"/>
    <s v="Delivered"/>
    <n v="9"/>
    <s v="Dunzo"/>
    <n v="187"/>
  </r>
  <r>
    <x v="209"/>
    <d v="2026-04-20T00:00:00"/>
    <s v="25-02-2024"/>
    <d v="1899-12-30T00:00:00"/>
    <s v="B@Rbeque N@Ti0N"/>
    <x v="3"/>
    <s v="Chinese"/>
    <n v="24"/>
    <n v="3.9"/>
    <s v="24mins"/>
    <n v="1486"/>
    <n v="100"/>
    <s v="Debit Card"/>
    <s v="Delivered"/>
    <n v="2"/>
    <s v="Grab"/>
    <n v="46"/>
  </r>
  <r>
    <x v="210"/>
    <d v="2026-07-08T00:00:00"/>
    <s v="27-05-2024"/>
    <d v="1899-12-30T00:00:00"/>
    <s v="Burger King"/>
    <x v="8"/>
    <s v="North Indian, Italian"/>
    <n v="35"/>
    <n v="2.4"/>
    <s v="64 mins"/>
    <n v="865"/>
    <n v="0.5"/>
    <s v="Cash On Delivery"/>
    <s v="Refunded"/>
    <n v="1"/>
    <s v="Shadowfax"/>
    <n v="147"/>
  </r>
  <r>
    <x v="211"/>
    <d v="2026-11-17T00:00:00"/>
    <s v="04-04-2024"/>
    <d v="1899-12-30T00:00:00"/>
    <s v="Behrouz Biryani"/>
    <x v="5"/>
    <s v="Italian"/>
    <n v="26"/>
    <n v="1.6"/>
    <s v="67mins"/>
    <n v="1636"/>
    <n v="50"/>
    <s v="Net Banking"/>
    <s v="Delivered"/>
    <n v="2"/>
    <s v="Dunzo"/>
    <n v="138"/>
  </r>
  <r>
    <x v="212"/>
    <d v="2026-05-26T00:00:00"/>
    <s v="06-05-2024"/>
    <d v="1899-12-30T00:00:00"/>
    <s v="Faasos"/>
    <x v="6"/>
    <s v="Desserts"/>
    <n v="50"/>
    <n v="1.5"/>
    <s v="64mins"/>
    <n v="2441"/>
    <n v="100"/>
    <s v="Credit Card"/>
    <s v="Delivered"/>
    <n v="2"/>
    <s v="Unknown"/>
    <n v="72"/>
  </r>
  <r>
    <x v="213"/>
    <d v="2026-05-07T00:00:00"/>
    <s v="02-22-2024"/>
    <d v="1899-12-30T05:50:00"/>
    <s v="Kfc"/>
    <x v="4"/>
    <s v="Biryani"/>
    <n v="28"/>
    <n v="4.5999999999999996"/>
    <s v="15 mins"/>
    <n v="1705"/>
    <n v="0"/>
    <s v="Debit Card"/>
    <s v="Delivered"/>
    <n v="8"/>
    <s v="Shadowfax"/>
    <n v="74"/>
  </r>
  <r>
    <x v="214"/>
    <d v="2026-02-21T00:00:00"/>
    <s v="05-08-2024"/>
    <d v="1899-12-30T05:42:00"/>
    <s v="Haldiram'S"/>
    <x v="3"/>
    <s v="Desserts"/>
    <n v="51"/>
    <n v="4.4000000000000004"/>
    <s v="76mins"/>
    <n v="388"/>
    <n v="0"/>
    <s v="Credit Card"/>
    <s v="Failed"/>
    <n v="2"/>
    <s v="Shadowfax"/>
    <n v="44"/>
  </r>
  <r>
    <x v="215"/>
    <d v="2026-10-26T00:00:00"/>
    <s v="25-04-2024"/>
    <d v="1899-12-30T00:00:00"/>
    <s v="Faasos"/>
    <x v="5"/>
    <s v="Street Food"/>
    <n v="54"/>
    <n v="4.2"/>
    <s v="16mins"/>
    <n v="1307"/>
    <n v="50"/>
    <s v="Net Banking"/>
    <s v="Refunded"/>
    <n v="8"/>
    <s v="Zomato Valet"/>
    <n v="39"/>
  </r>
  <r>
    <x v="216"/>
    <d v="2026-08-25T00:00:00"/>
    <s v="19-05-2024"/>
    <d v="1899-12-30T00:00:00"/>
    <s v="Subway"/>
    <x v="3"/>
    <s v="Italian"/>
    <n v="23"/>
    <n v="3.5"/>
    <s v="46mins"/>
    <n v="1501"/>
    <n v="120"/>
    <s v="Debit Card"/>
    <s v="Delivered"/>
    <n v="1"/>
    <s v="Zomato Valet"/>
    <n v="134"/>
  </r>
  <r>
    <x v="217"/>
    <d v="2026-04-29T00:00:00"/>
    <s v="03-05-2024"/>
    <d v="1899-12-30T00:00:00"/>
    <s v="Haldiram'S"/>
    <x v="6"/>
    <s v="Fast Food"/>
    <n v="37"/>
    <n v="4.7"/>
    <s v="40mins"/>
    <n v="500"/>
    <n v="0"/>
    <s v="Net Banking"/>
    <s v="Delivered"/>
    <n v="7"/>
    <s v="Grab"/>
    <n v="198"/>
  </r>
  <r>
    <x v="218"/>
    <d v="2026-08-11T00:00:00"/>
    <s v="17-06-2024"/>
    <d v="1899-12-30T00:00:00"/>
    <s v="Barbeque Nation"/>
    <x v="4"/>
    <s v="Mughlai"/>
    <n v="60"/>
    <n v="2.5"/>
    <s v="74mins"/>
    <n v="1112"/>
    <n v="0"/>
    <s v="Cash On Delivery"/>
    <s v="Delivered"/>
    <n v="1"/>
    <s v="Dunzo"/>
    <n v="159"/>
  </r>
  <r>
    <x v="219"/>
    <d v="2026-03-25T00:00:00"/>
    <s v="08-05-2024"/>
    <d v="1899-12-30T00:00:00"/>
    <s v="Behrouz Biryani"/>
    <x v="10"/>
    <s v="Biryani"/>
    <n v="59"/>
    <n v="4.9000000000000004"/>
    <s v="38mins"/>
    <n v="1491"/>
    <n v="120"/>
    <s v="Debit Card"/>
    <s v="Refunded"/>
    <n v="1"/>
    <s v="In-House"/>
    <n v="45"/>
  </r>
  <r>
    <x v="220"/>
    <d v="2026-05-07T00:00:00"/>
    <s v="01-02-2024"/>
    <d v="1899-12-30T12:16:00"/>
    <s v="Chai Point"/>
    <x v="8"/>
    <s v="Mughlai"/>
    <n v="22"/>
    <n v="3.5"/>
    <s v="25mins"/>
    <n v="423"/>
    <n v="0.5"/>
    <s v="Cash Card"/>
    <s v="Refunded"/>
    <n v="2"/>
    <s v="Shadowfax"/>
    <n v="110"/>
  </r>
  <r>
    <x v="221"/>
    <d v="2026-05-13T00:00:00"/>
    <s v="30-03-2024"/>
    <d v="1899-12-30T00:00:00"/>
    <s v="Unknown"/>
    <x v="11"/>
    <s v="Chinese"/>
    <n v="53"/>
    <n v="2.5"/>
    <s v="31mins"/>
    <n v="1143"/>
    <n v="0.5"/>
    <s v="Upi"/>
    <s v="Cancelled"/>
    <n v="2"/>
    <s v="Unknown"/>
    <n v="56"/>
  </r>
  <r>
    <x v="222"/>
    <d v="2026-10-05T00:00:00"/>
    <s v="12-01-2024"/>
    <d v="1899-12-30T00:00:00"/>
    <s v="Dominos Pizza"/>
    <x v="4"/>
    <s v="Chinese"/>
    <n v="60"/>
    <n v="2"/>
    <s v="78mins"/>
    <n v="1799"/>
    <n v="50"/>
    <s v="Cash On Delivery"/>
    <s v="Refunded"/>
    <n v="6"/>
    <s v="In-House"/>
    <n v="34"/>
  </r>
  <r>
    <x v="223"/>
    <d v="2026-08-15T00:00:00"/>
    <s v="27-03-2024"/>
    <d v="1899-12-30T00:00:00"/>
    <s v="Chai Point"/>
    <x v="10"/>
    <s v="North Indian"/>
    <n v="36"/>
    <n v="4.8"/>
    <s v="48mins"/>
    <n v="507"/>
    <n v="50"/>
    <s v="Credit Card"/>
    <s v="Refunded"/>
    <n v="6"/>
    <s v="Rapido"/>
    <n v="39"/>
  </r>
  <r>
    <x v="224"/>
    <d v="2026-05-27T00:00:00"/>
    <s v="04-06-2024"/>
    <d v="1899-12-30T00:00:00"/>
    <s v="Chai Point"/>
    <x v="0"/>
    <s v="Mughlai"/>
    <n v="23"/>
    <n v="3.4"/>
    <s v="23mins"/>
    <n v="1168"/>
    <n v="75"/>
    <s v="Cash On Delivery"/>
    <s v="Delivered"/>
    <n v="3"/>
    <s v="In-House"/>
    <n v="25"/>
  </r>
  <r>
    <x v="225"/>
    <d v="2026-03-29T00:00:00"/>
    <m/>
    <d v="1899-12-30T00:00:00"/>
    <s v="Kfc"/>
    <x v="9"/>
    <s v="Chinese"/>
    <n v="22"/>
    <n v="4.5"/>
    <s v="35 mins"/>
    <n v="1565"/>
    <n v="150"/>
    <s v="Debit Card"/>
    <s v="Cancelled"/>
    <n v="10"/>
    <s v="Zomato Valet"/>
    <n v="23"/>
  </r>
  <r>
    <x v="226"/>
    <d v="2026-06-25T00:00:00"/>
    <s v="01-07-2024"/>
    <d v="1899-12-30T00:00:00"/>
    <s v="Subway"/>
    <x v="7"/>
    <s v="Chinese"/>
    <n v="52"/>
    <n v="4.4000000000000004"/>
    <s v="21mins"/>
    <n v="1565"/>
    <n v="75"/>
    <s v="Debit Card"/>
    <s v="Refunded"/>
    <n v="8"/>
    <s v="Dunzo"/>
    <n v="0"/>
  </r>
  <r>
    <x v="227"/>
    <d v="2026-05-16T00:00:00"/>
    <s v="31-03-2024"/>
    <d v="1899-12-30T00:00:00"/>
    <s v="Kfc"/>
    <x v="10"/>
    <s v="Chinese"/>
    <n v="34"/>
    <n v="2.4"/>
    <s v="41 mins"/>
    <n v="1122"/>
    <n v="150"/>
    <s v="Cash Card"/>
    <s v="Delivered"/>
    <n v="8"/>
    <s v="In-House"/>
    <m/>
  </r>
  <r>
    <x v="228"/>
    <d v="2026-04-21T00:00:00"/>
    <s v="11-05-2024"/>
    <d v="1899-12-30T00:00:00"/>
    <s v="Subway"/>
    <x v="9"/>
    <s v="Bakery"/>
    <n v="40"/>
    <n v="4.5999999999999996"/>
    <s v="70mins"/>
    <n v="809"/>
    <n v="0.15"/>
    <s v="Wallet"/>
    <s v="Pending"/>
    <n v="8"/>
    <s v="Grab"/>
    <n v="158"/>
  </r>
  <r>
    <x v="229"/>
    <d v="2026-08-24T00:00:00"/>
    <s v="05-18-2024"/>
    <d v="1899-12-30T18:21:00"/>
    <s v="Bikanervala"/>
    <x v="10"/>
    <s v="Mughlai"/>
    <n v="46"/>
    <n v="3"/>
    <s v="23 mins"/>
    <n v="2484"/>
    <n v="0.2"/>
    <s v="Upi"/>
    <s v="Cancelled"/>
    <n v="9"/>
    <s v="In-House"/>
    <n v="24"/>
  </r>
  <r>
    <x v="230"/>
    <d v="2026-02-28T00:00:00"/>
    <s v="13-05-2024"/>
    <d v="1899-12-30T00:00:00"/>
    <s v="Wow! Momo"/>
    <x v="0"/>
    <s v="Chinese"/>
    <n v="64"/>
    <n v="1.5"/>
    <s v="26mins"/>
    <n v="2383"/>
    <n v="0"/>
    <s v="Cash On Delivery"/>
    <s v="Cancelled"/>
    <n v="10"/>
    <s v="Shadowfax"/>
    <n v="137"/>
  </r>
  <r>
    <x v="231"/>
    <d v="2026-04-25T00:00:00"/>
    <s v="15-03-2024"/>
    <d v="1899-12-30T00:00:00"/>
    <s v="Faasos"/>
    <x v="9"/>
    <s v="Italian"/>
    <n v="47"/>
    <n v="3.6"/>
    <s v="65mins"/>
    <n v="1797"/>
    <n v="100"/>
    <s v="Net Banking"/>
    <s v="Delivered"/>
    <n v="9"/>
    <s v="Dunzo"/>
    <n v="49"/>
  </r>
  <r>
    <x v="232"/>
    <d v="2026-05-14T00:00:00"/>
    <s v="03-09-2024"/>
    <d v="1899-12-30T16:34:00"/>
    <s v="Kfc"/>
    <x v="6"/>
    <s v="South Indian"/>
    <n v="19"/>
    <n v="1.1000000000000001"/>
    <s v="57mins"/>
    <n v="2291"/>
    <n v="150"/>
    <s v="Upi"/>
    <s v="Cancelled"/>
    <n v="5"/>
    <s v="Shadowfax"/>
    <n v="9"/>
  </r>
  <r>
    <x v="129"/>
    <d v="2026-05-23T00:00:00"/>
    <s v="12-07-2024"/>
    <d v="1899-12-30T00:00:00"/>
    <s v="Subway"/>
    <x v="0"/>
    <s v="Biryani"/>
    <n v="65"/>
    <n v="4.4000000000000004"/>
    <s v="47 mins"/>
    <n v="1839"/>
    <n v="0"/>
    <s v="Wallet"/>
    <s v="Delivered"/>
    <n v="5"/>
    <s v="Dunzo"/>
    <n v="20"/>
  </r>
  <r>
    <x v="233"/>
    <d v="2026-07-18T00:00:00"/>
    <s v="03-07-2024"/>
    <d v="1899-12-30T00:00:00"/>
    <s v="Kfc"/>
    <x v="8"/>
    <s v="Desserts"/>
    <n v="65"/>
    <n v="4.4000000000000004"/>
    <s v="48 mins"/>
    <n v="1822"/>
    <n v="0.15"/>
    <s v="Cash Card"/>
    <s v="Cancelled"/>
    <n v="2"/>
    <s v="Zomato Valet"/>
    <n v="58"/>
  </r>
  <r>
    <x v="234"/>
    <d v="2026-11-05T00:00:00"/>
    <s v="04-01-2024"/>
    <d v="1899-12-30T00:00:00"/>
    <s v="Subway"/>
    <x v="5"/>
    <s v="Bakery"/>
    <n v="24"/>
    <n v="3.1"/>
    <s v="64mins"/>
    <n v="906"/>
    <n v="75"/>
    <s v="Wallet"/>
    <s v="Unknown"/>
    <n v="4"/>
    <s v="Zomato Valet"/>
    <n v="33"/>
  </r>
  <r>
    <x v="3"/>
    <d v="2026-10-17T00:00:00"/>
    <s v="20-01-2024"/>
    <d v="1899-12-30T00:00:00"/>
    <s v="Paradise Biryani"/>
    <x v="6"/>
    <s v="Mughlai"/>
    <n v="56"/>
    <n v="4.8"/>
    <s v="50mins"/>
    <n v="1813"/>
    <n v="100"/>
    <s v="Wallet"/>
    <s v="Delivered"/>
    <n v="8"/>
    <s v="In-House"/>
    <n v="124"/>
  </r>
  <r>
    <x v="235"/>
    <d v="2026-12-05T00:00:00"/>
    <s v="03-02-2024"/>
    <d v="1899-12-30T00:00:00"/>
    <s v="Haldiram'S"/>
    <x v="8"/>
    <s v="North Indian"/>
    <n v="28"/>
    <n v="3.3"/>
    <s v="16mins"/>
    <n v="2358"/>
    <n v="150"/>
    <s v="Upi"/>
    <s v="Refunded"/>
    <n v="4"/>
    <s v="In-House"/>
    <n v="166"/>
  </r>
  <r>
    <x v="3"/>
    <d v="2026-12-27T00:00:00"/>
    <s v="11-03-2024"/>
    <d v="1899-12-30T00:00:00"/>
    <s v="Kfc"/>
    <x v="9"/>
    <s v="Fast Food"/>
    <n v="18"/>
    <n v="2.5"/>
    <s v="61 mins"/>
    <n v="2365"/>
    <n v="50"/>
    <s v="Wallet"/>
    <s v="Refunded"/>
    <n v="4"/>
    <s v="Shadowfax"/>
    <n v="243"/>
  </r>
  <r>
    <x v="236"/>
    <d v="2026-01-01T00:00:00"/>
    <s v="31-03-2024"/>
    <d v="1899-12-30T00:00:00"/>
    <s v="Faasos"/>
    <x v="10"/>
    <s v="Italian"/>
    <n v="62"/>
    <n v="3.2"/>
    <s v="49mins"/>
    <n v="336"/>
    <n v="0.5"/>
    <s v="Unknown"/>
    <s v="Delivered"/>
    <n v="8"/>
    <s v="Rapido"/>
    <n v="137"/>
  </r>
  <r>
    <x v="237"/>
    <d v="2026-02-16T00:00:00"/>
    <s v="01-04-2024"/>
    <d v="1899-12-30T00:00:00"/>
    <s v="Paradise Biryani"/>
    <x v="5"/>
    <s v="Mughlai"/>
    <n v="43"/>
    <n v="2"/>
    <s v="58mins"/>
    <n v="1268"/>
    <n v="0"/>
    <s v="Credit Card"/>
    <s v="Delivered"/>
    <n v="10"/>
    <s v="Zomato Valet"/>
    <n v="19"/>
  </r>
  <r>
    <x v="238"/>
    <d v="2026-11-23T00:00:00"/>
    <s v="25-05-2024"/>
    <d v="1899-12-30T00:00:00"/>
    <s v="Kfc"/>
    <x v="4"/>
    <s v="North Indian"/>
    <n v="29"/>
    <n v="1.8"/>
    <s v="30 mins"/>
    <n v="487"/>
    <n v="0"/>
    <s v="Cash On Delivery"/>
    <s v="Delivered"/>
    <n v="8"/>
    <s v="In-House"/>
    <n v="48"/>
  </r>
  <r>
    <x v="239"/>
    <d v="2026-12-19T00:00:00"/>
    <s v="24-03-2024"/>
    <d v="1899-12-30T00:00:00"/>
    <s v="Behrouz Biryani"/>
    <x v="11"/>
    <s v="Bakery"/>
    <n v="18"/>
    <n v="4"/>
    <s v="44mins"/>
    <n v="449"/>
    <n v="0.5"/>
    <s v="Upi"/>
    <s v="Refunded"/>
    <n v="5"/>
    <s v="Grab"/>
    <n v="91"/>
  </r>
  <r>
    <x v="240"/>
    <d v="2026-05-27T00:00:00"/>
    <s v="07-06-2024"/>
    <d v="1899-12-30T03:27:00"/>
    <s v="Subway"/>
    <x v="10"/>
    <s v="Italian, Italian"/>
    <n v="58"/>
    <n v="4.2"/>
    <s v="79mins"/>
    <n v="1007"/>
    <n v="0.6"/>
    <s v="Debit Card"/>
    <s v="Delivered"/>
    <n v="0"/>
    <s v="In-House"/>
    <n v="188"/>
  </r>
  <r>
    <x v="241"/>
    <d v="2026-04-10T00:00:00"/>
    <s v="13-03-2024"/>
    <d v="1899-12-30T00:00:00"/>
    <s v="Paradise Biryani"/>
    <x v="3"/>
    <s v="North Indian"/>
    <n v="18"/>
    <n v="3.5"/>
    <s v="60mins"/>
    <n v="1862"/>
    <n v="0.15"/>
    <s v="Upi"/>
    <s v="Delivered"/>
    <n v="10"/>
    <s v="Shadowfax"/>
    <n v="228"/>
  </r>
  <r>
    <x v="242"/>
    <d v="2026-08-30T00:00:00"/>
    <s v="22-06-2024"/>
    <d v="1899-12-30T00:00:00"/>
    <s v="Subway"/>
    <x v="1"/>
    <s v="Chinese"/>
    <n v="64"/>
    <n v="4.3"/>
    <s v="57mins"/>
    <n v="1409"/>
    <n v="75"/>
    <s v="Debit Card"/>
    <s v="Delivered"/>
    <n v="5"/>
    <s v="Unknown"/>
    <n v="201"/>
  </r>
  <r>
    <x v="243"/>
    <d v="2026-10-11T00:00:00"/>
    <s v="29-03-2024"/>
    <d v="1899-12-30T00:00:00"/>
    <s v="Wow! Momo"/>
    <x v="0"/>
    <s v="Bakery"/>
    <n v="53"/>
    <n v="5"/>
    <s v="31mins"/>
    <n v="1021"/>
    <n v="0.5"/>
    <s v="Credit Card"/>
    <s v="Cancelled"/>
    <n v="9"/>
    <s v="Grab"/>
    <n v="217"/>
  </r>
  <r>
    <x v="244"/>
    <d v="2026-01-23T00:00:00"/>
    <s v="16-06-2024"/>
    <d v="1899-12-30T00:00:00"/>
    <s v="Dominos Pizza"/>
    <x v="4"/>
    <s v="Fast Food"/>
    <n v="33"/>
    <n v="2.8"/>
    <s v="26 mins"/>
    <n v="2435"/>
    <n v="0.6"/>
    <s v="Debit Card"/>
    <s v="Unknown"/>
    <n v="0"/>
    <s v="In-House"/>
    <n v="75"/>
  </r>
  <r>
    <x v="245"/>
    <d v="2026-05-02T00:00:00"/>
    <s v="02-07-2024"/>
    <d v="1899-12-30T00:00:00"/>
    <s v="Chai Point"/>
    <x v="1"/>
    <s v="Italian"/>
    <n v="50"/>
    <n v="2.8"/>
    <s v="28mins"/>
    <n v="467"/>
    <n v="0"/>
    <s v="Wallet"/>
    <s v="Cancelled"/>
    <n v="2"/>
    <s v="Grab"/>
    <n v="1"/>
  </r>
  <r>
    <x v="246"/>
    <d v="2026-07-14T00:00:00"/>
    <s v="25-04-2024"/>
    <d v="1899-12-30T00:00:00"/>
    <s v="Unknown"/>
    <x v="4"/>
    <s v="Desserts"/>
    <n v="54"/>
    <n v="2.9"/>
    <s v="52mins"/>
    <n v="488"/>
    <n v="0.6"/>
    <s v="Debit Card"/>
    <s v="Cancelled"/>
    <n v="0"/>
    <s v="Dunzo"/>
    <n v="249"/>
  </r>
  <r>
    <x v="247"/>
    <d v="2026-10-05T00:00:00"/>
    <s v="29-03-2024"/>
    <d v="1899-12-30T00:00:00"/>
    <s v="Wow! Momo"/>
    <x v="4"/>
    <s v="Unknown"/>
    <n v="39"/>
    <n v="1.8"/>
    <s v="53 mins"/>
    <n v="1972"/>
    <n v="75"/>
    <s v="Cash On Delivery"/>
    <s v="Delivered"/>
    <n v="1"/>
    <s v="Grab"/>
    <n v="87"/>
  </r>
  <r>
    <x v="248"/>
    <d v="2026-08-06T00:00:00"/>
    <s v="17-05-2024"/>
    <d v="1899-12-30T00:00:00"/>
    <s v="Bikanervala"/>
    <x v="4"/>
    <s v="Mughlai"/>
    <n v="65"/>
    <n v="4.3"/>
    <s v="72 mins"/>
    <n v="435"/>
    <n v="0.15"/>
    <s v="Net Banking"/>
    <s v="Delivered"/>
    <n v="2"/>
    <s v="Grab"/>
    <n v="99"/>
  </r>
  <r>
    <x v="249"/>
    <d v="2026-02-16T00:00:00"/>
    <s v="28-05-2024"/>
    <d v="1899-12-30T00:00:00"/>
    <s v="Haldiram'S"/>
    <x v="10"/>
    <s v="Italian"/>
    <n v="50"/>
    <n v="3.6"/>
    <s v="46mins"/>
    <n v="932"/>
    <n v="150"/>
    <s v="Cash On Delivery"/>
    <s v="Delivered"/>
    <n v="3"/>
    <s v="Shadowfax"/>
    <n v="21"/>
  </r>
  <r>
    <x v="250"/>
    <d v="2026-10-11T00:00:00"/>
    <s v="17-05-2024"/>
    <d v="1899-12-30T00:00:00"/>
    <s v="Haldiram'S"/>
    <x v="8"/>
    <s v="Chinese"/>
    <n v="28"/>
    <n v="3.4"/>
    <s v="48 mins"/>
    <n v="2455"/>
    <n v="150"/>
    <s v="Debit Card"/>
    <s v="Refunded"/>
    <n v="6"/>
    <s v="Grab"/>
    <m/>
  </r>
  <r>
    <x v="251"/>
    <d v="2026-07-22T00:00:00"/>
    <s v="04-14-2024"/>
    <d v="1899-12-30T12:04:00"/>
    <s v="Barbeque Nation"/>
    <x v="6"/>
    <s v="Unknown"/>
    <n v="42"/>
    <n v="3.2"/>
    <s v="28 mins"/>
    <n v="1590"/>
    <n v="0.1"/>
    <s v="Credit Card"/>
    <s v="Delivered"/>
    <n v="7"/>
    <s v="In-House"/>
    <n v="2"/>
  </r>
  <r>
    <x v="252"/>
    <d v="2026-12-23T00:00:00"/>
    <s v="15-01-2024"/>
    <d v="1899-12-30T00:00:00"/>
    <s v="Wow! Momo"/>
    <x v="9"/>
    <s v="Fast Food"/>
    <n v="46"/>
    <n v="3.3"/>
    <s v="48mins"/>
    <n v="1445"/>
    <n v="50"/>
    <s v="Upi"/>
    <s v="Refunded"/>
    <n v="3"/>
    <s v="Dunzo"/>
    <n v="30"/>
  </r>
  <r>
    <x v="253"/>
    <d v="2026-07-25T00:00:00"/>
    <s v="10-07-2024"/>
    <d v="1899-12-30T00:00:00"/>
    <s v="Faasos"/>
    <x v="8"/>
    <s v="Bakery, Street Food"/>
    <n v="38"/>
    <n v="3"/>
    <s v="23mins"/>
    <n v="1868"/>
    <n v="0"/>
    <s v="Net Banking"/>
    <s v="Delivered"/>
    <n v="2"/>
    <s v="In-House"/>
    <n v="69"/>
  </r>
  <r>
    <x v="254"/>
    <d v="2026-04-12T00:00:00"/>
    <s v="01-19-2024"/>
    <d v="1899-12-30T06:12:00"/>
    <s v="Kfc"/>
    <x v="0"/>
    <s v="Unknown"/>
    <n v="45"/>
    <n v="4.4000000000000004"/>
    <s v="56mins"/>
    <n v="1387"/>
    <n v="0.6"/>
    <s v="Debit Card"/>
    <s v="Cancelled"/>
    <n v="1"/>
    <s v="Rapido"/>
    <n v="177"/>
  </r>
  <r>
    <x v="255"/>
    <d v="2026-09-24T00:00:00"/>
    <s v="03-21-2024"/>
    <d v="1899-12-30T07:51:00"/>
    <s v="Dominos Pizza"/>
    <x v="6"/>
    <s v="Mughlai"/>
    <n v="65"/>
    <n v="1.2"/>
    <s v="40mins"/>
    <n v="609"/>
    <n v="0"/>
    <s v="Credit Card"/>
    <s v="Cancelled"/>
    <n v="10"/>
    <s v="Dunzo"/>
    <n v="17"/>
  </r>
  <r>
    <x v="256"/>
    <d v="2026-05-16T00:00:00"/>
    <s v="06-03-2024"/>
    <d v="1899-12-30T00:00:00"/>
    <s v="Unknown"/>
    <x v="7"/>
    <s v="Desserts"/>
    <n v="59"/>
    <n v="5"/>
    <s v="56 mins"/>
    <n v="2048"/>
    <n v="0"/>
    <s v="Debit Card"/>
    <s v="Cancelled"/>
    <n v="8"/>
    <s v="Zomato Valet"/>
    <n v="206"/>
  </r>
  <r>
    <x v="257"/>
    <d v="2026-01-06T00:00:00"/>
    <s v="10-02-2024"/>
    <d v="1899-12-30T00:00:00"/>
    <s v="Wow! Momo"/>
    <x v="9"/>
    <s v="Chinese"/>
    <n v="38"/>
    <n v="2.5"/>
    <s v="15 mins"/>
    <n v="188"/>
    <n v="50"/>
    <s v="Cash On Delivery"/>
    <s v="Delivered"/>
    <n v="4"/>
    <s v="Zomato Valet"/>
    <n v="240"/>
  </r>
  <r>
    <x v="258"/>
    <d v="2026-10-07T00:00:00"/>
    <s v="22-04-2024"/>
    <d v="1899-12-30T00:00:00"/>
    <s v="Unknown"/>
    <x v="1"/>
    <s v="Street Food"/>
    <n v="65"/>
    <n v="3.3"/>
    <s v="47 mins"/>
    <n v="429"/>
    <n v="0.1"/>
    <s v="Wallet"/>
    <s v="Delivered"/>
    <n v="5"/>
    <s v="Dunzo"/>
    <n v="115"/>
  </r>
  <r>
    <x v="259"/>
    <d v="2026-01-16T00:00:00"/>
    <s v="03-02-2024"/>
    <d v="1899-12-30T00:00:00"/>
    <s v="Faasos"/>
    <x v="7"/>
    <s v="North Indian, Chinese"/>
    <n v="38"/>
    <n v="2.5"/>
    <s v="59mins"/>
    <n v="567"/>
    <n v="100"/>
    <s v="Cash On Delivery"/>
    <s v="Delivered"/>
    <n v="6"/>
    <s v="Dunzo"/>
    <n v="33"/>
  </r>
  <r>
    <x v="260"/>
    <d v="2026-12-18T00:00:00"/>
    <s v="25-01-2024"/>
    <d v="1899-12-30T00:00:00"/>
    <s v="W0W! M0M0"/>
    <x v="8"/>
    <s v="South Indian"/>
    <n v="46"/>
    <n v="4.9000000000000004"/>
    <s v="70 mins"/>
    <n v="2433"/>
    <n v="120"/>
    <s v="Credit Card"/>
    <s v="Cancelled"/>
    <n v="3"/>
    <s v="Rapido"/>
    <n v="184"/>
  </r>
  <r>
    <x v="261"/>
    <d v="2026-11-16T00:00:00"/>
    <s v="15-05-2024"/>
    <d v="1899-12-30T00:00:00"/>
    <s v="Haldiram'S"/>
    <x v="4"/>
    <s v="Chinese"/>
    <n v="51"/>
    <n v="4.5999999999999996"/>
    <s v="32mins"/>
    <n v="1837"/>
    <n v="0"/>
    <s v="Wallet"/>
    <s v="Delivered"/>
    <n v="3"/>
    <s v="Shadowfax"/>
    <n v="241"/>
  </r>
  <r>
    <x v="262"/>
    <d v="2026-05-27T00:00:00"/>
    <s v="10-02-2024"/>
    <d v="1899-12-30T00:00:00"/>
    <s v="Chai Point"/>
    <x v="5"/>
    <s v="Bakery"/>
    <n v="38"/>
    <n v="2.5"/>
    <s v="34 mins"/>
    <n v="1368"/>
    <n v="50"/>
    <s v="Wallet"/>
    <s v="Delivered"/>
    <n v="6"/>
    <s v="Dunzo"/>
    <n v="197"/>
  </r>
  <r>
    <x v="263"/>
    <d v="2026-08-13T00:00:00"/>
    <s v="02-13-2024"/>
    <d v="1899-12-30T16:37:00"/>
    <s v="Dominos Pizza"/>
    <x v="10"/>
    <s v="Mughlai"/>
    <n v="35"/>
    <n v="3.9"/>
    <s v="80mins"/>
    <n v="903"/>
    <n v="0.2"/>
    <s v="Unknown"/>
    <s v="Delivered"/>
    <n v="5"/>
    <s v="Zomato Valet"/>
    <n v="81"/>
  </r>
  <r>
    <x v="264"/>
    <d v="2026-04-18T00:00:00"/>
    <s v="19-06-2024"/>
    <d v="1899-12-30T00:00:00"/>
    <s v="Haldiram'S"/>
    <x v="9"/>
    <s v="Bakery"/>
    <n v="46"/>
    <n v="3.3"/>
    <s v="66mins"/>
    <n v="2055"/>
    <n v="150"/>
    <s v="Upi"/>
    <s v="Refunded"/>
    <n v="8"/>
    <s v="Dunzo"/>
    <n v="36"/>
  </r>
  <r>
    <x v="265"/>
    <d v="2026-02-21T00:00:00"/>
    <s v="03-24-2024"/>
    <d v="1899-12-30T15:38:00"/>
    <s v="Faasos"/>
    <x v="8"/>
    <s v="Fast Food"/>
    <n v="65"/>
    <n v="4.9000000000000004"/>
    <s v="54mins"/>
    <n v="361"/>
    <n v="75"/>
    <s v="Net Banking"/>
    <s v="Refunded"/>
    <n v="8"/>
    <s v="Dunzo"/>
    <n v="27"/>
  </r>
  <r>
    <x v="266"/>
    <d v="2026-05-22T00:00:00"/>
    <s v="28-06-2024"/>
    <d v="1899-12-30T00:00:00"/>
    <s v="Wow! Momo"/>
    <x v="9"/>
    <s v="Biryani"/>
    <n v="42"/>
    <n v="4.8"/>
    <s v="52mins"/>
    <n v="1580"/>
    <n v="0.15"/>
    <s v="Cash On Delivery"/>
    <s v="Unknown"/>
    <n v="4"/>
    <s v="Shadowfax"/>
    <n v="188"/>
  </r>
  <r>
    <x v="267"/>
    <d v="2026-05-08T00:00:00"/>
    <s v="05-06-2024"/>
    <d v="1899-12-30T00:00:00"/>
    <s v="Subway"/>
    <x v="8"/>
    <s v="Italian"/>
    <n v="34"/>
    <n v="2.5"/>
    <s v="45mins"/>
    <n v="882"/>
    <n v="50"/>
    <s v="Debit Card"/>
    <s v="Delivered"/>
    <n v="9"/>
    <s v="In-House"/>
    <n v="186"/>
  </r>
  <r>
    <x v="268"/>
    <d v="2026-12-16T00:00:00"/>
    <s v="14-06-2024"/>
    <d v="1899-12-30T00:00:00"/>
    <s v="Dominos Pizza"/>
    <x v="1"/>
    <s v="Unknown"/>
    <n v="59"/>
    <n v="2.5"/>
    <s v="33mins"/>
    <n v="272"/>
    <n v="75"/>
    <s v="Net Banking"/>
    <s v="Delivered"/>
    <n v="7"/>
    <s v="Shadowfax"/>
    <n v="150"/>
  </r>
  <r>
    <x v="269"/>
    <d v="2026-08-24T00:00:00"/>
    <s v="10-05-2024"/>
    <d v="1899-12-30T00:00:00"/>
    <s v="Wow! Momo"/>
    <x v="0"/>
    <s v="South Indian"/>
    <n v="33"/>
    <n v="4.0999999999999996"/>
    <s v="38mins"/>
    <n v="190"/>
    <n v="75"/>
    <s v="Upi"/>
    <s v="Delivered"/>
    <n v="6"/>
    <s v="Shadowfax"/>
    <n v="153"/>
  </r>
  <r>
    <x v="270"/>
    <d v="2026-04-21T00:00:00"/>
    <s v="12-04-2024"/>
    <d v="1899-12-30T00:00:00"/>
    <s v="Faasos"/>
    <x v="0"/>
    <s v="Street Food"/>
    <n v="51"/>
    <n v="2.5"/>
    <s v="54mins"/>
    <n v="186"/>
    <n v="0"/>
    <s v="Credit Card"/>
    <s v="Cancelled"/>
    <n v="3"/>
    <s v="Rapido"/>
    <n v="65"/>
  </r>
  <r>
    <x v="271"/>
    <d v="2026-10-01T00:00:00"/>
    <s v="04-23-2024"/>
    <d v="1899-12-30T01:02:00"/>
    <s v="Wow! Momo"/>
    <x v="5"/>
    <s v="Fast Food"/>
    <n v="39"/>
    <n v="4.7"/>
    <s v="64mins"/>
    <n v="1986"/>
    <n v="0"/>
    <s v="Debit Card"/>
    <s v="Delivered"/>
    <n v="8"/>
    <s v="In-House"/>
    <n v="47"/>
  </r>
  <r>
    <x v="272"/>
    <d v="2026-10-05T00:00:00"/>
    <s v="14-05-2024"/>
    <d v="1899-12-30T00:00:00"/>
    <s v="Wow! Momo"/>
    <x v="4"/>
    <s v="Italian"/>
    <n v="38"/>
    <n v="3.4"/>
    <s v="51mins"/>
    <n v="1955"/>
    <n v="0"/>
    <s v="Credit Card"/>
    <s v="Delivered"/>
    <n v="9"/>
    <s v="Unknown"/>
    <n v="20"/>
  </r>
  <r>
    <x v="273"/>
    <d v="2026-09-12T00:00:00"/>
    <s v="06-24-2024"/>
    <d v="1899-12-30T14:48:00"/>
    <s v="Wow! Momo"/>
    <x v="6"/>
    <s v="Desserts"/>
    <n v="18"/>
    <n v="2.5"/>
    <s v="29mins"/>
    <n v="500"/>
    <n v="0.2"/>
    <s v="Credit Card"/>
    <s v="Delivered"/>
    <n v="5"/>
    <s v="Grab"/>
    <n v="218"/>
  </r>
  <r>
    <x v="274"/>
    <d v="2026-07-18T00:00:00"/>
    <s v="03-10-2024"/>
    <d v="1899-12-30T13:58:00"/>
    <s v="Subway"/>
    <x v="1"/>
    <s v="Italian"/>
    <n v="22"/>
    <n v="1.5"/>
    <s v="77mins"/>
    <n v="278"/>
    <n v="0.2"/>
    <s v="Wallet"/>
    <s v="Refunded"/>
    <n v="2"/>
    <s v="Grab"/>
    <n v="234"/>
  </r>
  <r>
    <x v="275"/>
    <d v="2026-02-07T00:00:00"/>
    <s v="10-01-2024"/>
    <d v="1899-12-30T00:00:00"/>
    <s v="Haldiram'S"/>
    <x v="9"/>
    <s v="Fast Food"/>
    <n v="30"/>
    <n v="3.9"/>
    <s v="15 mins"/>
    <n v="154"/>
    <n v="75"/>
    <s v="Credit Card"/>
    <s v="Delivered"/>
    <n v="4"/>
    <s v="Shadowfax"/>
    <m/>
  </r>
  <r>
    <x v="276"/>
    <d v="2026-05-02T00:00:00"/>
    <s v="26-04-2024"/>
    <d v="1899-12-30T00:00:00"/>
    <s v="Barbeque Nation"/>
    <x v="4"/>
    <s v="Fast Food, Biryani"/>
    <n v="47"/>
    <n v="4.5"/>
    <s v="66mins"/>
    <n v="418"/>
    <n v="0.5"/>
    <s v="Cash On Delivery"/>
    <s v="Delivered"/>
    <n v="3"/>
    <s v="In-House"/>
    <n v="155"/>
  </r>
  <r>
    <x v="277"/>
    <d v="2026-03-09T00:00:00"/>
    <s v="19-07-2024"/>
    <d v="1899-12-30T00:00:00"/>
    <s v="Paradise Biryani"/>
    <x v="6"/>
    <s v="Mughlai"/>
    <n v="21"/>
    <n v="2.4"/>
    <s v="64mins"/>
    <n v="2350"/>
    <n v="0"/>
    <s v="Wallet"/>
    <s v="Delivered"/>
    <n v="4"/>
    <s v="Shadowfax"/>
    <n v="206"/>
  </r>
  <r>
    <x v="278"/>
    <d v="2026-08-10T00:00:00"/>
    <s v="14-07-2024"/>
    <d v="1899-12-30T00:00:00"/>
    <s v="Faasos"/>
    <x v="0"/>
    <s v="South Indian"/>
    <n v="31"/>
    <n v="1.3"/>
    <s v="55mins"/>
    <n v="1509"/>
    <n v="150"/>
    <s v="Credit Card"/>
    <s v="Cancelled"/>
    <n v="7"/>
    <s v="Shadowfax"/>
    <n v="151"/>
  </r>
  <r>
    <x v="279"/>
    <d v="2026-12-18T00:00:00"/>
    <s v="05-03-2024"/>
    <d v="1899-12-30T00:00:00"/>
    <s v="Wow! Momo"/>
    <x v="4"/>
    <s v="Mughlai"/>
    <n v="60"/>
    <n v="1.3"/>
    <s v="31mins"/>
    <n v="2195"/>
    <n v="0"/>
    <s v="Unknown"/>
    <s v="Delivered"/>
    <n v="5"/>
    <s v="In-House"/>
    <n v="89"/>
  </r>
  <r>
    <x v="280"/>
    <d v="2026-10-30T00:00:00"/>
    <s v="02-03-2024"/>
    <d v="1899-12-30T11:49:00"/>
    <s v="Wow! Momo"/>
    <x v="9"/>
    <s v="Unknown"/>
    <n v="24"/>
    <n v="1.7"/>
    <s v="51 mins"/>
    <n v="2027"/>
    <n v="0"/>
    <s v="Unknown"/>
    <s v="Refunded"/>
    <n v="8"/>
    <s v="In-House"/>
    <n v="45"/>
  </r>
  <r>
    <x v="281"/>
    <d v="2026-11-23T00:00:00"/>
    <s v="09-07-2024"/>
    <d v="1899-12-30T00:00:00"/>
    <s v="Behrouz Biryani"/>
    <x v="6"/>
    <s v="Street Food"/>
    <n v="63"/>
    <n v="2.2000000000000002"/>
    <s v="22mins"/>
    <n v="1173"/>
    <n v="0"/>
    <s v="Credit Card"/>
    <s v="Cancelled"/>
    <n v="3"/>
    <s v="Dunzo"/>
    <n v="50"/>
  </r>
  <r>
    <x v="282"/>
    <d v="2026-08-07T00:00:00"/>
    <s v="12-06-2024"/>
    <d v="1899-12-30T00:00:00"/>
    <s v="Burger King"/>
    <x v="5"/>
    <s v="Mughlai"/>
    <n v="23"/>
    <n v="4.5999999999999996"/>
    <s v="26mins"/>
    <n v="878"/>
    <n v="150"/>
    <s v="Wallet"/>
    <s v="Refunded"/>
    <n v="8"/>
    <s v="Dunzo"/>
    <n v="250"/>
  </r>
  <r>
    <x v="283"/>
    <d v="2026-10-09T00:00:00"/>
    <s v="31-03-2024"/>
    <d v="1899-12-30T00:00:00"/>
    <s v="Paradise Biryani"/>
    <x v="1"/>
    <s v="Italian"/>
    <n v="58"/>
    <n v="2.5"/>
    <s v="37mins"/>
    <n v="479"/>
    <n v="0.1"/>
    <s v="Cash On Delivery"/>
    <s v="Delivered"/>
    <n v="9"/>
    <s v="Dunzo"/>
    <n v="159"/>
  </r>
  <r>
    <x v="284"/>
    <d v="2026-08-23T00:00:00"/>
    <s v="19-06-2024"/>
    <d v="1899-12-30T00:00:00"/>
    <s v="Haldiram'S"/>
    <x v="6"/>
    <s v="Unknown"/>
    <n v="28"/>
    <n v="2.2000000000000002"/>
    <s v="30mins"/>
    <n v="1546"/>
    <n v="0.2"/>
    <s v="Wallet"/>
    <s v="Unknown"/>
    <n v="4"/>
    <s v="Shadowfax"/>
    <n v="220"/>
  </r>
  <r>
    <x v="285"/>
    <d v="2026-08-01T00:00:00"/>
    <s v="01-05-2024"/>
    <d v="1899-12-30T00:00:00"/>
    <s v="Chai Point"/>
    <x v="10"/>
    <s v="Chinese"/>
    <n v="38"/>
    <n v="1.4"/>
    <s v="56mins"/>
    <n v="314"/>
    <n v="150"/>
    <s v="Debit Card"/>
    <s v="Refunded"/>
    <n v="8"/>
    <s v="Shadowfax"/>
    <n v="38"/>
  </r>
  <r>
    <x v="286"/>
    <d v="2026-01-19T00:00:00"/>
    <s v="22-03-2024"/>
    <d v="1899-12-30T00:00:00"/>
    <s v="Chai Point"/>
    <x v="10"/>
    <s v="Chinese"/>
    <n v="62"/>
    <n v="1"/>
    <s v="33mins"/>
    <n v="500"/>
    <n v="100"/>
    <s v="Upi"/>
    <s v="Delivered"/>
    <n v="6"/>
    <s v="Zomato Valet"/>
    <n v="15"/>
  </r>
  <r>
    <x v="287"/>
    <d v="2026-09-03T00:00:00"/>
    <s v="06-13-2024"/>
    <d v="1899-12-30T13:30:00"/>
    <s v="Wow! Momo"/>
    <x v="5"/>
    <s v="Unknown"/>
    <n v="62"/>
    <n v="1.2"/>
    <s v="29 mins"/>
    <n v="2381"/>
    <n v="0.2"/>
    <s v="Debit Card"/>
    <s v="Delivered"/>
    <n v="7"/>
    <s v="Rapido"/>
    <n v="68"/>
  </r>
  <r>
    <x v="288"/>
    <d v="2026-08-12T00:00:00"/>
    <s v="21-01-2024"/>
    <d v="1899-12-30T00:00:00"/>
    <s v="Wow! Momo"/>
    <x v="10"/>
    <s v="Fast Food"/>
    <n v="34"/>
    <n v="3.6"/>
    <s v="72mins"/>
    <n v="1556"/>
    <n v="100"/>
    <s v="Credit Card"/>
    <s v="Delivered"/>
    <n v="10"/>
    <s v="In-House"/>
    <n v="142"/>
  </r>
  <r>
    <x v="289"/>
    <d v="2026-11-13T00:00:00"/>
    <s v="18-04-2024"/>
    <d v="1899-12-30T00:00:00"/>
    <s v="Subway"/>
    <x v="9"/>
    <s v="Chinese"/>
    <n v="48"/>
    <n v="1.5"/>
    <s v="73mins"/>
    <n v="2190"/>
    <n v="75"/>
    <s v="Upi"/>
    <s v="Cancelled"/>
    <n v="1"/>
    <s v="Grab"/>
    <m/>
  </r>
  <r>
    <x v="290"/>
    <d v="2026-03-13T00:00:00"/>
    <s v="06-05-2024"/>
    <d v="1899-12-30T00:00:00"/>
    <s v="Kfc"/>
    <x v="4"/>
    <s v="Street Food"/>
    <n v="58"/>
    <n v="2.4"/>
    <s v="35mins"/>
    <n v="2146"/>
    <n v="50"/>
    <s v="Wallet"/>
    <s v="Delivered"/>
    <n v="5"/>
    <s v="Rapido"/>
    <n v="5"/>
  </r>
  <r>
    <x v="291"/>
    <d v="2026-10-22T00:00:00"/>
    <s v="06-07-2024"/>
    <d v="1899-12-30T00:00:00"/>
    <s v="Subway"/>
    <x v="7"/>
    <s v="Mughlai"/>
    <n v="50"/>
    <n v="3"/>
    <s v="54mins"/>
    <n v="696"/>
    <n v="120"/>
    <s v="Wallet"/>
    <s v="Delivered"/>
    <n v="2"/>
    <s v="Zomato Valet"/>
    <n v="59"/>
  </r>
  <r>
    <x v="292"/>
    <d v="2026-06-04T00:00:00"/>
    <s v="17-03-2024"/>
    <d v="1899-12-30T00:00:00"/>
    <s v="Dominos Pizza"/>
    <x v="10"/>
    <s v="Desserts"/>
    <n v="52"/>
    <n v="2.7"/>
    <s v="59mins"/>
    <n v="2379"/>
    <n v="100"/>
    <s v="Upi"/>
    <s v="Refunded"/>
    <n v="2"/>
    <s v="Grab"/>
    <n v="119"/>
  </r>
  <r>
    <x v="293"/>
    <d v="2026-07-26T00:00:00"/>
    <s v="29-06-2024"/>
    <d v="1899-12-30T00:00:00"/>
    <s v="Subway"/>
    <x v="0"/>
    <s v="Mughlai"/>
    <n v="64"/>
    <n v="2.5"/>
    <s v="77mins"/>
    <n v="534"/>
    <n v="0"/>
    <s v="Debit Card"/>
    <s v="Delivered"/>
    <n v="0"/>
    <s v="In-House"/>
    <m/>
  </r>
  <r>
    <x v="294"/>
    <d v="2026-02-06T00:00:00"/>
    <s v="24-04-2024"/>
    <d v="1899-12-30T00:00:00"/>
    <s v="Kfc"/>
    <x v="10"/>
    <s v="Fast Food"/>
    <n v="50"/>
    <n v="1.5"/>
    <s v="16mins"/>
    <n v="842"/>
    <n v="0.15"/>
    <s v="Cash On Delivery"/>
    <s v="Delivered"/>
    <n v="9"/>
    <s v="Zomato Valet"/>
    <n v="88"/>
  </r>
  <r>
    <x v="295"/>
    <d v="2026-09-05T00:00:00"/>
    <s v="19-01-2024"/>
    <d v="1899-12-30T00:00:00"/>
    <s v="Faasos"/>
    <x v="13"/>
    <s v="Desserts, Desserts"/>
    <n v="56"/>
    <n v="1.9"/>
    <s v="76mins"/>
    <n v="1583"/>
    <n v="150"/>
    <s v="Wallet"/>
    <s v="Delvrd"/>
    <n v="3"/>
    <s v="Unknown"/>
    <n v="12"/>
  </r>
  <r>
    <x v="296"/>
    <d v="2026-01-03T00:00:00"/>
    <s v="28-03-2024"/>
    <d v="1899-12-30T00:00:00"/>
    <s v="Chai Point"/>
    <x v="7"/>
    <s v="Street Food"/>
    <n v="48"/>
    <n v="3.8"/>
    <s v="23mins"/>
    <n v="719"/>
    <n v="0.2"/>
    <s v="Net Banking"/>
    <s v="Cancelled"/>
    <n v="6"/>
    <s v="Rapido"/>
    <n v="117"/>
  </r>
  <r>
    <x v="297"/>
    <d v="2026-08-12T00:00:00"/>
    <s v="05-02-2024"/>
    <d v="1899-12-30T00:00:00"/>
    <s v="Faasos"/>
    <x v="10"/>
    <s v="Biryani"/>
    <n v="29"/>
    <n v="4.2"/>
    <s v="65mins"/>
    <n v="1273"/>
    <n v="120"/>
    <s v="Debit Card"/>
    <s v="Delivered"/>
    <n v="0"/>
    <s v="Shadowfax"/>
    <n v="83"/>
  </r>
  <r>
    <x v="298"/>
    <d v="2026-09-03T00:00:00"/>
    <s v="10-05-2024"/>
    <d v="1899-12-30T00:00:00"/>
    <s v="Burger King"/>
    <x v="1"/>
    <s v="South Indian"/>
    <n v="35"/>
    <n v="3.1"/>
    <s v="21 mins"/>
    <n v="2323"/>
    <n v="0.6"/>
    <s v="Unknown"/>
    <s v="Refunded"/>
    <n v="4"/>
    <s v="Shadowfax"/>
    <n v="168"/>
  </r>
  <r>
    <x v="299"/>
    <d v="2026-12-27T00:00:00"/>
    <s v="06-01-2024"/>
    <d v="1899-12-30T00:00:00"/>
    <s v="Dominos Pizza"/>
    <x v="0"/>
    <s v="Biryani"/>
    <n v="33"/>
    <n v="1.7"/>
    <s v="29 mins"/>
    <n v="500"/>
    <n v="100"/>
    <s v="Net Banking"/>
    <s v="Cancelled"/>
    <n v="8"/>
    <s v="Shadowfax"/>
    <n v="123"/>
  </r>
  <r>
    <x v="300"/>
    <d v="2026-12-23T00:00:00"/>
    <s v="21-06-2024"/>
    <d v="1899-12-30T00:00:00"/>
    <s v="Wow! Momo"/>
    <x v="7"/>
    <s v="South Indian"/>
    <n v="31"/>
    <n v="2.4"/>
    <s v="52mins"/>
    <n v="2258"/>
    <n v="0"/>
    <s v="Wallet"/>
    <s v="Pending"/>
    <n v="1"/>
    <s v="Grab"/>
    <n v="60"/>
  </r>
  <r>
    <x v="301"/>
    <d v="2026-08-30T00:00:00"/>
    <s v="07-03-2024"/>
    <d v="1899-12-30T00:00:00"/>
    <s v="Dominos Pizza"/>
    <x v="0"/>
    <s v="South Indian"/>
    <n v="34"/>
    <n v="4.7"/>
    <s v="52mins"/>
    <n v="457"/>
    <n v="50"/>
    <s v="Credit Card"/>
    <s v="Delivered"/>
    <n v="3"/>
    <s v="Dunzo"/>
    <n v="215"/>
  </r>
  <r>
    <x v="3"/>
    <d v="2026-01-09T00:00:00"/>
    <s v="04-27-2024"/>
    <d v="1899-12-30T18:03:00"/>
    <s v="Faasos"/>
    <x v="1"/>
    <s v="Bakery"/>
    <n v="44"/>
    <n v="4.4000000000000004"/>
    <s v="17 mins"/>
    <n v="612"/>
    <n v="0.2"/>
    <s v="Upi"/>
    <s v="Unknown"/>
    <n v="1"/>
    <s v="Shadowfax"/>
    <n v="31"/>
  </r>
  <r>
    <x v="302"/>
    <d v="2026-10-02T00:00:00"/>
    <s v="15-06-2024"/>
    <d v="1899-12-30T00:00:00"/>
    <s v="Unknown"/>
    <x v="6"/>
    <s v="Mughlai"/>
    <n v="33"/>
    <n v="4.5999999999999996"/>
    <s v="52mins"/>
    <n v="1010"/>
    <n v="150"/>
    <s v="Cash On Delivery"/>
    <s v="Delivered"/>
    <n v="8"/>
    <s v="Zomato Valet"/>
    <n v="224"/>
  </r>
  <r>
    <x v="303"/>
    <d v="2026-08-12T00:00:00"/>
    <s v="01-07-2024"/>
    <d v="1899-12-30T00:00:00"/>
    <s v="Bikanervala"/>
    <x v="3"/>
    <s v="Biryani"/>
    <n v="49"/>
    <n v="3.1"/>
    <s v="79mins"/>
    <n v="280"/>
    <n v="100"/>
    <s v="Debit Card"/>
    <s v="Refunded"/>
    <n v="10"/>
    <s v="Grab"/>
    <m/>
  </r>
  <r>
    <x v="304"/>
    <d v="2026-07-07T00:00:00"/>
    <s v="02-19-2024"/>
    <d v="1899-12-30T14:15:00"/>
    <s v="Barbeque Nation"/>
    <x v="9"/>
    <s v="Mughlai"/>
    <n v="61"/>
    <n v="1.3"/>
    <s v="58mins"/>
    <n v="1588"/>
    <n v="75"/>
    <s v="Net Banking"/>
    <s v="Refunded"/>
    <n v="10"/>
    <s v="Rapido"/>
    <n v="177"/>
  </r>
  <r>
    <x v="305"/>
    <d v="2026-02-19T00:00:00"/>
    <s v="10-03-2024"/>
    <d v="1899-12-30T00:00:00"/>
    <s v="Burger King"/>
    <x v="5"/>
    <s v="Street Food"/>
    <n v="27"/>
    <n v="3.8"/>
    <s v="67mins"/>
    <n v="1887"/>
    <n v="0.1"/>
    <s v="Credit Card"/>
    <s v="Delivered"/>
    <n v="7"/>
    <s v="Grab"/>
    <n v="70"/>
  </r>
  <r>
    <x v="306"/>
    <d v="2026-08-27T00:00:00"/>
    <s v="05-05-2024"/>
    <d v="1899-12-30T00:00:00"/>
    <s v="Subway"/>
    <x v="3"/>
    <s v="South Indian, North Indian"/>
    <n v="45"/>
    <n v="1.4"/>
    <s v="34mins"/>
    <n v="500"/>
    <n v="0.15"/>
    <s v="Debit Card"/>
    <s v="Refunded"/>
    <n v="5"/>
    <s v="Dunzo"/>
    <m/>
  </r>
  <r>
    <x v="3"/>
    <d v="2026-08-12T00:00:00"/>
    <s v="19-02-2024"/>
    <d v="1899-12-30T00:00:00"/>
    <s v="Paradise Biryani"/>
    <x v="10"/>
    <s v="Bakery"/>
    <n v="49"/>
    <n v="3.8"/>
    <s v="15 mins"/>
    <n v="2148"/>
    <n v="100"/>
    <s v="Debit Card"/>
    <s v="Delivered"/>
    <n v="5"/>
    <s v="In-House"/>
    <n v="31"/>
  </r>
  <r>
    <x v="307"/>
    <d v="2026-10-22T00:00:00"/>
    <s v="31-01-2024"/>
    <d v="1899-12-30T00:00:00"/>
    <s v="Paradise Biryani"/>
    <x v="3"/>
    <s v="South Indian"/>
    <n v="37"/>
    <n v="1.8"/>
    <s v="19mins"/>
    <n v="987"/>
    <n v="0.1"/>
    <s v="Upi"/>
    <s v="Delivered"/>
    <n v="6"/>
    <s v="Grab"/>
    <n v="239"/>
  </r>
  <r>
    <x v="308"/>
    <d v="2026-01-30T00:00:00"/>
    <s v="31-05-2024"/>
    <d v="1899-12-30T00:00:00"/>
    <s v="Unknown"/>
    <x v="11"/>
    <s v="Bakery"/>
    <n v="47"/>
    <n v="3.4"/>
    <s v="35 mins"/>
    <n v="2107"/>
    <n v="0.1"/>
    <s v="Credit Card"/>
    <s v="Failed"/>
    <n v="1"/>
    <s v="Unknown"/>
    <n v="55"/>
  </r>
  <r>
    <x v="309"/>
    <d v="2026-09-03T00:00:00"/>
    <s v="12-06-2024"/>
    <d v="1899-12-30T00:00:00"/>
    <s v="Barbeque Nation"/>
    <x v="6"/>
    <s v="Biryani"/>
    <n v="52"/>
    <n v="1.5"/>
    <s v="50mins"/>
    <n v="1989"/>
    <n v="0"/>
    <s v="Credit Card"/>
    <s v="Delivered"/>
    <n v="2"/>
    <s v="Zomato Valet"/>
    <n v="92"/>
  </r>
  <r>
    <x v="310"/>
    <d v="2026-02-07T00:00:00"/>
    <s v="05-21-2024"/>
    <d v="1899-12-30T18:49:00"/>
    <s v="Kfc"/>
    <x v="6"/>
    <s v="South Indian"/>
    <n v="34"/>
    <n v="5"/>
    <s v="67mins"/>
    <n v="2456"/>
    <n v="0.5"/>
    <s v="Debit Card"/>
    <s v="Refunded"/>
    <n v="9"/>
    <s v="Rapido"/>
    <n v="43"/>
  </r>
  <r>
    <x v="311"/>
    <d v="2026-08-28T00:00:00"/>
    <s v="01-02-2024"/>
    <d v="1899-12-30T00:00:00"/>
    <s v="Chai Point"/>
    <x v="8"/>
    <s v="Street Food"/>
    <n v="60"/>
    <n v="4.5999999999999996"/>
    <s v="20mins"/>
    <n v="862"/>
    <n v="0"/>
    <s v="Debit Card"/>
    <s v="Unknown"/>
    <n v="1"/>
    <s v="Grab"/>
    <n v="45"/>
  </r>
  <r>
    <x v="312"/>
    <d v="2026-12-13T00:00:00"/>
    <s v="04-03-2024"/>
    <d v="1899-12-30T00:00:00"/>
    <s v="Barbeque Nation"/>
    <x v="0"/>
    <s v="Street Food"/>
    <n v="54"/>
    <n v="4.0999999999999996"/>
    <s v="50 mins"/>
    <n v="686"/>
    <n v="100"/>
    <s v="Credit Card"/>
    <s v="Delivered"/>
    <n v="10"/>
    <s v="Zomato Valet"/>
    <m/>
  </r>
  <r>
    <x v="313"/>
    <d v="2026-02-03T00:00:00"/>
    <s v="07-10-2024"/>
    <d v="1899-12-30T08:38:00"/>
    <s v="Chai Point"/>
    <x v="4"/>
    <s v="North Indian"/>
    <n v="25"/>
    <n v="3.6"/>
    <s v="16mins"/>
    <n v="1104"/>
    <n v="50"/>
    <s v="Wallet"/>
    <s v="Delivered"/>
    <n v="4"/>
    <s v="In-House"/>
    <n v="18"/>
  </r>
  <r>
    <x v="314"/>
    <d v="2026-12-05T00:00:00"/>
    <s v="05-05-2024"/>
    <d v="1899-12-30T00:00:00"/>
    <s v="Unknown"/>
    <x v="1"/>
    <s v="Mughlai"/>
    <n v="36"/>
    <n v="2.7"/>
    <s v="15 mins"/>
    <n v="1990"/>
    <n v="75"/>
    <s v="Debit Card"/>
    <s v="Refunded"/>
    <n v="8"/>
    <s v="Shadowfax"/>
    <n v="178"/>
  </r>
  <r>
    <x v="315"/>
    <d v="2026-06-01T00:00:00"/>
    <s v="05-21-2024"/>
    <d v="1899-12-30T17:23:00"/>
    <s v="Barbeque Nation"/>
    <x v="5"/>
    <s v="Unknown"/>
    <n v="24"/>
    <n v="2.1"/>
    <s v="38mins"/>
    <n v="1614"/>
    <n v="0"/>
    <s v="Upi"/>
    <s v="Delivered"/>
    <n v="5"/>
    <s v="In-House"/>
    <n v="186"/>
  </r>
  <r>
    <x v="316"/>
    <d v="2026-11-08T00:00:00"/>
    <s v="03-06-2024"/>
    <d v="1899-12-30T00:00:00"/>
    <s v="Haldiram'S"/>
    <x v="3"/>
    <s v="Mughlai"/>
    <n v="54"/>
    <n v="1.9"/>
    <s v="41mins"/>
    <n v="1232"/>
    <n v="0"/>
    <s v="Wallet"/>
    <s v="Cancelled"/>
    <n v="5"/>
    <s v="Zomato Valet"/>
    <n v="247"/>
  </r>
  <r>
    <x v="317"/>
    <d v="2026-11-12T00:00:00"/>
    <s v="24-01-2024"/>
    <d v="1899-12-30T00:00:00"/>
    <s v="Chai Point"/>
    <x v="6"/>
    <s v="North Indian"/>
    <n v="39"/>
    <n v="3"/>
    <s v="51 mins"/>
    <n v="781"/>
    <n v="0.2"/>
    <s v="Cash On Delivery"/>
    <s v="Unknown"/>
    <n v="3"/>
    <s v="Shadowfax"/>
    <n v="21"/>
  </r>
  <r>
    <x v="318"/>
    <d v="2026-01-31T00:00:00"/>
    <s v="16-01-2024"/>
    <d v="1899-12-30T00:00:00"/>
    <s v="Chai Point"/>
    <x v="5"/>
    <s v="Fast Food, Desserts"/>
    <n v="18"/>
    <n v="4.4000000000000004"/>
    <s v="25mins"/>
    <n v="1939"/>
    <n v="0.1"/>
    <s v="Cash On Delivery"/>
    <s v="Delivered"/>
    <n v="10"/>
    <s v="Rapido"/>
    <n v="28"/>
  </r>
  <r>
    <x v="319"/>
    <d v="2026-01-27T00:00:00"/>
    <s v="24-04-2024"/>
    <d v="1899-12-30T00:00:00"/>
    <s v="Paradise Biryani"/>
    <x v="0"/>
    <s v="Mughlai"/>
    <n v="21"/>
    <n v="3.8"/>
    <s v="29mins"/>
    <n v="1453"/>
    <n v="150"/>
    <s v="Wallet"/>
    <s v="Cancelled"/>
    <n v="10"/>
    <s v="Rapido"/>
    <n v="102"/>
  </r>
  <r>
    <x v="320"/>
    <d v="2026-04-08T00:00:00"/>
    <s v="26-03-2024"/>
    <d v="1899-12-30T00:00:00"/>
    <s v="Unknown"/>
    <x v="1"/>
    <s v="Chinese, Fast Food"/>
    <n v="22"/>
    <n v="3.5"/>
    <s v="63 mins"/>
    <n v="886"/>
    <n v="0.2"/>
    <s v="Unknown"/>
    <s v="Delivered"/>
    <n v="1"/>
    <s v="Zomato Valet"/>
    <n v="187"/>
  </r>
  <r>
    <x v="321"/>
    <d v="2026-10-19T00:00:00"/>
    <s v="03-03-2024"/>
    <d v="1899-12-30T00:00:00"/>
    <s v="Kfc"/>
    <x v="7"/>
    <s v="Biryani"/>
    <n v="18"/>
    <n v="1.7"/>
    <s v="20mins"/>
    <n v="500"/>
    <n v="100"/>
    <s v="Credit Card"/>
    <s v="Delivered"/>
    <n v="0"/>
    <s v="Rapido"/>
    <n v="203"/>
  </r>
  <r>
    <x v="322"/>
    <d v="2026-01-05T00:00:00"/>
    <s v="13-01-2024"/>
    <d v="1899-12-30T00:00:00"/>
    <s v="Burger King"/>
    <x v="0"/>
    <s v="Fast Food"/>
    <n v="30"/>
    <n v="4.0999999999999996"/>
    <s v="23mins"/>
    <n v="1071"/>
    <n v="50"/>
    <s v="Wallet"/>
    <s v="Delivered"/>
    <n v="7"/>
    <s v="Dunzo"/>
    <n v="59"/>
  </r>
  <r>
    <x v="323"/>
    <d v="2026-09-19T00:00:00"/>
    <s v="15-05-2024"/>
    <d v="1899-12-30T00:00:00"/>
    <s v="Burger King"/>
    <x v="7"/>
    <s v="Desserts"/>
    <n v="29"/>
    <n v="1.9"/>
    <s v="58mins"/>
    <n v="1413"/>
    <n v="0.1"/>
    <s v="Wallet"/>
    <s v="Refunded"/>
    <n v="9"/>
    <s v="Rapido"/>
    <n v="5"/>
  </r>
  <r>
    <x v="324"/>
    <d v="2026-08-17T00:00:00"/>
    <s v="12-05-2024"/>
    <d v="1899-12-30T00:00:00"/>
    <s v="Burger King"/>
    <x v="0"/>
    <s v="North Indian"/>
    <n v="40"/>
    <n v="3.1"/>
    <s v="30mins"/>
    <n v="1059"/>
    <n v="0.1"/>
    <s v="Upi"/>
    <s v="Delivered"/>
    <n v="10"/>
    <s v="Zomato Valet"/>
    <n v="8"/>
  </r>
  <r>
    <x v="325"/>
    <d v="2026-12-06T00:00:00"/>
    <s v="04-14-2024"/>
    <d v="1899-12-30T01:11:00"/>
    <s v="Haldiram'S"/>
    <x v="3"/>
    <s v="Italian"/>
    <n v="18"/>
    <n v="1.8"/>
    <s v="15 mins"/>
    <n v="2049"/>
    <n v="0.5"/>
    <s v="Upi"/>
    <s v="Delivered"/>
    <n v="8"/>
    <s v="Dunzo"/>
    <n v="117"/>
  </r>
  <r>
    <x v="326"/>
    <d v="2026-12-26T00:00:00"/>
    <s v="07-06-2024"/>
    <d v="1899-12-30T00:00:00"/>
    <s v="Kfc"/>
    <x v="10"/>
    <s v="Bakery"/>
    <n v="48"/>
    <n v="1.1000000000000001"/>
    <s v="41 mins"/>
    <n v="583"/>
    <n v="0.15"/>
    <s v="Net Banking"/>
    <s v="Refunded"/>
    <n v="1"/>
    <s v="In-House"/>
    <n v="37"/>
  </r>
  <r>
    <x v="327"/>
    <d v="2026-09-26T00:00:00"/>
    <m/>
    <d v="1899-12-30T00:00:00"/>
    <s v="Kfc"/>
    <x v="0"/>
    <s v="Italian, North Indian"/>
    <n v="21"/>
    <n v="1.8"/>
    <s v="26mins"/>
    <n v="2067"/>
    <n v="0.5"/>
    <s v="Upi"/>
    <s v="Cancelled"/>
    <n v="1"/>
    <s v="Grab"/>
    <n v="109"/>
  </r>
  <r>
    <x v="328"/>
    <d v="2026-04-01T00:00:00"/>
    <s v="23-05-2024"/>
    <d v="1899-12-30T00:00:00"/>
    <s v="Chai Point"/>
    <x v="0"/>
    <s v="Street Food"/>
    <n v="60"/>
    <n v="3.9"/>
    <s v="67mins"/>
    <n v="230"/>
    <n v="0.1"/>
    <s v="Upi"/>
    <s v="Pending"/>
    <n v="10"/>
    <s v="In-House"/>
    <n v="109"/>
  </r>
  <r>
    <x v="329"/>
    <d v="2026-09-26T00:00:00"/>
    <s v="06-03-2024"/>
    <d v="1899-12-30T00:00:00"/>
    <s v="Subway"/>
    <x v="10"/>
    <s v="Biryani"/>
    <n v="61"/>
    <n v="4.9000000000000004"/>
    <s v="52mins"/>
    <n v="466"/>
    <n v="150"/>
    <s v="Net Banking"/>
    <s v="Delivered"/>
    <n v="4"/>
    <s v="Shadowfax"/>
    <n v="197"/>
  </r>
  <r>
    <x v="330"/>
    <d v="2026-05-20T00:00:00"/>
    <s v="17-07-2024"/>
    <d v="1899-12-30T00:00:00"/>
    <s v="Wow! Momo"/>
    <x v="0"/>
    <s v="South Indian"/>
    <n v="29"/>
    <n v="2.2000000000000002"/>
    <s v="44mins"/>
    <n v="1358"/>
    <n v="120"/>
    <s v="Debit Card"/>
    <s v="Delivered"/>
    <n v="1"/>
    <s v="Dunzo"/>
    <n v="41"/>
  </r>
  <r>
    <x v="331"/>
    <d v="2026-03-30T00:00:00"/>
    <s v="28-03-2024"/>
    <d v="1899-12-30T00:00:00"/>
    <s v="Barbeque Nation"/>
    <x v="5"/>
    <s v="Desserts, Chinese"/>
    <n v="18"/>
    <n v="2.7"/>
    <s v="33mins"/>
    <n v="1944"/>
    <n v="0.2"/>
    <s v="Upi"/>
    <s v="Delivered"/>
    <n v="9"/>
    <s v="Dunzo"/>
    <n v="70"/>
  </r>
  <r>
    <x v="332"/>
    <d v="2026-11-05T00:00:00"/>
    <s v="10-03-2024"/>
    <d v="1899-12-30T00:00:00"/>
    <s v="Paradise Biryani"/>
    <x v="1"/>
    <s v="Italian"/>
    <n v="23"/>
    <n v="3"/>
    <s v="75mins"/>
    <n v="2316"/>
    <n v="120"/>
    <s v="Wallet"/>
    <s v="Delivered"/>
    <n v="2"/>
    <s v="Shadowfax"/>
    <n v="51"/>
  </r>
  <r>
    <x v="333"/>
    <d v="2026-04-02T00:00:00"/>
    <s v="13-02-2024"/>
    <d v="1899-12-30T00:00:00"/>
    <s v="Subw@Y"/>
    <x v="4"/>
    <s v="Unknown"/>
    <n v="45"/>
    <n v="3.1"/>
    <s v="31mins"/>
    <n v="1233"/>
    <n v="100"/>
    <s v="Upi"/>
    <s v="Delivered"/>
    <n v="3"/>
    <s v="Rapido"/>
    <n v="51"/>
  </r>
  <r>
    <x v="334"/>
    <d v="2026-05-06T00:00:00"/>
    <s v="11-03-2024"/>
    <d v="1899-12-30T00:00:00"/>
    <s v="Dominos Pizza"/>
    <x v="8"/>
    <s v="Mughlai"/>
    <n v="18"/>
    <n v="1.4"/>
    <s v="38mins"/>
    <n v="364"/>
    <n v="100"/>
    <s v="Credit Card"/>
    <s v="Delivered"/>
    <n v="4"/>
    <s v="Rapido"/>
    <n v="90"/>
  </r>
  <r>
    <x v="335"/>
    <d v="2026-02-24T00:00:00"/>
    <s v="27-03-2024"/>
    <d v="1899-12-30T00:00:00"/>
    <s v="Paradise Biryani"/>
    <x v="10"/>
    <s v="South Indian"/>
    <n v="33"/>
    <n v="3.1"/>
    <s v="16mins"/>
    <n v="500"/>
    <n v="0"/>
    <s v="Wallet"/>
    <s v="Refunded"/>
    <n v="6"/>
    <s v="Zomato Valet"/>
    <n v="68"/>
  </r>
  <r>
    <x v="336"/>
    <d v="2026-03-25T00:00:00"/>
    <s v="06-07-2024"/>
    <d v="1899-12-30T00:00:00"/>
    <s v="Barbeque Nation"/>
    <x v="1"/>
    <s v="Street Food"/>
    <n v="36"/>
    <n v="4.5"/>
    <s v="31mins"/>
    <n v="500"/>
    <n v="0.1"/>
    <s v="Net Banking"/>
    <s v="Delivered"/>
    <n v="9"/>
    <s v="Dunzo"/>
    <n v="120"/>
  </r>
  <r>
    <x v="337"/>
    <d v="2026-08-31T00:00:00"/>
    <s v="17-01-2024"/>
    <d v="1899-12-30T00:00:00"/>
    <s v="Kfc"/>
    <x v="0"/>
    <s v="Fast Food"/>
    <n v="52"/>
    <n v="3.6"/>
    <s v="15 mins"/>
    <n v="1585"/>
    <n v="120"/>
    <s v="Upi"/>
    <s v="Delivered"/>
    <n v="10"/>
    <s v="Rapido"/>
    <n v="157"/>
  </r>
  <r>
    <x v="338"/>
    <d v="2026-12-26T00:00:00"/>
    <s v="27-05-2024"/>
    <d v="1899-12-30T00:00:00"/>
    <s v="Unknown"/>
    <x v="8"/>
    <s v="Fast Food"/>
    <n v="19"/>
    <n v="4.5"/>
    <s v="64mins"/>
    <n v="1027"/>
    <n v="120"/>
    <s v="Unknown"/>
    <s v="Delivered"/>
    <n v="6"/>
    <s v="Dunzo"/>
    <n v="93"/>
  </r>
  <r>
    <x v="339"/>
    <d v="2026-06-11T00:00:00"/>
    <s v="05-06-2024"/>
    <d v="1899-12-30T00:00:00"/>
    <s v="Dominos Pizza"/>
    <x v="5"/>
    <s v="Chinese"/>
    <n v="43"/>
    <n v="1.3"/>
    <s v="56mins"/>
    <n v="564"/>
    <n v="100"/>
    <s v="Credit Card"/>
    <s v="Delivered"/>
    <n v="4"/>
    <s v="Dunzo"/>
    <n v="42"/>
  </r>
  <r>
    <x v="340"/>
    <d v="2026-11-11T00:00:00"/>
    <s v="25-02-2024"/>
    <d v="1899-12-30T00:00:00"/>
    <s v="Dominos Pizza"/>
    <x v="6"/>
    <s v="North Indian"/>
    <n v="59"/>
    <n v="2.1"/>
    <s v="26mins"/>
    <n v="204"/>
    <n v="120"/>
    <s v="Net Banking"/>
    <s v="Delivered"/>
    <n v="8"/>
    <s v="Zomato Valet"/>
    <n v="199"/>
  </r>
  <r>
    <x v="341"/>
    <d v="2026-06-25T00:00:00"/>
    <s v="11-02-2024"/>
    <d v="1899-12-30T00:00:00"/>
    <s v="Wow! Momo"/>
    <x v="3"/>
    <s v="Mughlai"/>
    <n v="63"/>
    <n v="2.2999999999999998"/>
    <s v="50mins"/>
    <n v="1408"/>
    <n v="75"/>
    <s v="Debit Card"/>
    <s v="Delivered"/>
    <n v="2"/>
    <s v="In-House"/>
    <n v="35"/>
  </r>
  <r>
    <x v="342"/>
    <d v="2026-09-22T00:00:00"/>
    <s v="03-19-2024"/>
    <d v="1899-12-30T12:42:00"/>
    <s v="Chai Point"/>
    <x v="9"/>
    <s v="North Indian"/>
    <n v="45"/>
    <n v="1.7"/>
    <s v="34 mins"/>
    <n v="797"/>
    <n v="100"/>
    <s v="Net Banking"/>
    <s v="Cancelled"/>
    <n v="5"/>
    <s v="In-House"/>
    <n v="37"/>
  </r>
  <r>
    <x v="343"/>
    <d v="2026-11-30T00:00:00"/>
    <s v="04-04-2024"/>
    <d v="1899-12-30T00:00:00"/>
    <s v="Haldiram'S"/>
    <x v="9"/>
    <s v="Chinese"/>
    <n v="57"/>
    <n v="2.5"/>
    <s v="15 mins"/>
    <n v="334"/>
    <n v="0.15"/>
    <s v="Cash Card"/>
    <s v="Cancelled"/>
    <n v="8"/>
    <s v="Shadowfax"/>
    <n v="78"/>
  </r>
  <r>
    <x v="344"/>
    <d v="2026-10-23T00:00:00"/>
    <s v="09-06-2024"/>
    <d v="1899-12-30T00:00:00"/>
    <s v="Subway"/>
    <x v="4"/>
    <s v="Mughlai"/>
    <n v="21"/>
    <n v="1.7"/>
    <s v="30mins"/>
    <n v="1656"/>
    <n v="50"/>
    <s v="Credit Card"/>
    <s v="Delivered"/>
    <n v="1"/>
    <s v="Dunzo"/>
    <n v="235"/>
  </r>
  <r>
    <x v="345"/>
    <d v="2026-12-18T00:00:00"/>
    <s v="02-13-2024"/>
    <d v="1899-12-30T03:26:00"/>
    <s v="Kfc"/>
    <x v="8"/>
    <s v="Desserts"/>
    <n v="31"/>
    <n v="4.8"/>
    <s v="30mins"/>
    <n v="1284"/>
    <n v="100"/>
    <s v="Credit Card"/>
    <s v="Delivered"/>
    <n v="8"/>
    <s v="Rapido"/>
    <n v="215"/>
  </r>
  <r>
    <x v="346"/>
    <d v="2026-02-20T00:00:00"/>
    <s v="01-01-2024"/>
    <d v="1899-12-30T00:00:00"/>
    <s v="Paradise Biryani"/>
    <x v="10"/>
    <s v="South Indian"/>
    <n v="53"/>
    <n v="3.1"/>
    <s v="16 mins"/>
    <n v="2053"/>
    <n v="0"/>
    <s v="Debit Card"/>
    <s v="Delvrd"/>
    <n v="9"/>
    <s v="Grab"/>
    <n v="212"/>
  </r>
  <r>
    <x v="3"/>
    <d v="2026-02-20T00:00:00"/>
    <s v="18-03-2024"/>
    <d v="1899-12-30T00:00:00"/>
    <s v="Faasos"/>
    <x v="0"/>
    <s v="Bakery"/>
    <n v="58"/>
    <n v="1.6"/>
    <s v="22 mins"/>
    <n v="2183"/>
    <n v="100"/>
    <s v="Cash On Delivery"/>
    <s v="Delivered"/>
    <n v="3"/>
    <s v="Zomato Valet"/>
    <n v="67"/>
  </r>
  <r>
    <x v="347"/>
    <d v="2026-06-28T00:00:00"/>
    <s v="13-07-2024"/>
    <d v="1899-12-30T00:00:00"/>
    <s v="Dominos Pizza"/>
    <x v="6"/>
    <s v="Fast Food"/>
    <n v="24"/>
    <n v="4.0999999999999996"/>
    <s v="20 mins"/>
    <n v="797"/>
    <n v="150"/>
    <s v="Net Banking"/>
    <s v="Refunded"/>
    <n v="3"/>
    <s v="Zomato Valet"/>
    <n v="151"/>
  </r>
  <r>
    <x v="348"/>
    <d v="2026-12-26T00:00:00"/>
    <m/>
    <d v="1899-12-30T00:00:00"/>
    <s v="Dominos Pizza"/>
    <x v="10"/>
    <s v="South Indian"/>
    <n v="40"/>
    <n v="3.2"/>
    <s v="31mins"/>
    <n v="500"/>
    <n v="150"/>
    <s v="Unknown"/>
    <s v="Delivered"/>
    <n v="3"/>
    <s v="Grab"/>
    <n v="60"/>
  </r>
  <r>
    <x v="349"/>
    <d v="2026-05-14T00:00:00"/>
    <s v="04-03-2024"/>
    <d v="1899-12-30T00:00:00"/>
    <s v="H@Ldir@M'S"/>
    <x v="0"/>
    <s v="Street Food"/>
    <n v="44"/>
    <n v="1.4"/>
    <s v="26mins"/>
    <n v="1284"/>
    <n v="0"/>
    <s v="Upi"/>
    <s v="Delivered"/>
    <n v="2"/>
    <s v="Dunzo"/>
    <m/>
  </r>
  <r>
    <x v="350"/>
    <d v="2026-02-07T00:00:00"/>
    <s v="28-04-2024"/>
    <d v="1899-12-30T00:00:00"/>
    <s v="Bikanervala"/>
    <x v="1"/>
    <s v="Unknown"/>
    <n v="29"/>
    <n v="4.4000000000000004"/>
    <s v="72mins"/>
    <n v="1134"/>
    <n v="0.1"/>
    <s v="Credit Card"/>
    <s v="Cancelled"/>
    <n v="10"/>
    <s v="Grab"/>
    <n v="230"/>
  </r>
  <r>
    <x v="351"/>
    <d v="2026-03-26T00:00:00"/>
    <s v="21-04-2024"/>
    <d v="1899-12-30T00:00:00"/>
    <s v="Chai Point"/>
    <x v="11"/>
    <s v="Biryani"/>
    <n v="55"/>
    <n v="2.5"/>
    <s v="22 mins"/>
    <n v="240"/>
    <n v="0"/>
    <s v="Unknown"/>
    <s v="Refunded"/>
    <n v="2"/>
    <s v="In-House"/>
    <n v="153"/>
  </r>
  <r>
    <x v="352"/>
    <d v="2026-06-14T00:00:00"/>
    <s v="19-06-2024"/>
    <d v="1899-12-30T00:00:00"/>
    <s v="Unknown"/>
    <x v="10"/>
    <s v="Bakery"/>
    <n v="43"/>
    <n v="3.1"/>
    <s v="43mins"/>
    <n v="1662"/>
    <n v="150"/>
    <s v="Upi"/>
    <s v="Refunded"/>
    <n v="3"/>
    <s v="Shadowfax"/>
    <n v="80"/>
  </r>
  <r>
    <x v="353"/>
    <d v="2026-12-31T00:00:00"/>
    <s v="14-07-2024"/>
    <d v="1899-12-30T00:00:00"/>
    <s v="Dominos Pizza"/>
    <x v="10"/>
    <s v="North Indian"/>
    <n v="60"/>
    <n v="1.9"/>
    <s v="44 mins"/>
    <n v="2071"/>
    <n v="0.1"/>
    <s v="Cash On Delivery"/>
    <s v="Delivered"/>
    <n v="9"/>
    <s v="Zomato Valet"/>
    <n v="168"/>
  </r>
  <r>
    <x v="354"/>
    <d v="2026-06-03T00:00:00"/>
    <s v="22-05-2024"/>
    <d v="1899-12-30T00:00:00"/>
    <s v="Subway"/>
    <x v="7"/>
    <s v="Italian"/>
    <n v="33"/>
    <n v="4.7"/>
    <s v="49mins"/>
    <n v="1198"/>
    <n v="0"/>
    <s v="Upi"/>
    <s v="Cancelled"/>
    <n v="7"/>
    <s v="Dunzo"/>
    <n v="86"/>
  </r>
  <r>
    <x v="355"/>
    <d v="2026-05-09T00:00:00"/>
    <s v="16-05-2024"/>
    <d v="1899-12-30T00:00:00"/>
    <s v="Wow! Momo"/>
    <x v="5"/>
    <s v="Street Food"/>
    <n v="22"/>
    <n v="1.3"/>
    <s v="29mins"/>
    <n v="1516"/>
    <n v="75"/>
    <s v="Wallet"/>
    <s v="Cancelled"/>
    <n v="7"/>
    <s v="Zomato Valet"/>
    <n v="66"/>
  </r>
  <r>
    <x v="356"/>
    <d v="2026-09-15T00:00:00"/>
    <s v="08-06-2024"/>
    <d v="1899-12-30T00:00:00"/>
    <s v="Faasos"/>
    <x v="10"/>
    <s v="Italian"/>
    <n v="54"/>
    <n v="4.5999999999999996"/>
    <s v="36 mins"/>
    <n v="1520"/>
    <n v="0"/>
    <s v="Upi"/>
    <s v="Cancelled"/>
    <n v="6"/>
    <s v="Shadowfax"/>
    <n v="149"/>
  </r>
  <r>
    <x v="357"/>
    <d v="2026-08-21T00:00:00"/>
    <s v="23-06-2024"/>
    <d v="1899-12-30T00:00:00"/>
    <s v="Chai Point"/>
    <x v="3"/>
    <s v="South Indian"/>
    <n v="49"/>
    <n v="2.5"/>
    <s v="15 mins"/>
    <n v="1681"/>
    <n v="75"/>
    <s v="Net Banking"/>
    <s v="Delivered"/>
    <n v="9"/>
    <s v="Rapido"/>
    <n v="64"/>
  </r>
  <r>
    <x v="358"/>
    <d v="2026-06-30T00:00:00"/>
    <s v="20-03-2024"/>
    <d v="1899-12-30T00:00:00"/>
    <s v="Kfc"/>
    <x v="1"/>
    <s v="Chinese"/>
    <n v="33"/>
    <n v="2.5"/>
    <s v="63mins"/>
    <n v="1984"/>
    <n v="0.5"/>
    <s v="Debit Card"/>
    <s v="Refunded"/>
    <n v="1"/>
    <s v="In-House"/>
    <n v="202"/>
  </r>
  <r>
    <x v="359"/>
    <d v="2026-02-02T00:00:00"/>
    <s v="14-07-2024"/>
    <d v="1899-12-30T00:00:00"/>
    <s v="Paradise Biryani"/>
    <x v="10"/>
    <s v="South Indian"/>
    <n v="50"/>
    <n v="2"/>
    <s v="64mins"/>
    <n v="500"/>
    <n v="120"/>
    <s v="Upi"/>
    <s v="Delivered"/>
    <n v="2"/>
    <s v="Shadowfax"/>
    <n v="38"/>
  </r>
  <r>
    <x v="360"/>
    <d v="2026-01-18T00:00:00"/>
    <s v="10-03-2024"/>
    <d v="1899-12-30T00:00:00"/>
    <s v="Behrouz Biryani"/>
    <x v="9"/>
    <s v="Chinese"/>
    <n v="32"/>
    <n v="3.8"/>
    <s v="21mins"/>
    <n v="1218"/>
    <n v="50"/>
    <s v="Debit Card"/>
    <s v="Cancelled"/>
    <n v="9"/>
    <s v="Dunzo"/>
    <n v="168"/>
  </r>
  <r>
    <x v="361"/>
    <d v="2026-03-15T00:00:00"/>
    <s v="19-04-2024"/>
    <d v="1899-12-30T00:00:00"/>
    <s v="Kfc"/>
    <x v="9"/>
    <s v="Mughlai"/>
    <n v="49"/>
    <n v="3.5"/>
    <s v="25mins"/>
    <n v="1193"/>
    <n v="0.15"/>
    <s v="Credit Card"/>
    <s v="Failed"/>
    <n v="2"/>
    <s v="Grab"/>
    <n v="99"/>
  </r>
  <r>
    <x v="362"/>
    <d v="2026-09-09T00:00:00"/>
    <s v="04-03-2024"/>
    <d v="1899-12-30T00:00:00"/>
    <s v="Behrouz Biryani"/>
    <x v="6"/>
    <s v="Biryani"/>
    <n v="18"/>
    <n v="2.5"/>
    <s v="28mins"/>
    <n v="1345"/>
    <n v="0.5"/>
    <s v="Net Banking"/>
    <s v="Refunded"/>
    <n v="6"/>
    <s v="Dunzo"/>
    <n v="95"/>
  </r>
  <r>
    <x v="363"/>
    <d v="2026-04-06T00:00:00"/>
    <s v="05-01-2024"/>
    <d v="1899-12-30T20:34:00"/>
    <s v="Paradise Biryani"/>
    <x v="3"/>
    <s v="Mughlai"/>
    <n v="42"/>
    <n v="3.3"/>
    <s v="80mins"/>
    <n v="1968"/>
    <n v="120"/>
    <s v="Upi"/>
    <s v="Cancelled"/>
    <n v="3"/>
    <s v="Dunzo"/>
    <n v="50"/>
  </r>
  <r>
    <x v="364"/>
    <d v="2026-05-21T00:00:00"/>
    <s v="07-04-2024"/>
    <d v="1899-12-30T00:00:00"/>
    <s v="Barbeque Nation"/>
    <x v="4"/>
    <s v="Fast Food"/>
    <n v="43"/>
    <n v="1.6"/>
    <s v="41mins"/>
    <n v="2460"/>
    <n v="0"/>
    <s v="Wallet"/>
    <s v="Delivered"/>
    <n v="3"/>
    <s v="Unknown"/>
    <n v="148"/>
  </r>
  <r>
    <x v="365"/>
    <d v="2026-02-22T00:00:00"/>
    <m/>
    <d v="1899-12-30T00:00:00"/>
    <s v="Burger King"/>
    <x v="12"/>
    <s v="Italian"/>
    <n v="18"/>
    <n v="2.6"/>
    <s v="26mins"/>
    <n v="1807"/>
    <n v="50"/>
    <s v="Unknown"/>
    <s v="Delivered"/>
    <n v="10"/>
    <s v="Dunzo"/>
    <m/>
  </r>
  <r>
    <x v="366"/>
    <d v="2026-02-18T00:00:00"/>
    <s v="26-04-2024"/>
    <d v="1899-12-30T00:00:00"/>
    <s v="Wow! Momo"/>
    <x v="9"/>
    <s v="Bakery"/>
    <n v="39"/>
    <n v="4.9000000000000004"/>
    <s v="46 mins"/>
    <n v="1207"/>
    <n v="50"/>
    <s v="Cash On Delivery"/>
    <s v="Delivered"/>
    <n v="3"/>
    <s v="Dunzo"/>
    <n v="53"/>
  </r>
  <r>
    <x v="367"/>
    <d v="2026-08-19T00:00:00"/>
    <s v="22-04-2024"/>
    <d v="1899-12-30T00:00:00"/>
    <s v="Barbeque Nation"/>
    <x v="7"/>
    <s v="Mughlai"/>
    <n v="50"/>
    <n v="2.2000000000000002"/>
    <s v="52mins"/>
    <n v="660"/>
    <n v="120"/>
    <s v="Cash On Delivery"/>
    <s v="Delivered"/>
    <n v="8"/>
    <s v="Zomato Valet"/>
    <n v="237"/>
  </r>
  <r>
    <x v="368"/>
    <d v="2026-07-25T00:00:00"/>
    <s v="01-05-2024"/>
    <d v="1899-12-30T00:00:00"/>
    <s v="Wow! Momo"/>
    <x v="5"/>
    <s v="Bakery"/>
    <n v="31"/>
    <n v="4.0999999999999996"/>
    <s v="71mins"/>
    <n v="729"/>
    <n v="75"/>
    <s v="Credit Card"/>
    <s v="Delivered"/>
    <n v="10"/>
    <s v="Rapido"/>
    <n v="3"/>
  </r>
  <r>
    <x v="369"/>
    <d v="2026-03-19T00:00:00"/>
    <s v="18-03-2024"/>
    <d v="1899-12-30T00:00:00"/>
    <s v="Dominos Pizza"/>
    <x v="13"/>
    <s v="Desserts"/>
    <n v="43"/>
    <n v="3.5"/>
    <s v="61mins"/>
    <n v="2407"/>
    <n v="150"/>
    <s v="Upi"/>
    <s v="Refunded"/>
    <n v="1"/>
    <s v="In-House"/>
    <n v="3"/>
  </r>
  <r>
    <x v="370"/>
    <d v="2026-09-03T00:00:00"/>
    <s v="09-05-2024"/>
    <d v="1899-12-30T00:00:00"/>
    <s v="Unknown"/>
    <x v="3"/>
    <s v="Italian"/>
    <n v="18"/>
    <n v="2.5"/>
    <s v="67 mins"/>
    <n v="2309"/>
    <n v="150"/>
    <s v="Credit Card"/>
    <s v="Cancelled"/>
    <n v="10"/>
    <s v="Dunzo"/>
    <n v="28"/>
  </r>
  <r>
    <x v="371"/>
    <d v="2026-06-21T00:00:00"/>
    <s v="21-01-2024"/>
    <d v="1899-12-30T00:00:00"/>
    <s v="Dominos Pizza"/>
    <x v="10"/>
    <s v="North Indian, Mughlai"/>
    <n v="46"/>
    <n v="4.4000000000000004"/>
    <s v="21mins"/>
    <n v="2335"/>
    <n v="75"/>
    <s v="Unknown"/>
    <s v="Cancelled"/>
    <n v="7"/>
    <s v="Dunzo"/>
    <n v="240"/>
  </r>
  <r>
    <x v="3"/>
    <d v="2026-08-19T00:00:00"/>
    <s v="25-06-2024"/>
    <d v="1899-12-30T00:00:00"/>
    <s v="Burger King"/>
    <x v="8"/>
    <s v="South Indian"/>
    <n v="59"/>
    <n v="3.5"/>
    <s v="60mins"/>
    <n v="944"/>
    <n v="150"/>
    <s v="Net Banking"/>
    <s v="Delivered"/>
    <n v="10"/>
    <s v="Unknown"/>
    <n v="74"/>
  </r>
  <r>
    <x v="372"/>
    <d v="2026-03-23T00:00:00"/>
    <s v="20-05-2024"/>
    <d v="1899-12-30T00:00:00"/>
    <s v="Subway"/>
    <x v="6"/>
    <s v="Fast Food"/>
    <n v="36"/>
    <n v="3.8"/>
    <s v="43mins"/>
    <n v="169"/>
    <n v="50"/>
    <s v="Debit Card"/>
    <s v="Delivered"/>
    <n v="5"/>
    <s v="Shadowfax"/>
    <n v="45"/>
  </r>
  <r>
    <x v="373"/>
    <d v="2026-12-24T00:00:00"/>
    <s v="17-02-2024"/>
    <d v="1899-12-30T00:00:00"/>
    <s v="Behrouz Biryani"/>
    <x v="12"/>
    <s v="North Indian"/>
    <n v="18"/>
    <n v="3.5"/>
    <s v="67mins"/>
    <n v="1335"/>
    <n v="0.1"/>
    <s v="Upi"/>
    <s v="Delivered"/>
    <n v="8"/>
    <s v="Dunzo"/>
    <n v="104"/>
  </r>
  <r>
    <x v="374"/>
    <d v="2026-02-17T00:00:00"/>
    <s v="17-02-2024"/>
    <d v="1899-12-30T00:00:00"/>
    <s v="Behrouz Biryani"/>
    <x v="6"/>
    <s v="North Indian"/>
    <n v="22"/>
    <n v="4.9000000000000004"/>
    <s v="31mins"/>
    <n v="123"/>
    <n v="0"/>
    <s v="Debit Card"/>
    <s v="Delivered"/>
    <n v="2"/>
    <s v="In-House"/>
    <n v="24"/>
  </r>
  <r>
    <x v="375"/>
    <d v="2026-01-10T00:00:00"/>
    <s v="13-05-2024"/>
    <d v="1899-12-30T00:00:00"/>
    <s v="Unknown"/>
    <x v="3"/>
    <s v="Street Food"/>
    <n v="64"/>
    <n v="2.2999999999999998"/>
    <s v="75mins"/>
    <n v="519"/>
    <n v="0.6"/>
    <s v="Upi"/>
    <s v="Cancelled"/>
    <n v="4"/>
    <s v="Zomato Valet"/>
    <n v="231"/>
  </r>
  <r>
    <x v="376"/>
    <d v="2026-05-15T00:00:00"/>
    <s v="10-05-2024"/>
    <d v="1899-12-30T00:00:00"/>
    <s v="Burger King"/>
    <x v="1"/>
    <s v="Street Food"/>
    <n v="32"/>
    <n v="4.8"/>
    <s v="20 mins"/>
    <n v="780"/>
    <n v="0.15"/>
    <s v="Wallet"/>
    <s v="Delivered"/>
    <n v="10"/>
    <s v="Rapido"/>
    <n v="142"/>
  </r>
  <r>
    <x v="377"/>
    <d v="2026-11-26T00:00:00"/>
    <s v="11-06-2024"/>
    <d v="1899-12-30T00:00:00"/>
    <s v="Burger King"/>
    <x v="1"/>
    <s v="South Indian"/>
    <n v="26"/>
    <n v="2.7"/>
    <s v="67mins"/>
    <n v="723"/>
    <n v="0"/>
    <s v="Debit Card"/>
    <s v="Delivered"/>
    <n v="2"/>
    <s v="Rapido"/>
    <m/>
  </r>
  <r>
    <x v="378"/>
    <d v="2026-01-25T00:00:00"/>
    <s v="16-04-2024"/>
    <d v="1899-12-30T00:00:00"/>
    <s v="Faasos"/>
    <x v="10"/>
    <s v="Street Food"/>
    <n v="65"/>
    <n v="2.1"/>
    <s v="65mins"/>
    <n v="506"/>
    <n v="50"/>
    <s v="Upi"/>
    <s v="Delivered"/>
    <n v="7"/>
    <s v="Grab"/>
    <n v="214"/>
  </r>
  <r>
    <x v="379"/>
    <d v="2026-08-12T00:00:00"/>
    <s v="22-01-2024"/>
    <d v="1899-12-30T00:00:00"/>
    <s v="Subway"/>
    <x v="5"/>
    <s v="Italian"/>
    <n v="63"/>
    <n v="2.7"/>
    <s v="15 mins"/>
    <n v="1660"/>
    <n v="50"/>
    <s v="Credit Card"/>
    <s v="Delivered"/>
    <n v="7"/>
    <s v="In-House"/>
    <n v="33"/>
  </r>
  <r>
    <x v="380"/>
    <d v="2026-04-30T00:00:00"/>
    <s v="02-08-2024"/>
    <d v="1899-12-30T03:27:00"/>
    <s v="Wow! Momo"/>
    <x v="10"/>
    <s v="Italian"/>
    <n v="23"/>
    <n v="3.3"/>
    <s v="43mins"/>
    <n v="598"/>
    <n v="0.15"/>
    <s v="Wallet"/>
    <s v="Cancelled"/>
    <n v="4"/>
    <s v="Shadowfax"/>
    <m/>
  </r>
  <r>
    <x v="381"/>
    <d v="2026-04-14T00:00:00"/>
    <s v="29-06-2024"/>
    <d v="1899-12-30T00:00:00"/>
    <s v="Wow! Momo"/>
    <x v="5"/>
    <s v="Bakery"/>
    <n v="63"/>
    <n v="4.2"/>
    <s v="57mins"/>
    <n v="2374"/>
    <n v="0.2"/>
    <s v="Net Banking"/>
    <s v="Delivered"/>
    <n v="7"/>
    <s v="Shadowfax"/>
    <n v="22"/>
  </r>
  <r>
    <x v="3"/>
    <d v="2026-11-14T00:00:00"/>
    <s v="27-06-2024"/>
    <d v="1899-12-30T00:00:00"/>
    <s v="Chai Point"/>
    <x v="7"/>
    <s v="Bakery"/>
    <n v="33"/>
    <n v="2.5"/>
    <s v="50mins"/>
    <n v="445"/>
    <n v="0"/>
    <s v="Debit Card"/>
    <s v="Delivered"/>
    <n v="10"/>
    <s v="Shadowfax"/>
    <n v="231"/>
  </r>
  <r>
    <x v="382"/>
    <d v="2026-05-16T00:00:00"/>
    <s v="03-20-2024"/>
    <d v="1899-12-30T07:17:00"/>
    <s v="Bikanervala"/>
    <x v="12"/>
    <s v="Street Food"/>
    <n v="40"/>
    <n v="1.6"/>
    <s v="38 mins"/>
    <n v="1857"/>
    <n v="120"/>
    <s v="Debit Card"/>
    <s v="Refunded"/>
    <n v="9"/>
    <s v="Grab"/>
    <n v="135"/>
  </r>
  <r>
    <x v="383"/>
    <d v="2026-01-19T00:00:00"/>
    <s v="13-06-2024"/>
    <d v="1899-12-30T00:00:00"/>
    <s v="Unknown"/>
    <x v="8"/>
    <s v="Fast Food"/>
    <n v="43"/>
    <n v="2.6"/>
    <s v="15 mins"/>
    <n v="385"/>
    <n v="0"/>
    <s v="Wallet"/>
    <s v="Delivered"/>
    <n v="9"/>
    <s v="In-House"/>
    <n v="224"/>
  </r>
  <r>
    <x v="384"/>
    <d v="2026-05-07T00:00:00"/>
    <s v="17-01-2024"/>
    <d v="1899-12-30T00:00:00"/>
    <s v="P@R@Dise Biry@Ni"/>
    <x v="5"/>
    <s v="Chinese"/>
    <n v="28"/>
    <n v="1.8"/>
    <s v="54 mins"/>
    <n v="943"/>
    <n v="100"/>
    <s v="Credit Card"/>
    <s v="Cancelled"/>
    <n v="4"/>
    <s v="Dunzo"/>
    <n v="123"/>
  </r>
  <r>
    <x v="385"/>
    <d v="2026-01-25T00:00:00"/>
    <s v="01-03-2024"/>
    <d v="1899-12-30T00:00:00"/>
    <s v="Faasos"/>
    <x v="8"/>
    <s v="Mughlai"/>
    <n v="40"/>
    <n v="1.9"/>
    <s v="79mins"/>
    <n v="500"/>
    <n v="0.1"/>
    <s v="Net Banking"/>
    <s v="Cancelled"/>
    <n v="9"/>
    <s v="Shadowfax"/>
    <m/>
  </r>
  <r>
    <x v="386"/>
    <d v="2026-11-29T00:00:00"/>
    <s v="31-03-2024"/>
    <d v="1899-12-30T00:00:00"/>
    <s v="Wow! Momo"/>
    <x v="4"/>
    <s v="Italian"/>
    <n v="43"/>
    <n v="2.2999999999999998"/>
    <s v="31mins"/>
    <n v="465"/>
    <n v="150"/>
    <s v="Credit Card"/>
    <s v="Delivered"/>
    <n v="3"/>
    <s v="Dunzo"/>
    <n v="164"/>
  </r>
  <r>
    <x v="387"/>
    <d v="2026-06-28T00:00:00"/>
    <s v="10-06-2024"/>
    <d v="1899-12-30T00:00:00"/>
    <s v="Kfc"/>
    <x v="3"/>
    <s v="Chinese"/>
    <n v="33"/>
    <n v="3.6"/>
    <s v="49mins"/>
    <n v="1064"/>
    <n v="0.15"/>
    <s v="Upi"/>
    <s v="Refunded"/>
    <n v="1"/>
    <s v="In-House"/>
    <n v="22"/>
  </r>
  <r>
    <x v="388"/>
    <d v="2026-09-07T00:00:00"/>
    <s v="12-04-2024"/>
    <d v="1899-12-30T00:00:00"/>
    <s v="Behrouz Biryani"/>
    <x v="1"/>
    <s v="Fast Food"/>
    <n v="64"/>
    <n v="1.3"/>
    <s v="58mins"/>
    <n v="905"/>
    <n v="150"/>
    <s v="Upi"/>
    <s v="Delivered"/>
    <n v="3"/>
    <s v="Zomato Valet"/>
    <n v="35"/>
  </r>
  <r>
    <x v="389"/>
    <d v="2026-08-14T00:00:00"/>
    <s v="01-04-2024"/>
    <d v="1899-12-30T02:25:00"/>
    <s v="Faasos"/>
    <x v="9"/>
    <s v="Italian"/>
    <n v="47"/>
    <n v="3.3"/>
    <s v="42mins"/>
    <n v="297"/>
    <n v="50"/>
    <s v="Upi"/>
    <s v="Delivered"/>
    <n v="0"/>
    <s v="Dunzo"/>
    <n v="96"/>
  </r>
  <r>
    <x v="390"/>
    <d v="2026-05-09T00:00:00"/>
    <s v="12-06-2024"/>
    <d v="1899-12-30T00:00:00"/>
    <s v="Faasos"/>
    <x v="10"/>
    <s v="Unknown"/>
    <n v="64"/>
    <n v="3.5"/>
    <s v="22 mins"/>
    <n v="464"/>
    <n v="75"/>
    <s v="Upi"/>
    <s v="Refunded"/>
    <n v="8"/>
    <s v="Zomato Valet"/>
    <n v="59"/>
  </r>
  <r>
    <x v="391"/>
    <d v="2026-12-03T00:00:00"/>
    <s v="19-06-2024"/>
    <d v="1899-12-30T00:00:00"/>
    <s v="Burger King"/>
    <x v="9"/>
    <s v="Italian, Desserts"/>
    <n v="18"/>
    <n v="2.4"/>
    <s v="75mins"/>
    <n v="594"/>
    <n v="0.2"/>
    <s v="Net Banking"/>
    <s v="Delivered"/>
    <n v="3"/>
    <s v="Rapido"/>
    <n v="12"/>
  </r>
  <r>
    <x v="392"/>
    <d v="2026-10-29T00:00:00"/>
    <s v="15-02-2024"/>
    <d v="1899-12-30T00:00:00"/>
    <s v="Barbeque Nation"/>
    <x v="6"/>
    <s v="Street Food"/>
    <n v="43"/>
    <n v="2.1"/>
    <s v="46mins"/>
    <n v="831"/>
    <n v="0.2"/>
    <s v="Wallet"/>
    <s v="Refunded"/>
    <n v="10"/>
    <s v="Shadowfax"/>
    <n v="153"/>
  </r>
  <r>
    <x v="393"/>
    <d v="2026-01-08T00:00:00"/>
    <s v="27-02-2024"/>
    <d v="1899-12-30T00:00:00"/>
    <s v="Subway"/>
    <x v="8"/>
    <s v="Street Food"/>
    <n v="54"/>
    <n v="3.1"/>
    <s v="49mins"/>
    <n v="357"/>
    <n v="120"/>
    <s v="Cash On Delivery"/>
    <s v="Delivered"/>
    <n v="9"/>
    <s v="Dunzo"/>
    <n v="179"/>
  </r>
  <r>
    <x v="394"/>
    <d v="2026-07-27T00:00:00"/>
    <m/>
    <d v="1899-12-30T00:00:00"/>
    <s v="Unknown"/>
    <x v="5"/>
    <s v="South Indian"/>
    <n v="27"/>
    <n v="4.5"/>
    <s v="64 mins"/>
    <n v="393"/>
    <n v="100"/>
    <s v="Debit Card"/>
    <s v="Delivered"/>
    <n v="1"/>
    <s v="Rapido"/>
    <n v="54"/>
  </r>
  <r>
    <x v="395"/>
    <d v="2026-03-04T00:00:00"/>
    <s v="29-06-2024"/>
    <d v="1899-12-30T00:00:00"/>
    <s v="Dominos Pizza"/>
    <x v="6"/>
    <s v="Chinese"/>
    <n v="60"/>
    <n v="1.1000000000000001"/>
    <s v="34 mins"/>
    <n v="1209"/>
    <n v="150"/>
    <s v="Unknown"/>
    <s v="Cancelled"/>
    <n v="7"/>
    <s v="Rapido"/>
    <n v="181"/>
  </r>
  <r>
    <x v="396"/>
    <d v="2026-07-05T00:00:00"/>
    <s v="06-02-2024"/>
    <d v="1899-12-30T00:00:00"/>
    <s v="Subway"/>
    <x v="9"/>
    <s v="Biryani"/>
    <n v="38"/>
    <n v="2.5"/>
    <s v="65 mins"/>
    <n v="2003"/>
    <n v="0"/>
    <s v="Credit Card"/>
    <s v="Delivered"/>
    <n v="3"/>
    <s v="Shadowfax"/>
    <n v="29"/>
  </r>
  <r>
    <x v="3"/>
    <d v="2026-07-08T00:00:00"/>
    <s v="05-01-2024"/>
    <d v="1899-12-30T00:00:00"/>
    <s v="Chai Point"/>
    <x v="6"/>
    <s v="South Indian"/>
    <n v="18"/>
    <n v="2.7"/>
    <s v="59mins"/>
    <n v="1907"/>
    <n v="0"/>
    <s v="Credit Card"/>
    <s v="Cancelled"/>
    <n v="5"/>
    <s v="Grab"/>
    <n v="9"/>
  </r>
  <r>
    <x v="397"/>
    <d v="2026-09-30T00:00:00"/>
    <s v="18-05-2024"/>
    <d v="1899-12-30T00:00:00"/>
    <s v="Ch@I P0Int"/>
    <x v="1"/>
    <s v="Fast Food"/>
    <n v="64"/>
    <n v="4.3"/>
    <s v="74mins"/>
    <n v="1857"/>
    <n v="100"/>
    <s v="Wallet"/>
    <s v="Delivered"/>
    <n v="3"/>
    <s v="Dunzo"/>
    <n v="99"/>
  </r>
  <r>
    <x v="398"/>
    <d v="2026-02-15T00:00:00"/>
    <s v="06-22-2024"/>
    <d v="1899-12-30T16:00:00"/>
    <s v="Kfc"/>
    <x v="0"/>
    <s v="Italian"/>
    <n v="64"/>
    <n v="4.8"/>
    <s v="39mins"/>
    <n v="1194"/>
    <n v="0"/>
    <s v="Credit Card"/>
    <s v="Delivered"/>
    <n v="6"/>
    <s v="In-House"/>
    <m/>
  </r>
  <r>
    <x v="399"/>
    <d v="2026-07-26T00:00:00"/>
    <s v="19-01-2024"/>
    <d v="1899-12-30T00:00:00"/>
    <s v="Paradise Biryani"/>
    <x v="6"/>
    <s v="Bakery"/>
    <n v="25"/>
    <n v="1.7"/>
    <s v="46 mins"/>
    <n v="2370"/>
    <n v="0.6"/>
    <s v="Cash On Delivery"/>
    <s v="Refunded"/>
    <n v="6"/>
    <s v="In-House"/>
    <n v="133"/>
  </r>
  <r>
    <x v="400"/>
    <d v="2026-07-03T00:00:00"/>
    <s v="07-07-2024"/>
    <d v="1899-12-30T00:03:00"/>
    <s v="Dominos Pizza"/>
    <x v="0"/>
    <s v="Bakery"/>
    <n v="18"/>
    <n v="4.4000000000000004"/>
    <s v="63mins"/>
    <n v="1943"/>
    <n v="0"/>
    <s v="Debit Card"/>
    <s v="Delivered"/>
    <n v="4"/>
    <s v="Shadowfax"/>
    <n v="24"/>
  </r>
  <r>
    <x v="401"/>
    <d v="2026-08-15T00:00:00"/>
    <s v="01-07-2024"/>
    <d v="1899-12-30T22:03:00"/>
    <s v="Kfc"/>
    <x v="0"/>
    <s v="Chinese"/>
    <n v="27"/>
    <n v="4.3"/>
    <s v="62mins"/>
    <n v="1903"/>
    <n v="0"/>
    <s v="Wallet"/>
    <s v="Delivered"/>
    <n v="1"/>
    <s v="Zomato Valet"/>
    <n v="28"/>
  </r>
  <r>
    <x v="402"/>
    <d v="2026-07-18T00:00:00"/>
    <s v="15-02-2024"/>
    <d v="1899-12-30T00:00:00"/>
    <s v="Wow! Momo"/>
    <x v="3"/>
    <s v="Bakery"/>
    <n v="46"/>
    <n v="3.8"/>
    <s v="44 mins"/>
    <n v="1920"/>
    <n v="50"/>
    <s v="Net Banking"/>
    <s v="Delivered"/>
    <n v="4"/>
    <s v="Shadowfax"/>
    <n v="166"/>
  </r>
  <r>
    <x v="403"/>
    <d v="2026-06-24T00:00:00"/>
    <s v="18-05-2024"/>
    <d v="1899-12-30T00:00:00"/>
    <s v="Paradise Biryani"/>
    <x v="0"/>
    <s v="Fast Food"/>
    <n v="52"/>
    <n v="3.9"/>
    <s v="72 mins"/>
    <n v="565"/>
    <n v="0"/>
    <s v="Net Banking"/>
    <s v="Delivered"/>
    <n v="2"/>
    <s v="Unknown"/>
    <n v="169"/>
  </r>
  <r>
    <x v="404"/>
    <d v="2026-03-06T00:00:00"/>
    <s v="11-06-2024"/>
    <d v="1899-12-30T00:00:00"/>
    <s v="Faasos"/>
    <x v="10"/>
    <s v="Street Food"/>
    <n v="52"/>
    <n v="3.2"/>
    <s v="78mins"/>
    <n v="544"/>
    <n v="150"/>
    <s v="Credit Card"/>
    <s v="Delivered"/>
    <n v="6"/>
    <s v="Rapido"/>
    <n v="68"/>
  </r>
  <r>
    <x v="405"/>
    <d v="2026-01-17T00:00:00"/>
    <s v="11-02-2024"/>
    <d v="1899-12-30T00:00:00"/>
    <s v="Chai Point"/>
    <x v="5"/>
    <s v="Mughlai"/>
    <n v="55"/>
    <n v="2.2000000000000002"/>
    <s v="65mins"/>
    <n v="1273"/>
    <n v="120"/>
    <s v="Cash On Delivery"/>
    <s v="Refunded"/>
    <n v="5"/>
    <s v="Zomato Valet"/>
    <n v="121"/>
  </r>
  <r>
    <x v="406"/>
    <d v="2026-12-13T00:00:00"/>
    <s v="03-03-2024"/>
    <d v="1899-12-30T00:00:00"/>
    <s v="Wow! Momo"/>
    <x v="8"/>
    <s v="Unknown"/>
    <n v="18"/>
    <n v="1.7"/>
    <s v="65mins"/>
    <n v="2204"/>
    <n v="0.1"/>
    <s v="Cash Card"/>
    <s v="Delivered"/>
    <n v="9"/>
    <s v="Shadowfax"/>
    <n v="38"/>
  </r>
  <r>
    <x v="407"/>
    <d v="2026-01-24T00:00:00"/>
    <s v="18-05-2024"/>
    <d v="1899-12-30T00:00:00"/>
    <s v="Faasos"/>
    <x v="8"/>
    <s v="South Indian"/>
    <n v="18"/>
    <n v="2.8"/>
    <s v="16mins"/>
    <n v="232"/>
    <n v="150"/>
    <s v="Cash On Delivery"/>
    <s v="Delivered"/>
    <n v="6"/>
    <s v="Grab"/>
    <n v="173"/>
  </r>
  <r>
    <x v="408"/>
    <d v="2026-12-22T00:00:00"/>
    <s v="16-03-2024"/>
    <d v="1899-12-30T00:00:00"/>
    <s v="Bik@Nerv@L@"/>
    <x v="9"/>
    <s v="Unknown"/>
    <n v="31"/>
    <n v="4.5999999999999996"/>
    <s v="29 mins"/>
    <n v="766"/>
    <n v="75"/>
    <s v="Credit Card"/>
    <s v="Refunded"/>
    <n v="7"/>
    <s v="Dunzo"/>
    <n v="45"/>
  </r>
  <r>
    <x v="409"/>
    <d v="2026-04-04T00:00:00"/>
    <s v="29-03-2024"/>
    <d v="1899-12-30T00:00:00"/>
    <s v="Paradise Biryani"/>
    <x v="4"/>
    <s v="Chinese"/>
    <n v="19"/>
    <n v="2.2000000000000002"/>
    <s v="53mins"/>
    <n v="1408"/>
    <n v="0.6"/>
    <s v="Credit Card"/>
    <s v="Cancelled"/>
    <n v="2"/>
    <s v="Shadowfax"/>
    <n v="8"/>
  </r>
  <r>
    <x v="410"/>
    <d v="2026-08-22T00:00:00"/>
    <s v="01-15-2024"/>
    <d v="1899-12-30T00:06:00"/>
    <s v="Subway"/>
    <x v="1"/>
    <s v="Mughlai"/>
    <n v="64"/>
    <n v="2.4"/>
    <s v="56mins"/>
    <n v="1439"/>
    <n v="75"/>
    <s v="Credit Card"/>
    <s v="Refunded"/>
    <n v="8"/>
    <s v="Dunzo"/>
    <n v="62"/>
  </r>
  <r>
    <x v="411"/>
    <d v="2026-05-14T00:00:00"/>
    <s v="02-04-2024"/>
    <d v="1899-12-30T00:00:00"/>
    <s v="Burger King"/>
    <x v="6"/>
    <s v="Street Food"/>
    <n v="47"/>
    <n v="3.3"/>
    <s v="73mins"/>
    <n v="595"/>
    <n v="50"/>
    <s v="Upi"/>
    <s v="Cancelled"/>
    <n v="2"/>
    <s v="In-House"/>
    <n v="92"/>
  </r>
  <r>
    <x v="412"/>
    <d v="2026-12-01T00:00:00"/>
    <s v="11-05-2024"/>
    <d v="1899-12-30T00:00:00"/>
    <s v="Barbeque Nation"/>
    <x v="8"/>
    <s v="Street Food"/>
    <n v="46"/>
    <n v="2.6"/>
    <s v="42mins"/>
    <n v="2325"/>
    <n v="120"/>
    <s v="Upi"/>
    <s v="Delivered"/>
    <n v="7"/>
    <s v="Grab"/>
    <n v="165"/>
  </r>
  <r>
    <x v="413"/>
    <d v="2026-02-22T00:00:00"/>
    <s v="17-01-2024"/>
    <d v="1899-12-30T00:00:00"/>
    <s v="Subway"/>
    <x v="7"/>
    <s v="Bakery"/>
    <n v="52"/>
    <n v="2.4"/>
    <s v="16 mins"/>
    <n v="1384"/>
    <n v="150"/>
    <s v="Debit Card"/>
    <s v="Delivered"/>
    <n v="5"/>
    <s v="Grab"/>
    <n v="176"/>
  </r>
  <r>
    <x v="414"/>
    <d v="2026-05-16T00:00:00"/>
    <s v="06-20-2024"/>
    <d v="1899-12-30T20:59:00"/>
    <s v="Chai Point"/>
    <x v="1"/>
    <s v="Street Food"/>
    <n v="29"/>
    <n v="2.8"/>
    <s v="24mins"/>
    <n v="2072"/>
    <n v="150"/>
    <s v="Net Banking"/>
    <s v="Delivered"/>
    <n v="5"/>
    <s v="Dunzo"/>
    <n v="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16777-F2C3-4843-B1C0-B40ED5DF42B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11" firstHeaderRow="1" firstDataRow="1" firstDataCol="1"/>
  <pivotFields count="17">
    <pivotField axis="axisRow" showAll="0">
      <items count="416">
        <item x="129"/>
        <item x="202"/>
        <item x="34"/>
        <item x="321"/>
        <item x="0"/>
        <item x="46"/>
        <item x="180"/>
        <item x="178"/>
        <item x="139"/>
        <item x="186"/>
        <item x="78"/>
        <item x="140"/>
        <item x="104"/>
        <item x="365"/>
        <item x="358"/>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30"/>
        <item x="131"/>
        <item x="132"/>
        <item x="133"/>
        <item x="134"/>
        <item x="135"/>
        <item x="136"/>
        <item x="137"/>
        <item x="138"/>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9"/>
        <item x="181"/>
        <item x="182"/>
        <item x="183"/>
        <item x="184"/>
        <item x="185"/>
        <item x="187"/>
        <item x="188"/>
        <item x="189"/>
        <item x="190"/>
        <item x="191"/>
        <item x="192"/>
        <item x="193"/>
        <item x="194"/>
        <item x="195"/>
        <item x="196"/>
        <item x="197"/>
        <item x="198"/>
        <item x="199"/>
        <item x="200"/>
        <item x="201"/>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1"/>
        <item x="362"/>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umFmtId="165"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sd="0" x="5"/>
        <item sd="0" x="4"/>
        <item sd="0" x="1"/>
        <item sd="0" x="3"/>
        <item sd="0" x="2"/>
        <item sd="0" x="6"/>
        <item sd="0" x="0"/>
        <item t="default" sd="0"/>
      </items>
    </pivotField>
    <pivotField dataField="1" showAll="0"/>
  </pivotFields>
  <rowFields count="2">
    <field x="15"/>
    <field x="0"/>
  </rowFields>
  <rowItems count="8">
    <i>
      <x/>
    </i>
    <i>
      <x v="1"/>
    </i>
    <i>
      <x v="2"/>
    </i>
    <i>
      <x v="3"/>
    </i>
    <i>
      <x v="4"/>
    </i>
    <i>
      <x v="5"/>
    </i>
    <i>
      <x v="6"/>
    </i>
    <i t="grand">
      <x/>
    </i>
  </rowItems>
  <colItems count="1">
    <i/>
  </colItems>
  <dataFields count="1">
    <dataField name="Sum of Profit" fld="1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B314E-B673-42B9-83EF-4CC76B4256C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8" firstHeaderRow="1" firstDataRow="1" firstDataCol="1"/>
  <pivotFields count="17">
    <pivotField showAll="0"/>
    <pivotField numFmtId="165" showAll="0"/>
    <pivotField showAll="0"/>
    <pivotField numFmtId="164" showAll="0"/>
    <pivotField showAll="0"/>
    <pivotField showAll="0">
      <items count="15">
        <item h="1" x="1"/>
        <item h="1" x="4"/>
        <item h="1" x="2"/>
        <item h="1" x="12"/>
        <item h="1" x="13"/>
        <item h="1" x="3"/>
        <item h="1" x="0"/>
        <item h="1" x="6"/>
        <item h="1" x="8"/>
        <item x="5"/>
        <item h="1" x="10"/>
        <item h="1" x="9"/>
        <item h="1" x="7"/>
        <item h="1" x="11"/>
        <item t="default"/>
      </items>
    </pivotField>
    <pivotField showAll="0"/>
    <pivotField showAll="0"/>
    <pivotField showAll="0"/>
    <pivotField showAll="0"/>
    <pivotField showAll="0"/>
    <pivotField showAll="0"/>
    <pivotField showAll="0"/>
    <pivotField axis="axisRow" showAll="0">
      <items count="8">
        <item x="3"/>
        <item x="1"/>
        <item x="6"/>
        <item x="0"/>
        <item x="4"/>
        <item x="2"/>
        <item x="5"/>
        <item t="default"/>
      </items>
    </pivotField>
    <pivotField showAll="0"/>
    <pivotField showAll="0"/>
    <pivotField dataField="1" showAll="0"/>
  </pivotFields>
  <rowFields count="1">
    <field x="13"/>
  </rowFields>
  <rowItems count="5">
    <i>
      <x/>
    </i>
    <i>
      <x v="1"/>
    </i>
    <i>
      <x v="5"/>
    </i>
    <i>
      <x v="6"/>
    </i>
    <i t="grand">
      <x/>
    </i>
  </rowItems>
  <colItems count="1">
    <i/>
  </colItems>
  <dataFields count="1">
    <dataField name="Sum of Profit" fld="1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ECDCA-9E20-4A9C-A774-56A6412EEC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17">
    <pivotField showAll="0"/>
    <pivotField numFmtId="165" showAll="0"/>
    <pivotField showAll="0"/>
    <pivotField numFmtId="164" showAll="0"/>
    <pivotField showAll="0">
      <items count="23">
        <item x="5"/>
        <item x="14"/>
        <item x="17"/>
        <item x="2"/>
        <item x="11"/>
        <item x="3"/>
        <item x="1"/>
        <item x="16"/>
        <item x="10"/>
        <item x="18"/>
        <item x="6"/>
        <item x="12"/>
        <item x="15"/>
        <item x="0"/>
        <item x="8"/>
        <item x="21"/>
        <item x="9"/>
        <item x="19"/>
        <item x="7"/>
        <item x="13"/>
        <item x="20"/>
        <item x="4"/>
        <item t="default"/>
      </items>
    </pivotField>
    <pivotField showAll="0"/>
    <pivotField showAll="0">
      <items count="35">
        <item x="10"/>
        <item x="9"/>
        <item x="23"/>
        <item x="12"/>
        <item x="17"/>
        <item x="1"/>
        <item x="30"/>
        <item x="7"/>
        <item x="20"/>
        <item x="27"/>
        <item x="2"/>
        <item x="18"/>
        <item x="26"/>
        <item x="29"/>
        <item x="22"/>
        <item x="19"/>
        <item x="4"/>
        <item x="33"/>
        <item x="14"/>
        <item x="24"/>
        <item x="16"/>
        <item x="31"/>
        <item x="8"/>
        <item x="13"/>
        <item x="5"/>
        <item x="25"/>
        <item x="3"/>
        <item x="32"/>
        <item x="15"/>
        <item x="11"/>
        <item x="21"/>
        <item x="28"/>
        <item x="0"/>
        <item x="6"/>
        <item t="default"/>
      </items>
    </pivotField>
    <pivotField showAll="0"/>
    <pivotField showAll="0"/>
    <pivotField showAll="0"/>
    <pivotField showAll="0"/>
    <pivotField showAll="0"/>
    <pivotField axis="axisRow" showAll="0">
      <items count="10">
        <item x="3"/>
        <item x="2"/>
        <item x="8"/>
        <item x="4"/>
        <item x="5"/>
        <item x="7"/>
        <item x="6"/>
        <item x="0"/>
        <item x="1"/>
        <item t="default"/>
      </items>
    </pivotField>
    <pivotField showAll="0">
      <items count="8">
        <item x="3"/>
        <item x="1"/>
        <item x="6"/>
        <item x="0"/>
        <item x="4"/>
        <item x="2"/>
        <item x="5"/>
        <item t="default"/>
      </items>
    </pivotField>
    <pivotField showAll="0"/>
    <pivotField showAll="0"/>
    <pivotField dataField="1" showAll="0"/>
  </pivotFields>
  <rowFields count="1">
    <field x="12"/>
  </rowFields>
  <rowItems count="10">
    <i>
      <x/>
    </i>
    <i>
      <x v="1"/>
    </i>
    <i>
      <x v="2"/>
    </i>
    <i>
      <x v="3"/>
    </i>
    <i>
      <x v="4"/>
    </i>
    <i>
      <x v="5"/>
    </i>
    <i>
      <x v="6"/>
    </i>
    <i>
      <x v="7"/>
    </i>
    <i>
      <x v="8"/>
    </i>
    <i t="grand">
      <x/>
    </i>
  </rowItems>
  <colItems count="1">
    <i/>
  </colItems>
  <dataFields count="1">
    <dataField name="Sum of Profit" fld="1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E3B82-09B0-4418-A997-A19CE4E9F0CF}"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18" firstHeaderRow="1" firstDataRow="1" firstDataCol="1"/>
  <pivotFields count="17">
    <pivotField axis="axisRow" showAll="0">
      <items count="416">
        <item x="129"/>
        <item x="202"/>
        <item x="34"/>
        <item x="321"/>
        <item x="0"/>
        <item x="46"/>
        <item x="180"/>
        <item x="178"/>
        <item x="139"/>
        <item x="186"/>
        <item x="78"/>
        <item x="140"/>
        <item x="104"/>
        <item x="365"/>
        <item x="358"/>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30"/>
        <item x="131"/>
        <item x="132"/>
        <item x="133"/>
        <item x="134"/>
        <item x="135"/>
        <item x="136"/>
        <item x="137"/>
        <item x="138"/>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9"/>
        <item x="181"/>
        <item x="182"/>
        <item x="183"/>
        <item x="184"/>
        <item x="185"/>
        <item x="187"/>
        <item x="188"/>
        <item x="189"/>
        <item x="190"/>
        <item x="191"/>
        <item x="192"/>
        <item x="193"/>
        <item x="194"/>
        <item x="195"/>
        <item x="196"/>
        <item x="197"/>
        <item x="198"/>
        <item x="199"/>
        <item x="200"/>
        <item x="201"/>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1"/>
        <item x="362"/>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umFmtId="165" showAll="0"/>
    <pivotField showAll="0"/>
    <pivotField numFmtId="164" showAll="0"/>
    <pivotField showAll="0"/>
    <pivotField axis="axisRow" showAll="0">
      <items count="15">
        <item sd="0" x="1"/>
        <item sd="0" x="4"/>
        <item sd="0" x="2"/>
        <item sd="0" x="12"/>
        <item sd="0" x="13"/>
        <item sd="0" x="3"/>
        <item sd="0" x="0"/>
        <item sd="0" x="6"/>
        <item sd="0" x="8"/>
        <item sd="0" x="5"/>
        <item sd="0" x="10"/>
        <item sd="0" x="9"/>
        <item sd="0" x="7"/>
        <item sd="0" x="11"/>
        <item t="default" sd="0"/>
      </items>
    </pivotField>
    <pivotField showAll="0"/>
    <pivotField showAll="0"/>
    <pivotField showAll="0"/>
    <pivotField showAll="0"/>
    <pivotField dataField="1" showAll="0"/>
    <pivotField showAll="0"/>
    <pivotField showAll="0"/>
    <pivotField showAll="0"/>
    <pivotField showAll="0"/>
    <pivotField showAll="0"/>
    <pivotField showAll="0"/>
  </pivotFields>
  <rowFields count="2">
    <field x="5"/>
    <field x="0"/>
  </rowFields>
  <rowItems count="15">
    <i>
      <x/>
    </i>
    <i>
      <x v="1"/>
    </i>
    <i>
      <x v="2"/>
    </i>
    <i>
      <x v="3"/>
    </i>
    <i>
      <x v="4"/>
    </i>
    <i>
      <x v="5"/>
    </i>
    <i>
      <x v="6"/>
    </i>
    <i>
      <x v="7"/>
    </i>
    <i>
      <x v="8"/>
    </i>
    <i>
      <x v="9"/>
    </i>
    <i>
      <x v="10"/>
    </i>
    <i>
      <x v="11"/>
    </i>
    <i>
      <x v="12"/>
    </i>
    <i>
      <x v="13"/>
    </i>
    <i t="grand">
      <x/>
    </i>
  </rowItems>
  <colItems count="1">
    <i/>
  </colItems>
  <dataFields count="1">
    <dataField name="Sum of Order_Value" fld="1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A421C9-E5DD-4FE7-83D2-A1AF1EC9E9F0}"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16:I26" firstHeaderRow="0" firstDataRow="1" firstDataCol="1"/>
  <pivotFields count="17">
    <pivotField dataField="1" showAll="0"/>
    <pivotField numFmtId="165" showAll="0"/>
    <pivotField showAll="0"/>
    <pivotField numFmtId="164" showAll="0"/>
    <pivotField showAll="0"/>
    <pivotField showAll="0"/>
    <pivotField showAll="0"/>
    <pivotField showAll="0"/>
    <pivotField showAll="0"/>
    <pivotField showAll="0"/>
    <pivotField showAll="0"/>
    <pivotField showAll="0"/>
    <pivotField axis="axisRow" showAll="0">
      <items count="10">
        <item x="3"/>
        <item x="2"/>
        <item x="8"/>
        <item x="4"/>
        <item x="5"/>
        <item x="7"/>
        <item x="6"/>
        <item x="0"/>
        <item x="1"/>
        <item t="default"/>
      </items>
    </pivotField>
    <pivotField showAll="0"/>
    <pivotField dataField="1" showAll="0"/>
    <pivotField showAll="0"/>
    <pivotField dataField="1" showAll="0"/>
  </pivotFields>
  <rowFields count="1">
    <field x="12"/>
  </rowFields>
  <rowItems count="10">
    <i>
      <x/>
    </i>
    <i>
      <x v="1"/>
    </i>
    <i>
      <x v="2"/>
    </i>
    <i>
      <x v="3"/>
    </i>
    <i>
      <x v="4"/>
    </i>
    <i>
      <x v="5"/>
    </i>
    <i>
      <x v="6"/>
    </i>
    <i>
      <x v="7"/>
    </i>
    <i>
      <x v="8"/>
    </i>
    <i t="grand">
      <x/>
    </i>
  </rowItems>
  <colFields count="1">
    <field x="-2"/>
  </colFields>
  <colItems count="3">
    <i>
      <x/>
    </i>
    <i i="1">
      <x v="1"/>
    </i>
    <i i="2">
      <x v="2"/>
    </i>
  </colItems>
  <dataFields count="3">
    <dataField name="Sum of Number_of_Items" fld="14" baseField="0" baseItem="0"/>
    <dataField name="Count of Order_ID" fld="0" subtotal="count" baseField="0" baseItem="0"/>
    <dataField name="Average of Profit" fld="16" subtotal="average" baseField="0"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619AB1-979B-4486-ACF6-C80803EAFAC3}"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D24" firstHeaderRow="0" firstDataRow="1" firstDataCol="1"/>
  <pivotFields count="17">
    <pivotField axis="axisRow" showAll="0">
      <items count="416">
        <item x="129"/>
        <item x="202"/>
        <item x="34"/>
        <item x="321"/>
        <item x="0"/>
        <item x="46"/>
        <item x="180"/>
        <item x="178"/>
        <item x="139"/>
        <item x="186"/>
        <item x="78"/>
        <item x="140"/>
        <item x="104"/>
        <item x="365"/>
        <item x="358"/>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30"/>
        <item x="131"/>
        <item x="132"/>
        <item x="133"/>
        <item x="134"/>
        <item x="135"/>
        <item x="136"/>
        <item x="137"/>
        <item x="138"/>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9"/>
        <item x="181"/>
        <item x="182"/>
        <item x="183"/>
        <item x="184"/>
        <item x="185"/>
        <item x="187"/>
        <item x="188"/>
        <item x="189"/>
        <item x="190"/>
        <item x="191"/>
        <item x="192"/>
        <item x="193"/>
        <item x="194"/>
        <item x="195"/>
        <item x="196"/>
        <item x="197"/>
        <item x="198"/>
        <item x="199"/>
        <item x="200"/>
        <item x="201"/>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1"/>
        <item x="362"/>
        <item x="363"/>
        <item x="364"/>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umFmtId="165" showAll="0"/>
    <pivotField showAll="0"/>
    <pivotField numFmtId="164" showAll="0"/>
    <pivotField showAll="0"/>
    <pivotField showAll="0"/>
    <pivotField showAll="0"/>
    <pivotField dataField="1" showAll="0"/>
    <pivotField showAll="0"/>
    <pivotField showAll="0"/>
    <pivotField dataField="1" showAll="0"/>
    <pivotField showAll="0"/>
    <pivotField showAll="0"/>
    <pivotField axis="axisRow" showAll="0">
      <items count="8">
        <item sd="0" x="3"/>
        <item sd="0" x="1"/>
        <item sd="0" x="6"/>
        <item sd="0" x="0"/>
        <item sd="0" x="4"/>
        <item sd="0" x="2"/>
        <item sd="0" x="5"/>
        <item t="default" sd="0"/>
      </items>
    </pivotField>
    <pivotField dataField="1" showAll="0"/>
    <pivotField showAll="0"/>
    <pivotField showAll="0"/>
  </pivotFields>
  <rowFields count="2">
    <field x="13"/>
    <field x="0"/>
  </rowFields>
  <rowItems count="8">
    <i>
      <x/>
    </i>
    <i>
      <x v="1"/>
    </i>
    <i>
      <x v="2"/>
    </i>
    <i>
      <x v="3"/>
    </i>
    <i>
      <x v="4"/>
    </i>
    <i>
      <x v="5"/>
    </i>
    <i>
      <x v="6"/>
    </i>
    <i t="grand">
      <x/>
    </i>
  </rowItems>
  <colFields count="1">
    <field x="-2"/>
  </colFields>
  <colItems count="3">
    <i>
      <x/>
    </i>
    <i i="1">
      <x v="1"/>
    </i>
    <i i="2">
      <x v="2"/>
    </i>
  </colItems>
  <dataFields count="3">
    <dataField name="Sum of Customer_Age" fld="7" baseField="0" baseItem="0"/>
    <dataField name="Sum of Order_Value" fld="10" baseField="0" baseItem="0"/>
    <dataField name="Sum of Number_of_Items" fld="14" baseField="0"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ECD3AC-991F-4F46-888F-088411E84C1D}" autoFormatId="16" applyNumberFormats="0" applyBorderFormats="0" applyFontFormats="0" applyPatternFormats="0" applyAlignmentFormats="0" applyWidthHeightFormats="0">
  <queryTableRefresh nextId="18">
    <queryTableFields count="17">
      <queryTableField id="1" name="Order_ID" tableColumnId="1"/>
      <queryTableField id="17" dataBound="0" tableColumnId="17"/>
      <queryTableField id="2" name="Order_Date.1" tableColumnId="2"/>
      <queryTableField id="3" name="Order_Date.2" tableColumnId="3"/>
      <queryTableField id="4" name="Restaurant" tableColumnId="4"/>
      <queryTableField id="5" name="City" tableColumnId="5"/>
      <queryTableField id="6" name="Cuisine" tableColumnId="6"/>
      <queryTableField id="7" name="Customer_Age" tableColumnId="7"/>
      <queryTableField id="8" name="Rating" tableColumnId="8"/>
      <queryTableField id="9" name="Delivery_Time" tableColumnId="9"/>
      <queryTableField id="10" name="Order_Value" tableColumnId="10"/>
      <queryTableField id="11" name="Discount" tableColumnId="11"/>
      <queryTableField id="12" name="Payment_Mode" tableColumnId="12"/>
      <queryTableField id="13" name="Order_Status" tableColumnId="13"/>
      <queryTableField id="14" name="Number_of_Items" tableColumnId="14"/>
      <queryTableField id="15" name="Delivery_Partner" tableColumnId="15"/>
      <queryTableField id="16" name="Profi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14CB8BA3-179C-4D9B-AF48-91BF92AD4DFD}" sourceName="Restaurant">
  <pivotTables>
    <pivotTable tabId="3" name="PivotTable3"/>
  </pivotTables>
  <data>
    <tabular pivotCacheId="530465162">
      <items count="22">
        <i x="5" s="1"/>
        <i x="14" s="1"/>
        <i x="17" s="1"/>
        <i x="2" s="1"/>
        <i x="11" s="1"/>
        <i x="3" s="1"/>
        <i x="1" s="1"/>
        <i x="16" s="1"/>
        <i x="10" s="1"/>
        <i x="18" s="1"/>
        <i x="6" s="1"/>
        <i x="12" s="1"/>
        <i x="15" s="1"/>
        <i x="0" s="1"/>
        <i x="8" s="1"/>
        <i x="21" s="1"/>
        <i x="9" s="1"/>
        <i x="19" s="1"/>
        <i x="7" s="1"/>
        <i x="13" s="1"/>
        <i x="2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410ED1AB-8A4A-4D5E-AF52-0D6B03BD71BC}" sourceName="Cuisine">
  <pivotTables>
    <pivotTable tabId="3" name="PivotTable3"/>
  </pivotTables>
  <data>
    <tabular pivotCacheId="530465162">
      <items count="34">
        <i x="10" s="1"/>
        <i x="9" s="1"/>
        <i x="23" s="1"/>
        <i x="12" s="1"/>
        <i x="17" s="1"/>
        <i x="1" s="1"/>
        <i x="30" s="1"/>
        <i x="7" s="1"/>
        <i x="20" s="1"/>
        <i x="27" s="1"/>
        <i x="2" s="1"/>
        <i x="18" s="1"/>
        <i x="26" s="1"/>
        <i x="29" s="1"/>
        <i x="22" s="1"/>
        <i x="19" s="1"/>
        <i x="4" s="1"/>
        <i x="33" s="1"/>
        <i x="14" s="1"/>
        <i x="24" s="1"/>
        <i x="16" s="1"/>
        <i x="31" s="1"/>
        <i x="8" s="1"/>
        <i x="13" s="1"/>
        <i x="5" s="1"/>
        <i x="25" s="1"/>
        <i x="3" s="1"/>
        <i x="32" s="1"/>
        <i x="15" s="1"/>
        <i x="11" s="1"/>
        <i x="21" s="1"/>
        <i x="0" s="1"/>
        <i x="6" s="1"/>
        <i x="2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D135810-B15D-43C3-8F5B-F5382D68CDA1}" sourceName="City">
  <pivotTables>
    <pivotTable tabId="3" name="PivotTable6"/>
  </pivotTables>
  <data>
    <tabular pivotCacheId="829769271">
      <items count="14">
        <i x="1"/>
        <i x="4"/>
        <i x="2"/>
        <i x="12"/>
        <i x="13"/>
        <i x="3"/>
        <i x="0"/>
        <i x="6"/>
        <i x="8"/>
        <i x="5" s="1"/>
        <i x="10"/>
        <i x="9"/>
        <i x="7"/>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A9739467-319F-466F-865F-4A911E9DAC25}" cache="Slicer_Restaurant" caption="Restaurant" rowHeight="234950"/>
  <slicer name="Cuisine" xr10:uid="{04A2BB33-30C3-408C-B06E-0D5F4AC78298}" cache="Slicer_Cuisine" caption="Cuisine" startItem="28" rowHeight="234950"/>
  <slicer name="City" xr10:uid="{6F9AF4AE-AC58-4311-B313-0460DBE23527}" cache="Slicer_City" caption="City" startItem="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EACAA3-8C46-4E1E-B97D-2F4DF9FB8925}" name="Table1_1" displayName="Table1_1" ref="A1:Q435" tableType="queryTable" totalsRowShown="0">
  <autoFilter ref="A1:Q435" xr:uid="{7EEACAA3-8C46-4E1E-B97D-2F4DF9FB8925}"/>
  <tableColumns count="17">
    <tableColumn id="1" xr3:uid="{775E676F-4F03-40D8-8D0A-0138B09AC6F9}" uniqueName="1" name="Order_ID" queryTableFieldId="1" dataDxfId="10"/>
    <tableColumn id="17" xr3:uid="{0225AB03-4784-4773-9619-48D1581AC67C}" uniqueName="17" name="Order_Date" queryTableFieldId="17" dataDxfId="9">
      <calculatedColumnFormula>RANDBETWEEN(DATE(2026,1,1),DATE(2026,12,31))</calculatedColumnFormula>
    </tableColumn>
    <tableColumn id="2" xr3:uid="{4D6D614A-C425-4559-96D7-0B5C353C3847}" uniqueName="2" name="Order_Date.1" queryTableFieldId="2" dataDxfId="8"/>
    <tableColumn id="3" xr3:uid="{161B73CA-D4BF-4B4D-B2C8-6C0471100269}" uniqueName="3" name="Order_Date.2" queryTableFieldId="3" dataDxfId="7"/>
    <tableColumn id="4" xr3:uid="{9F76355B-5F8D-415E-95D1-F002301595C4}" uniqueName="4" name="Restaurant" queryTableFieldId="4" dataDxfId="6"/>
    <tableColumn id="5" xr3:uid="{C105D177-96F7-41C2-8867-C1AD74BD1432}" uniqueName="5" name="City" queryTableFieldId="5" dataDxfId="5"/>
    <tableColumn id="6" xr3:uid="{5AB46B1B-0C8C-4026-8E4D-F780CA0C5034}" uniqueName="6" name="Cuisine" queryTableFieldId="6" dataDxfId="4"/>
    <tableColumn id="7" xr3:uid="{7A1FD797-FF71-45F0-AFB4-4D448CB1D4A3}" uniqueName="7" name="Customer_Age" queryTableFieldId="7"/>
    <tableColumn id="8" xr3:uid="{B6AFE151-6BA4-42B5-B2D3-EA5E52A8A72B}" uniqueName="8" name="Rating" queryTableFieldId="8"/>
    <tableColumn id="9" xr3:uid="{4A709BB8-4C2F-456A-A07D-0B7831A6BE5A}" uniqueName="9" name="Delivery_Time" queryTableFieldId="9" dataDxfId="3"/>
    <tableColumn id="10" xr3:uid="{E2CF9928-5522-4D46-BB04-8B1637F77EAC}" uniqueName="10" name="Order_Value" queryTableFieldId="10"/>
    <tableColumn id="11" xr3:uid="{3D78F203-2CBB-43A1-8718-E9360CC52984}" uniqueName="11" name="Discount" queryTableFieldId="11"/>
    <tableColumn id="12" xr3:uid="{AAC8178B-E063-4D0B-A5E9-12D41A4AC1FD}" uniqueName="12" name="Payment_Mode" queryTableFieldId="12" dataDxfId="2"/>
    <tableColumn id="13" xr3:uid="{F4A18D28-4E89-4123-BA32-91008CBAC1F3}" uniqueName="13" name="Order_Status" queryTableFieldId="13" dataDxfId="1"/>
    <tableColumn id="14" xr3:uid="{C9ED21DC-FF3E-435E-9153-759E0864F14D}" uniqueName="14" name="Number_of_Items" queryTableFieldId="14"/>
    <tableColumn id="15" xr3:uid="{D2196F24-9FDE-4916-B0C8-DDBD84B09E58}" uniqueName="15" name="Delivery_Partner" queryTableFieldId="15" dataDxfId="0"/>
    <tableColumn id="16" xr3:uid="{91FA33E6-2017-40D5-94F2-7E2538B526CB}" uniqueName="16" name="Profit" queryTableFieldId="1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6C78-353B-4378-935D-23FDE599D91E}">
  <dimension ref="A1"/>
  <sheetViews>
    <sheetView workbookViewId="0">
      <selection activeCell="A3" sqref="A3"/>
    </sheetView>
  </sheetViews>
  <sheetFormatPr defaultRowHeight="13.8"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255F-D506-4C6A-A415-1A175DD0F425}">
  <dimension ref="A1:Q435"/>
  <sheetViews>
    <sheetView topLeftCell="A2" zoomScale="113" zoomScaleNormal="55" workbookViewId="0">
      <selection activeCell="D8" sqref="D8"/>
    </sheetView>
  </sheetViews>
  <sheetFormatPr defaultColWidth="12.69921875" defaultRowHeight="13.8" x14ac:dyDescent="0.25"/>
  <cols>
    <col min="2" max="2" width="17.59765625" customWidth="1"/>
    <col min="4" max="4" width="17.59765625" customWidth="1"/>
    <col min="8" max="8" width="18.796875" customWidth="1"/>
    <col min="10" max="10" width="18.296875" customWidth="1"/>
    <col min="11" max="11" width="16.5" customWidth="1"/>
    <col min="13" max="13" width="19.296875" customWidth="1"/>
    <col min="14" max="14" width="17.296875" customWidth="1"/>
    <col min="15" max="15" width="21.796875" customWidth="1"/>
    <col min="16" max="16" width="20.796875" customWidth="1"/>
    <col min="17" max="17" width="9.5" customWidth="1"/>
  </cols>
  <sheetData>
    <row r="1" spans="1:17" x14ac:dyDescent="0.25">
      <c r="A1" t="s">
        <v>0</v>
      </c>
      <c r="B1" t="s">
        <v>1</v>
      </c>
      <c r="C1" t="s">
        <v>545</v>
      </c>
      <c r="D1" t="s">
        <v>546</v>
      </c>
      <c r="E1" t="s">
        <v>2</v>
      </c>
      <c r="F1" t="s">
        <v>3</v>
      </c>
      <c r="G1" t="s">
        <v>4</v>
      </c>
      <c r="H1" t="s">
        <v>5</v>
      </c>
      <c r="I1" t="s">
        <v>6</v>
      </c>
      <c r="J1" t="s">
        <v>7</v>
      </c>
      <c r="K1" t="s">
        <v>8</v>
      </c>
      <c r="L1" t="s">
        <v>9</v>
      </c>
      <c r="M1" t="s">
        <v>10</v>
      </c>
      <c r="N1" t="s">
        <v>11</v>
      </c>
      <c r="O1" t="s">
        <v>12</v>
      </c>
      <c r="P1" t="s">
        <v>13</v>
      </c>
      <c r="Q1" t="s">
        <v>14</v>
      </c>
    </row>
    <row r="2" spans="1:17" x14ac:dyDescent="0.25">
      <c r="A2" t="s">
        <v>15</v>
      </c>
      <c r="B2" s="2">
        <f t="shared" ref="B2:B65" ca="1" si="0">RANDBETWEEN(DATE(2026,1,1),DATE(2026,12,31))</f>
        <v>46384</v>
      </c>
      <c r="C2" t="s">
        <v>547</v>
      </c>
      <c r="D2" s="1">
        <v>0</v>
      </c>
      <c r="E2" t="s">
        <v>548</v>
      </c>
      <c r="F2" t="s">
        <v>16</v>
      </c>
      <c r="G2" t="s">
        <v>17</v>
      </c>
      <c r="H2">
        <v>55</v>
      </c>
      <c r="I2">
        <v>4.5</v>
      </c>
      <c r="J2" t="s">
        <v>549</v>
      </c>
      <c r="K2">
        <v>1782</v>
      </c>
      <c r="L2">
        <v>0.2</v>
      </c>
      <c r="M2" t="s">
        <v>550</v>
      </c>
      <c r="N2" t="s">
        <v>551</v>
      </c>
      <c r="O2">
        <v>7</v>
      </c>
      <c r="P2" t="s">
        <v>18</v>
      </c>
      <c r="Q2">
        <v>124</v>
      </c>
    </row>
    <row r="3" spans="1:17" x14ac:dyDescent="0.25">
      <c r="A3" t="s">
        <v>19</v>
      </c>
      <c r="B3" s="2">
        <f t="shared" ca="1" si="0"/>
        <v>46074</v>
      </c>
      <c r="C3" t="s">
        <v>552</v>
      </c>
      <c r="D3" s="1">
        <v>0</v>
      </c>
      <c r="E3" t="s">
        <v>20</v>
      </c>
      <c r="F3" t="s">
        <v>21</v>
      </c>
      <c r="G3" t="s">
        <v>22</v>
      </c>
      <c r="H3">
        <v>58</v>
      </c>
      <c r="I3">
        <v>3.9</v>
      </c>
      <c r="J3" t="s">
        <v>23</v>
      </c>
      <c r="K3">
        <v>762</v>
      </c>
      <c r="L3">
        <v>50</v>
      </c>
      <c r="M3" t="s">
        <v>24</v>
      </c>
      <c r="N3" t="s">
        <v>25</v>
      </c>
      <c r="O3">
        <v>10</v>
      </c>
      <c r="P3" t="s">
        <v>553</v>
      </c>
      <c r="Q3">
        <v>51</v>
      </c>
    </row>
    <row r="4" spans="1:17" x14ac:dyDescent="0.25">
      <c r="A4" t="s">
        <v>26</v>
      </c>
      <c r="B4" s="2">
        <f t="shared" ca="1" si="0"/>
        <v>46068</v>
      </c>
      <c r="C4" t="s">
        <v>554</v>
      </c>
      <c r="D4" s="1">
        <v>0</v>
      </c>
      <c r="E4" t="s">
        <v>27</v>
      </c>
      <c r="F4" t="s">
        <v>28</v>
      </c>
      <c r="G4" t="s">
        <v>29</v>
      </c>
      <c r="H4">
        <v>42</v>
      </c>
      <c r="I4">
        <v>2.9</v>
      </c>
      <c r="J4" t="s">
        <v>555</v>
      </c>
      <c r="K4">
        <v>1739</v>
      </c>
      <c r="L4">
        <v>75</v>
      </c>
      <c r="M4" t="s">
        <v>24</v>
      </c>
      <c r="N4" t="s">
        <v>25</v>
      </c>
      <c r="O4">
        <v>9</v>
      </c>
      <c r="P4" t="s">
        <v>30</v>
      </c>
      <c r="Q4">
        <v>126</v>
      </c>
    </row>
    <row r="5" spans="1:17" x14ac:dyDescent="0.25">
      <c r="A5" t="s">
        <v>556</v>
      </c>
      <c r="B5" s="2">
        <f t="shared" ca="1" si="0"/>
        <v>46227</v>
      </c>
      <c r="C5" t="s">
        <v>557</v>
      </c>
      <c r="D5" s="1">
        <v>0</v>
      </c>
      <c r="E5" t="s">
        <v>36</v>
      </c>
      <c r="F5" t="s">
        <v>32</v>
      </c>
      <c r="G5" t="s">
        <v>22</v>
      </c>
      <c r="H5">
        <v>33</v>
      </c>
      <c r="I5">
        <v>4.2</v>
      </c>
      <c r="J5" t="s">
        <v>37</v>
      </c>
      <c r="K5">
        <v>1688</v>
      </c>
      <c r="L5">
        <v>150</v>
      </c>
      <c r="M5" t="s">
        <v>550</v>
      </c>
      <c r="N5" t="s">
        <v>25</v>
      </c>
      <c r="O5">
        <v>4</v>
      </c>
      <c r="P5" t="s">
        <v>30</v>
      </c>
      <c r="Q5">
        <v>19</v>
      </c>
    </row>
    <row r="6" spans="1:17" x14ac:dyDescent="0.25">
      <c r="A6" t="s">
        <v>38</v>
      </c>
      <c r="B6" s="2">
        <f t="shared" ca="1" si="0"/>
        <v>46222</v>
      </c>
      <c r="C6" t="s">
        <v>558</v>
      </c>
      <c r="D6" s="1">
        <v>0</v>
      </c>
      <c r="E6" t="s">
        <v>31</v>
      </c>
      <c r="F6" t="s">
        <v>39</v>
      </c>
      <c r="G6" t="s">
        <v>40</v>
      </c>
      <c r="H6">
        <v>47</v>
      </c>
      <c r="I6">
        <v>3.8</v>
      </c>
      <c r="J6" t="s">
        <v>559</v>
      </c>
      <c r="K6">
        <v>488</v>
      </c>
      <c r="L6">
        <v>120</v>
      </c>
      <c r="M6" t="s">
        <v>24</v>
      </c>
      <c r="N6" t="s">
        <v>25</v>
      </c>
      <c r="O6">
        <v>1</v>
      </c>
      <c r="P6" t="s">
        <v>41</v>
      </c>
      <c r="Q6">
        <v>116</v>
      </c>
    </row>
    <row r="7" spans="1:17" x14ac:dyDescent="0.25">
      <c r="A7" t="s">
        <v>42</v>
      </c>
      <c r="B7" s="2">
        <f t="shared" ca="1" si="0"/>
        <v>46211</v>
      </c>
      <c r="C7" t="s">
        <v>560</v>
      </c>
      <c r="D7" s="1">
        <v>0</v>
      </c>
      <c r="E7" t="s">
        <v>36</v>
      </c>
      <c r="F7" t="s">
        <v>43</v>
      </c>
      <c r="G7" t="s">
        <v>44</v>
      </c>
      <c r="H7">
        <v>22</v>
      </c>
      <c r="I7">
        <v>2.5</v>
      </c>
      <c r="J7" t="s">
        <v>561</v>
      </c>
      <c r="K7">
        <v>294</v>
      </c>
      <c r="L7">
        <v>0.2</v>
      </c>
      <c r="M7" t="s">
        <v>550</v>
      </c>
      <c r="N7" t="s">
        <v>25</v>
      </c>
      <c r="O7">
        <v>9</v>
      </c>
      <c r="P7" t="s">
        <v>18</v>
      </c>
      <c r="Q7">
        <v>227</v>
      </c>
    </row>
    <row r="8" spans="1:17" x14ac:dyDescent="0.25">
      <c r="A8" t="s">
        <v>45</v>
      </c>
      <c r="B8" s="2">
        <f t="shared" ca="1" si="0"/>
        <v>46133</v>
      </c>
      <c r="C8" t="s">
        <v>562</v>
      </c>
      <c r="D8" s="1">
        <v>0</v>
      </c>
      <c r="E8" t="s">
        <v>20</v>
      </c>
      <c r="F8" t="s">
        <v>43</v>
      </c>
      <c r="G8" t="s">
        <v>33</v>
      </c>
      <c r="H8">
        <v>18</v>
      </c>
      <c r="I8">
        <v>3.5</v>
      </c>
      <c r="J8" t="s">
        <v>563</v>
      </c>
      <c r="K8">
        <v>1433</v>
      </c>
      <c r="L8">
        <v>0</v>
      </c>
      <c r="M8" t="s">
        <v>550</v>
      </c>
      <c r="N8" t="s">
        <v>25</v>
      </c>
      <c r="O8">
        <v>3</v>
      </c>
      <c r="P8" t="s">
        <v>18</v>
      </c>
      <c r="Q8">
        <v>183</v>
      </c>
    </row>
    <row r="9" spans="1:17" x14ac:dyDescent="0.25">
      <c r="A9" t="s">
        <v>46</v>
      </c>
      <c r="B9" s="2">
        <f t="shared" ca="1" si="0"/>
        <v>46239</v>
      </c>
      <c r="C9" t="s">
        <v>554</v>
      </c>
      <c r="D9" s="1">
        <v>0</v>
      </c>
      <c r="E9" t="s">
        <v>31</v>
      </c>
      <c r="F9" t="s">
        <v>47</v>
      </c>
      <c r="G9" t="s">
        <v>564</v>
      </c>
      <c r="H9">
        <v>39</v>
      </c>
      <c r="I9">
        <v>2.6</v>
      </c>
      <c r="J9" t="s">
        <v>565</v>
      </c>
      <c r="K9">
        <v>755</v>
      </c>
      <c r="L9">
        <v>0.1</v>
      </c>
      <c r="M9" t="s">
        <v>566</v>
      </c>
      <c r="N9" t="s">
        <v>48</v>
      </c>
      <c r="O9">
        <v>4</v>
      </c>
      <c r="P9" t="s">
        <v>35</v>
      </c>
      <c r="Q9">
        <v>239</v>
      </c>
    </row>
    <row r="10" spans="1:17" x14ac:dyDescent="0.25">
      <c r="A10" t="s">
        <v>49</v>
      </c>
      <c r="B10" s="2">
        <f t="shared" ca="1" si="0"/>
        <v>46132</v>
      </c>
      <c r="C10" t="s">
        <v>567</v>
      </c>
      <c r="D10" s="1">
        <v>0</v>
      </c>
      <c r="E10" t="s">
        <v>548</v>
      </c>
      <c r="F10" t="s">
        <v>16</v>
      </c>
      <c r="G10" t="s">
        <v>50</v>
      </c>
      <c r="H10">
        <v>30</v>
      </c>
      <c r="I10">
        <v>3.8</v>
      </c>
      <c r="J10" t="s">
        <v>320</v>
      </c>
      <c r="K10">
        <v>2323</v>
      </c>
      <c r="L10">
        <v>150</v>
      </c>
      <c r="M10" t="s">
        <v>24</v>
      </c>
      <c r="N10" t="s">
        <v>25</v>
      </c>
      <c r="O10">
        <v>5</v>
      </c>
      <c r="P10" t="s">
        <v>41</v>
      </c>
      <c r="Q10">
        <v>53</v>
      </c>
    </row>
    <row r="11" spans="1:17" x14ac:dyDescent="0.25">
      <c r="A11" t="s">
        <v>51</v>
      </c>
      <c r="B11" s="2">
        <f t="shared" ca="1" si="0"/>
        <v>46295</v>
      </c>
      <c r="C11" t="s">
        <v>568</v>
      </c>
      <c r="D11" s="1">
        <v>0.96319444444444446</v>
      </c>
      <c r="E11" t="s">
        <v>569</v>
      </c>
      <c r="F11" t="s">
        <v>43</v>
      </c>
      <c r="G11" t="s">
        <v>50</v>
      </c>
      <c r="H11">
        <v>65</v>
      </c>
      <c r="I11">
        <v>1.3</v>
      </c>
      <c r="J11" t="s">
        <v>570</v>
      </c>
      <c r="K11">
        <v>342</v>
      </c>
      <c r="L11">
        <v>0.2</v>
      </c>
      <c r="M11" t="s">
        <v>571</v>
      </c>
      <c r="N11" t="s">
        <v>25</v>
      </c>
      <c r="O11">
        <v>10</v>
      </c>
      <c r="P11" t="s">
        <v>30</v>
      </c>
      <c r="Q11">
        <v>52</v>
      </c>
    </row>
    <row r="12" spans="1:17" x14ac:dyDescent="0.25">
      <c r="A12" t="s">
        <v>52</v>
      </c>
      <c r="B12" s="2">
        <f t="shared" ca="1" si="0"/>
        <v>46151</v>
      </c>
      <c r="C12" t="s">
        <v>572</v>
      </c>
      <c r="D12" s="1">
        <v>0.15138888888888888</v>
      </c>
      <c r="E12" t="s">
        <v>53</v>
      </c>
      <c r="F12" t="s">
        <v>47</v>
      </c>
      <c r="G12" t="s">
        <v>54</v>
      </c>
      <c r="H12">
        <v>46</v>
      </c>
      <c r="I12">
        <v>3.9</v>
      </c>
      <c r="J12" t="s">
        <v>573</v>
      </c>
      <c r="K12">
        <v>2255</v>
      </c>
      <c r="L12">
        <v>75</v>
      </c>
      <c r="M12" t="s">
        <v>55</v>
      </c>
      <c r="N12" t="s">
        <v>25</v>
      </c>
      <c r="O12">
        <v>5</v>
      </c>
      <c r="P12" t="s">
        <v>30</v>
      </c>
      <c r="Q12">
        <v>98</v>
      </c>
    </row>
    <row r="13" spans="1:17" x14ac:dyDescent="0.25">
      <c r="A13" t="s">
        <v>56</v>
      </c>
      <c r="B13" s="2">
        <f t="shared" ca="1" si="0"/>
        <v>46134</v>
      </c>
      <c r="C13" t="s">
        <v>574</v>
      </c>
      <c r="D13" s="1">
        <v>0</v>
      </c>
      <c r="E13" t="s">
        <v>57</v>
      </c>
      <c r="F13" t="s">
        <v>58</v>
      </c>
      <c r="G13" t="s">
        <v>59</v>
      </c>
      <c r="H13">
        <v>42</v>
      </c>
      <c r="I13">
        <v>4.8</v>
      </c>
      <c r="J13" t="s">
        <v>575</v>
      </c>
      <c r="K13">
        <v>1282</v>
      </c>
      <c r="L13">
        <v>100</v>
      </c>
      <c r="M13" t="s">
        <v>60</v>
      </c>
      <c r="N13" t="s">
        <v>25</v>
      </c>
      <c r="O13">
        <v>7</v>
      </c>
      <c r="P13" t="s">
        <v>41</v>
      </c>
      <c r="Q13">
        <v>132</v>
      </c>
    </row>
    <row r="14" spans="1:17" x14ac:dyDescent="0.25">
      <c r="A14" t="s">
        <v>61</v>
      </c>
      <c r="B14" s="2">
        <f t="shared" ca="1" si="0"/>
        <v>46319</v>
      </c>
      <c r="C14" t="s">
        <v>576</v>
      </c>
      <c r="D14" s="1">
        <v>0</v>
      </c>
      <c r="E14" t="s">
        <v>577</v>
      </c>
      <c r="F14" t="s">
        <v>58</v>
      </c>
      <c r="G14" t="s">
        <v>17</v>
      </c>
      <c r="H14">
        <v>59</v>
      </c>
      <c r="I14">
        <v>2.5</v>
      </c>
      <c r="J14" t="s">
        <v>320</v>
      </c>
      <c r="K14">
        <v>709</v>
      </c>
      <c r="L14">
        <v>50</v>
      </c>
      <c r="M14" t="s">
        <v>55</v>
      </c>
      <c r="N14" t="s">
        <v>25</v>
      </c>
      <c r="O14">
        <v>10</v>
      </c>
      <c r="P14" t="s">
        <v>553</v>
      </c>
      <c r="Q14">
        <v>26</v>
      </c>
    </row>
    <row r="15" spans="1:17" x14ac:dyDescent="0.25">
      <c r="A15" t="s">
        <v>62</v>
      </c>
      <c r="B15" s="2">
        <f t="shared" ca="1" si="0"/>
        <v>46227</v>
      </c>
      <c r="C15" t="s">
        <v>578</v>
      </c>
      <c r="D15" s="1">
        <v>0</v>
      </c>
      <c r="E15" t="s">
        <v>57</v>
      </c>
      <c r="F15" t="s">
        <v>47</v>
      </c>
      <c r="G15" t="s">
        <v>63</v>
      </c>
      <c r="H15">
        <v>18</v>
      </c>
      <c r="I15">
        <v>3.6</v>
      </c>
      <c r="J15" t="s">
        <v>64</v>
      </c>
      <c r="K15">
        <v>932</v>
      </c>
      <c r="L15">
        <v>0</v>
      </c>
      <c r="M15" t="s">
        <v>566</v>
      </c>
      <c r="N15" t="s">
        <v>34</v>
      </c>
      <c r="O15">
        <v>5</v>
      </c>
      <c r="P15" t="s">
        <v>41</v>
      </c>
      <c r="Q15">
        <v>80</v>
      </c>
    </row>
    <row r="16" spans="1:17" x14ac:dyDescent="0.25">
      <c r="A16" t="s">
        <v>65</v>
      </c>
      <c r="B16" s="2">
        <f t="shared" ca="1" si="0"/>
        <v>46101</v>
      </c>
      <c r="C16" t="s">
        <v>547</v>
      </c>
      <c r="D16" s="1">
        <v>0</v>
      </c>
      <c r="E16" t="s">
        <v>66</v>
      </c>
      <c r="F16" t="s">
        <v>16</v>
      </c>
      <c r="G16" t="s">
        <v>50</v>
      </c>
      <c r="H16">
        <v>35</v>
      </c>
      <c r="I16">
        <v>3.1</v>
      </c>
      <c r="J16" t="s">
        <v>67</v>
      </c>
      <c r="K16">
        <v>1834</v>
      </c>
      <c r="L16">
        <v>150</v>
      </c>
      <c r="M16" t="s">
        <v>566</v>
      </c>
      <c r="N16" t="s">
        <v>25</v>
      </c>
      <c r="O16">
        <v>10</v>
      </c>
      <c r="P16" t="s">
        <v>68</v>
      </c>
      <c r="Q16">
        <v>60</v>
      </c>
    </row>
    <row r="17" spans="1:17" x14ac:dyDescent="0.25">
      <c r="A17" t="s">
        <v>69</v>
      </c>
      <c r="B17" s="2">
        <f t="shared" ca="1" si="0"/>
        <v>46094</v>
      </c>
      <c r="C17" t="s">
        <v>579</v>
      </c>
      <c r="D17" s="1">
        <v>0</v>
      </c>
      <c r="E17" t="s">
        <v>97</v>
      </c>
      <c r="F17" t="s">
        <v>70</v>
      </c>
      <c r="G17" t="s">
        <v>22</v>
      </c>
      <c r="H17">
        <v>55</v>
      </c>
      <c r="I17">
        <v>2.2000000000000002</v>
      </c>
      <c r="J17" t="s">
        <v>561</v>
      </c>
      <c r="K17">
        <v>2375</v>
      </c>
      <c r="L17">
        <v>0.1</v>
      </c>
      <c r="M17" t="s">
        <v>55</v>
      </c>
      <c r="N17" t="s">
        <v>25</v>
      </c>
      <c r="O17">
        <v>4</v>
      </c>
      <c r="P17" t="s">
        <v>68</v>
      </c>
      <c r="Q17">
        <v>70</v>
      </c>
    </row>
    <row r="18" spans="1:17" x14ac:dyDescent="0.25">
      <c r="A18" t="s">
        <v>71</v>
      </c>
      <c r="B18" s="2">
        <f t="shared" ca="1" si="0"/>
        <v>46196</v>
      </c>
      <c r="C18" t="s">
        <v>580</v>
      </c>
      <c r="D18" s="1">
        <v>0.83819444444444446</v>
      </c>
      <c r="E18" t="s">
        <v>53</v>
      </c>
      <c r="F18" t="s">
        <v>39</v>
      </c>
      <c r="G18" t="s">
        <v>63</v>
      </c>
      <c r="H18">
        <v>43</v>
      </c>
      <c r="I18">
        <v>3</v>
      </c>
      <c r="J18" t="s">
        <v>581</v>
      </c>
      <c r="K18">
        <v>1543</v>
      </c>
      <c r="L18">
        <v>120</v>
      </c>
      <c r="M18" t="s">
        <v>564</v>
      </c>
      <c r="N18" t="s">
        <v>34</v>
      </c>
      <c r="O18">
        <v>1</v>
      </c>
      <c r="P18" t="s">
        <v>553</v>
      </c>
      <c r="Q18">
        <v>172</v>
      </c>
    </row>
    <row r="19" spans="1:17" x14ac:dyDescent="0.25">
      <c r="A19" t="s">
        <v>72</v>
      </c>
      <c r="B19" s="2">
        <f t="shared" ca="1" si="0"/>
        <v>46078</v>
      </c>
      <c r="C19" t="s">
        <v>582</v>
      </c>
      <c r="D19" s="1">
        <v>0</v>
      </c>
      <c r="E19" t="s">
        <v>57</v>
      </c>
      <c r="F19" t="s">
        <v>32</v>
      </c>
      <c r="G19" t="s">
        <v>44</v>
      </c>
      <c r="H19">
        <v>53</v>
      </c>
      <c r="I19">
        <v>2.5</v>
      </c>
      <c r="J19" t="s">
        <v>73</v>
      </c>
      <c r="K19">
        <v>889</v>
      </c>
      <c r="L19">
        <v>120</v>
      </c>
      <c r="M19" t="s">
        <v>550</v>
      </c>
      <c r="N19" t="s">
        <v>34</v>
      </c>
      <c r="O19">
        <v>8</v>
      </c>
      <c r="P19" t="s">
        <v>18</v>
      </c>
      <c r="Q19">
        <v>226</v>
      </c>
    </row>
    <row r="20" spans="1:17" x14ac:dyDescent="0.25">
      <c r="A20" t="s">
        <v>74</v>
      </c>
      <c r="B20" s="2">
        <f t="shared" ca="1" si="0"/>
        <v>46188</v>
      </c>
      <c r="C20" t="s">
        <v>583</v>
      </c>
      <c r="D20" s="1">
        <v>0.86527777777777781</v>
      </c>
      <c r="E20" t="s">
        <v>27</v>
      </c>
      <c r="F20" t="s">
        <v>75</v>
      </c>
      <c r="G20" t="s">
        <v>54</v>
      </c>
      <c r="H20">
        <v>48</v>
      </c>
      <c r="I20">
        <v>2</v>
      </c>
      <c r="J20" t="s">
        <v>584</v>
      </c>
      <c r="K20">
        <v>574</v>
      </c>
      <c r="L20">
        <v>50</v>
      </c>
      <c r="M20" t="s">
        <v>550</v>
      </c>
      <c r="N20" t="s">
        <v>585</v>
      </c>
      <c r="O20">
        <v>10</v>
      </c>
      <c r="P20" t="s">
        <v>553</v>
      </c>
      <c r="Q20">
        <v>98</v>
      </c>
    </row>
    <row r="21" spans="1:17" x14ac:dyDescent="0.25">
      <c r="A21" t="s">
        <v>76</v>
      </c>
      <c r="B21" s="2">
        <f t="shared" ca="1" si="0"/>
        <v>46063</v>
      </c>
      <c r="C21" t="s">
        <v>586</v>
      </c>
      <c r="D21" s="1">
        <v>0</v>
      </c>
      <c r="E21" t="s">
        <v>27</v>
      </c>
      <c r="F21" t="s">
        <v>32</v>
      </c>
      <c r="G21" t="s">
        <v>44</v>
      </c>
      <c r="H21">
        <v>20</v>
      </c>
      <c r="I21">
        <v>4.9000000000000004</v>
      </c>
      <c r="J21" t="s">
        <v>561</v>
      </c>
      <c r="K21">
        <v>2201</v>
      </c>
      <c r="L21">
        <v>100</v>
      </c>
      <c r="M21" t="s">
        <v>550</v>
      </c>
      <c r="N21" t="s">
        <v>34</v>
      </c>
      <c r="O21">
        <v>10</v>
      </c>
      <c r="P21" t="s">
        <v>553</v>
      </c>
      <c r="Q21">
        <v>28</v>
      </c>
    </row>
    <row r="22" spans="1:17" x14ac:dyDescent="0.25">
      <c r="A22" t="s">
        <v>77</v>
      </c>
      <c r="B22" s="2">
        <f t="shared" ca="1" si="0"/>
        <v>46248</v>
      </c>
      <c r="C22" t="s">
        <v>587</v>
      </c>
      <c r="D22" s="1">
        <v>0</v>
      </c>
      <c r="E22" t="s">
        <v>36</v>
      </c>
      <c r="F22" t="s">
        <v>47</v>
      </c>
      <c r="G22" t="s">
        <v>78</v>
      </c>
      <c r="H22">
        <v>18</v>
      </c>
      <c r="I22">
        <v>2.2000000000000002</v>
      </c>
      <c r="J22" t="s">
        <v>588</v>
      </c>
      <c r="K22">
        <v>701</v>
      </c>
      <c r="L22">
        <v>50</v>
      </c>
      <c r="M22" t="s">
        <v>55</v>
      </c>
      <c r="N22" t="s">
        <v>34</v>
      </c>
      <c r="O22">
        <v>5</v>
      </c>
      <c r="P22" t="s">
        <v>35</v>
      </c>
      <c r="Q22">
        <v>186</v>
      </c>
    </row>
    <row r="23" spans="1:17" x14ac:dyDescent="0.25">
      <c r="A23" t="s">
        <v>79</v>
      </c>
      <c r="B23" s="2">
        <f t="shared" ca="1" si="0"/>
        <v>46219</v>
      </c>
      <c r="C23" t="s">
        <v>589</v>
      </c>
      <c r="D23" s="1">
        <v>0</v>
      </c>
      <c r="E23" t="s">
        <v>20</v>
      </c>
      <c r="F23" t="s">
        <v>47</v>
      </c>
      <c r="G23" t="s">
        <v>44</v>
      </c>
      <c r="H23">
        <v>60</v>
      </c>
      <c r="I23">
        <v>1</v>
      </c>
      <c r="J23" t="s">
        <v>590</v>
      </c>
      <c r="K23">
        <v>2287</v>
      </c>
      <c r="L23">
        <v>75</v>
      </c>
      <c r="M23" t="s">
        <v>55</v>
      </c>
      <c r="N23" t="s">
        <v>25</v>
      </c>
      <c r="O23">
        <v>3</v>
      </c>
      <c r="P23" t="s">
        <v>553</v>
      </c>
      <c r="Q23">
        <v>67</v>
      </c>
    </row>
    <row r="24" spans="1:17" x14ac:dyDescent="0.25">
      <c r="A24" t="s">
        <v>80</v>
      </c>
      <c r="B24" s="2">
        <f t="shared" ca="1" si="0"/>
        <v>46087</v>
      </c>
      <c r="C24" t="s">
        <v>591</v>
      </c>
      <c r="D24" s="1">
        <v>0</v>
      </c>
      <c r="E24" t="s">
        <v>577</v>
      </c>
      <c r="F24" t="s">
        <v>32</v>
      </c>
      <c r="G24" t="s">
        <v>81</v>
      </c>
      <c r="H24">
        <v>39</v>
      </c>
      <c r="I24">
        <v>2.9</v>
      </c>
      <c r="J24" t="s">
        <v>82</v>
      </c>
      <c r="K24">
        <v>2420</v>
      </c>
      <c r="L24">
        <v>100</v>
      </c>
      <c r="M24" t="s">
        <v>83</v>
      </c>
      <c r="N24" t="s">
        <v>25</v>
      </c>
      <c r="O24">
        <v>5</v>
      </c>
      <c r="P24" t="s">
        <v>41</v>
      </c>
      <c r="Q24">
        <v>43</v>
      </c>
    </row>
    <row r="25" spans="1:17" x14ac:dyDescent="0.25">
      <c r="A25" t="s">
        <v>84</v>
      </c>
      <c r="B25" s="2">
        <f t="shared" ca="1" si="0"/>
        <v>46250</v>
      </c>
      <c r="C25" t="s">
        <v>592</v>
      </c>
      <c r="D25" s="1">
        <v>0</v>
      </c>
      <c r="E25" t="s">
        <v>53</v>
      </c>
      <c r="F25" t="s">
        <v>58</v>
      </c>
      <c r="G25" t="s">
        <v>33</v>
      </c>
      <c r="H25">
        <v>26</v>
      </c>
      <c r="I25">
        <v>2.5</v>
      </c>
      <c r="J25" t="s">
        <v>593</v>
      </c>
      <c r="K25">
        <v>1518</v>
      </c>
      <c r="L25">
        <v>150</v>
      </c>
      <c r="M25" t="s">
        <v>550</v>
      </c>
      <c r="N25" t="s">
        <v>48</v>
      </c>
      <c r="O25">
        <v>4</v>
      </c>
      <c r="P25" t="s">
        <v>68</v>
      </c>
      <c r="Q25">
        <v>100</v>
      </c>
    </row>
    <row r="26" spans="1:17" x14ac:dyDescent="0.25">
      <c r="A26" t="s">
        <v>85</v>
      </c>
      <c r="B26" s="2">
        <f t="shared" ca="1" si="0"/>
        <v>46211</v>
      </c>
      <c r="C26" t="s">
        <v>594</v>
      </c>
      <c r="D26" s="1">
        <v>0</v>
      </c>
      <c r="E26" t="s">
        <v>66</v>
      </c>
      <c r="F26" t="s">
        <v>16</v>
      </c>
      <c r="G26" t="s">
        <v>63</v>
      </c>
      <c r="H26">
        <v>32</v>
      </c>
      <c r="I26">
        <v>1.6</v>
      </c>
      <c r="J26" t="s">
        <v>595</v>
      </c>
      <c r="K26">
        <v>780</v>
      </c>
      <c r="L26">
        <v>120</v>
      </c>
      <c r="M26" t="s">
        <v>60</v>
      </c>
      <c r="N26" t="s">
        <v>564</v>
      </c>
      <c r="O26">
        <v>4</v>
      </c>
      <c r="P26" t="s">
        <v>41</v>
      </c>
      <c r="Q26">
        <v>63</v>
      </c>
    </row>
    <row r="27" spans="1:17" x14ac:dyDescent="0.25">
      <c r="A27" t="s">
        <v>86</v>
      </c>
      <c r="B27" s="2">
        <f t="shared" ca="1" si="0"/>
        <v>46384</v>
      </c>
      <c r="C27" t="s">
        <v>596</v>
      </c>
      <c r="D27" s="1">
        <v>0.63749999999999996</v>
      </c>
      <c r="E27" t="s">
        <v>31</v>
      </c>
      <c r="F27" t="s">
        <v>70</v>
      </c>
      <c r="G27" t="s">
        <v>54</v>
      </c>
      <c r="H27">
        <v>46</v>
      </c>
      <c r="I27">
        <v>1.3</v>
      </c>
      <c r="J27" t="s">
        <v>597</v>
      </c>
      <c r="K27">
        <v>420</v>
      </c>
      <c r="L27">
        <v>150</v>
      </c>
      <c r="M27" t="s">
        <v>60</v>
      </c>
      <c r="N27" t="s">
        <v>25</v>
      </c>
      <c r="O27">
        <v>9</v>
      </c>
      <c r="P27" t="s">
        <v>553</v>
      </c>
      <c r="Q27">
        <v>213</v>
      </c>
    </row>
    <row r="28" spans="1:17" x14ac:dyDescent="0.25">
      <c r="A28" t="s">
        <v>87</v>
      </c>
      <c r="B28" s="2">
        <f t="shared" ca="1" si="0"/>
        <v>46058</v>
      </c>
      <c r="C28" t="s">
        <v>598</v>
      </c>
      <c r="D28" s="1">
        <v>0</v>
      </c>
      <c r="E28" t="s">
        <v>577</v>
      </c>
      <c r="F28" t="s">
        <v>75</v>
      </c>
      <c r="G28" t="s">
        <v>50</v>
      </c>
      <c r="H28">
        <v>39</v>
      </c>
      <c r="I28">
        <v>2.6</v>
      </c>
      <c r="J28" t="s">
        <v>599</v>
      </c>
      <c r="K28">
        <v>2186</v>
      </c>
      <c r="L28">
        <v>120</v>
      </c>
      <c r="M28" t="s">
        <v>60</v>
      </c>
      <c r="N28" t="s">
        <v>25</v>
      </c>
      <c r="O28">
        <v>6</v>
      </c>
      <c r="P28" t="s">
        <v>18</v>
      </c>
      <c r="Q28">
        <v>186</v>
      </c>
    </row>
    <row r="29" spans="1:17" x14ac:dyDescent="0.25">
      <c r="A29" t="s">
        <v>88</v>
      </c>
      <c r="B29" s="2">
        <f t="shared" ca="1" si="0"/>
        <v>46051</v>
      </c>
      <c r="C29" t="s">
        <v>600</v>
      </c>
      <c r="D29" s="1">
        <v>0.95972222222222225</v>
      </c>
      <c r="E29" t="s">
        <v>601</v>
      </c>
      <c r="F29" t="s">
        <v>43</v>
      </c>
      <c r="G29" t="s">
        <v>33</v>
      </c>
      <c r="H29">
        <v>65</v>
      </c>
      <c r="I29">
        <v>1.1000000000000001</v>
      </c>
      <c r="J29" t="s">
        <v>602</v>
      </c>
      <c r="K29">
        <v>1015</v>
      </c>
      <c r="L29">
        <v>0.2</v>
      </c>
      <c r="M29" t="s">
        <v>24</v>
      </c>
      <c r="N29" t="s">
        <v>25</v>
      </c>
      <c r="O29">
        <v>2</v>
      </c>
      <c r="P29" t="s">
        <v>68</v>
      </c>
      <c r="Q29">
        <v>120</v>
      </c>
    </row>
    <row r="30" spans="1:17" x14ac:dyDescent="0.25">
      <c r="A30" t="s">
        <v>89</v>
      </c>
      <c r="B30" s="2">
        <f t="shared" ca="1" si="0"/>
        <v>46075</v>
      </c>
      <c r="C30" t="s">
        <v>603</v>
      </c>
      <c r="D30" s="1">
        <v>0</v>
      </c>
      <c r="E30" t="s">
        <v>90</v>
      </c>
      <c r="F30" t="s">
        <v>58</v>
      </c>
      <c r="G30" t="s">
        <v>22</v>
      </c>
      <c r="H30">
        <v>38</v>
      </c>
      <c r="I30">
        <v>3</v>
      </c>
      <c r="J30" t="s">
        <v>604</v>
      </c>
      <c r="K30">
        <v>1025</v>
      </c>
      <c r="L30">
        <v>150</v>
      </c>
      <c r="M30" t="s">
        <v>60</v>
      </c>
      <c r="N30" t="s">
        <v>25</v>
      </c>
      <c r="O30">
        <v>7</v>
      </c>
      <c r="P30" t="s">
        <v>41</v>
      </c>
      <c r="Q30">
        <v>16</v>
      </c>
    </row>
    <row r="31" spans="1:17" x14ac:dyDescent="0.25">
      <c r="A31" t="s">
        <v>91</v>
      </c>
      <c r="B31" s="2">
        <f t="shared" ca="1" si="0"/>
        <v>46237</v>
      </c>
      <c r="C31" t="s">
        <v>605</v>
      </c>
      <c r="D31" s="1">
        <v>0</v>
      </c>
      <c r="E31" t="s">
        <v>577</v>
      </c>
      <c r="F31" t="s">
        <v>70</v>
      </c>
      <c r="G31" t="s">
        <v>22</v>
      </c>
      <c r="H31">
        <v>50</v>
      </c>
      <c r="I31">
        <v>4.0999999999999996</v>
      </c>
      <c r="J31" t="s">
        <v>588</v>
      </c>
      <c r="K31">
        <v>682</v>
      </c>
      <c r="L31">
        <v>0.6</v>
      </c>
      <c r="M31" t="s">
        <v>55</v>
      </c>
      <c r="N31" t="s">
        <v>25</v>
      </c>
      <c r="O31">
        <v>10</v>
      </c>
      <c r="P31" t="s">
        <v>553</v>
      </c>
      <c r="Q31">
        <v>205</v>
      </c>
    </row>
    <row r="32" spans="1:17" x14ac:dyDescent="0.25">
      <c r="A32" t="s">
        <v>92</v>
      </c>
      <c r="B32" s="2">
        <f t="shared" ca="1" si="0"/>
        <v>46279</v>
      </c>
      <c r="C32" t="s">
        <v>589</v>
      </c>
      <c r="D32" s="1">
        <v>0</v>
      </c>
      <c r="E32" t="s">
        <v>20</v>
      </c>
      <c r="F32" t="s">
        <v>16</v>
      </c>
      <c r="G32" t="s">
        <v>78</v>
      </c>
      <c r="H32">
        <v>65</v>
      </c>
      <c r="I32">
        <v>2.8</v>
      </c>
      <c r="J32" t="s">
        <v>606</v>
      </c>
      <c r="K32">
        <v>885</v>
      </c>
      <c r="L32">
        <v>0.1</v>
      </c>
      <c r="M32" t="s">
        <v>566</v>
      </c>
      <c r="N32" t="s">
        <v>25</v>
      </c>
      <c r="O32">
        <v>8</v>
      </c>
      <c r="P32" t="s">
        <v>35</v>
      </c>
      <c r="Q32">
        <v>40</v>
      </c>
    </row>
    <row r="33" spans="1:17" x14ac:dyDescent="0.25">
      <c r="A33" t="s">
        <v>93</v>
      </c>
      <c r="B33" s="2">
        <f t="shared" ca="1" si="0"/>
        <v>46082</v>
      </c>
      <c r="C33" t="s">
        <v>607</v>
      </c>
      <c r="D33" s="1">
        <v>0</v>
      </c>
      <c r="E33" t="s">
        <v>90</v>
      </c>
      <c r="F33" t="s">
        <v>58</v>
      </c>
      <c r="G33" t="s">
        <v>63</v>
      </c>
      <c r="H33">
        <v>40</v>
      </c>
      <c r="I33">
        <v>3.6</v>
      </c>
      <c r="J33" t="s">
        <v>604</v>
      </c>
      <c r="K33">
        <v>1536</v>
      </c>
      <c r="L33">
        <v>0.5</v>
      </c>
      <c r="M33" t="s">
        <v>24</v>
      </c>
      <c r="N33" t="s">
        <v>25</v>
      </c>
      <c r="O33">
        <v>1</v>
      </c>
      <c r="P33" t="s">
        <v>68</v>
      </c>
      <c r="Q33">
        <v>33</v>
      </c>
    </row>
    <row r="34" spans="1:17" x14ac:dyDescent="0.25">
      <c r="A34" t="s">
        <v>94</v>
      </c>
      <c r="B34" s="2">
        <f t="shared" ca="1" si="0"/>
        <v>46336</v>
      </c>
      <c r="C34" t="s">
        <v>608</v>
      </c>
      <c r="D34" s="1">
        <v>0</v>
      </c>
      <c r="E34" t="s">
        <v>548</v>
      </c>
      <c r="F34" t="s">
        <v>32</v>
      </c>
      <c r="G34" t="s">
        <v>29</v>
      </c>
      <c r="H34">
        <v>28</v>
      </c>
      <c r="I34">
        <v>1.2</v>
      </c>
      <c r="J34" t="s">
        <v>609</v>
      </c>
      <c r="K34">
        <v>2428</v>
      </c>
      <c r="L34">
        <v>100</v>
      </c>
      <c r="M34" t="s">
        <v>55</v>
      </c>
      <c r="N34" t="s">
        <v>25</v>
      </c>
      <c r="O34">
        <v>10</v>
      </c>
      <c r="P34" t="s">
        <v>35</v>
      </c>
      <c r="Q34">
        <v>46</v>
      </c>
    </row>
    <row r="35" spans="1:17" x14ac:dyDescent="0.25">
      <c r="A35" t="s">
        <v>95</v>
      </c>
      <c r="B35" s="2">
        <f t="shared" ca="1" si="0"/>
        <v>46379</v>
      </c>
      <c r="C35" t="s">
        <v>610</v>
      </c>
      <c r="D35" s="1">
        <v>0</v>
      </c>
      <c r="E35" t="s">
        <v>36</v>
      </c>
      <c r="F35" t="s">
        <v>70</v>
      </c>
      <c r="G35" t="s">
        <v>81</v>
      </c>
      <c r="H35">
        <v>32</v>
      </c>
      <c r="I35">
        <v>4.5</v>
      </c>
      <c r="J35" t="s">
        <v>593</v>
      </c>
      <c r="K35">
        <v>247</v>
      </c>
      <c r="L35">
        <v>0.1</v>
      </c>
      <c r="M35" t="s">
        <v>60</v>
      </c>
      <c r="N35" t="s">
        <v>48</v>
      </c>
      <c r="O35">
        <v>8</v>
      </c>
      <c r="P35" t="s">
        <v>553</v>
      </c>
      <c r="Q35">
        <v>75</v>
      </c>
    </row>
    <row r="36" spans="1:17" x14ac:dyDescent="0.25">
      <c r="A36" t="s">
        <v>96</v>
      </c>
      <c r="B36" s="2">
        <f t="shared" ca="1" si="0"/>
        <v>46224</v>
      </c>
      <c r="C36" t="s">
        <v>611</v>
      </c>
      <c r="D36" s="1">
        <v>0</v>
      </c>
      <c r="E36" t="s">
        <v>97</v>
      </c>
      <c r="F36" t="s">
        <v>16</v>
      </c>
      <c r="G36" t="s">
        <v>78</v>
      </c>
      <c r="H36">
        <v>18</v>
      </c>
      <c r="I36">
        <v>2</v>
      </c>
      <c r="J36" t="s">
        <v>98</v>
      </c>
      <c r="K36">
        <v>124</v>
      </c>
      <c r="L36">
        <v>50</v>
      </c>
      <c r="M36" t="s">
        <v>24</v>
      </c>
      <c r="N36" t="s">
        <v>25</v>
      </c>
      <c r="O36">
        <v>1</v>
      </c>
      <c r="P36" t="s">
        <v>35</v>
      </c>
      <c r="Q36">
        <v>48</v>
      </c>
    </row>
    <row r="37" spans="1:17" x14ac:dyDescent="0.25">
      <c r="A37" t="s">
        <v>99</v>
      </c>
      <c r="B37" s="2">
        <f t="shared" ca="1" si="0"/>
        <v>46034</v>
      </c>
      <c r="C37" t="s">
        <v>612</v>
      </c>
      <c r="D37" s="1">
        <v>0</v>
      </c>
      <c r="E37" t="s">
        <v>90</v>
      </c>
      <c r="F37" t="s">
        <v>16</v>
      </c>
      <c r="G37" t="s">
        <v>54</v>
      </c>
      <c r="H37">
        <v>63</v>
      </c>
      <c r="I37">
        <v>2.8</v>
      </c>
      <c r="J37" t="s">
        <v>613</v>
      </c>
      <c r="K37">
        <v>2003</v>
      </c>
      <c r="L37">
        <v>0.2</v>
      </c>
      <c r="M37" t="s">
        <v>83</v>
      </c>
      <c r="N37" t="s">
        <v>25</v>
      </c>
      <c r="O37">
        <v>1</v>
      </c>
      <c r="P37" t="s">
        <v>553</v>
      </c>
      <c r="Q37">
        <v>41</v>
      </c>
    </row>
    <row r="38" spans="1:17" x14ac:dyDescent="0.25">
      <c r="A38" t="s">
        <v>100</v>
      </c>
      <c r="B38" s="2">
        <f t="shared" ca="1" si="0"/>
        <v>46280</v>
      </c>
      <c r="C38" t="s">
        <v>614</v>
      </c>
      <c r="D38" s="1">
        <v>0</v>
      </c>
      <c r="E38" t="s">
        <v>66</v>
      </c>
      <c r="F38" t="s">
        <v>75</v>
      </c>
      <c r="G38" t="s">
        <v>63</v>
      </c>
      <c r="H38">
        <v>38</v>
      </c>
      <c r="I38">
        <v>2.2000000000000002</v>
      </c>
      <c r="J38" t="s">
        <v>599</v>
      </c>
      <c r="K38">
        <v>517</v>
      </c>
      <c r="L38">
        <v>150</v>
      </c>
      <c r="M38" t="s">
        <v>60</v>
      </c>
      <c r="N38" t="s">
        <v>25</v>
      </c>
      <c r="O38">
        <v>3</v>
      </c>
      <c r="P38" t="s">
        <v>18</v>
      </c>
    </row>
    <row r="39" spans="1:17" x14ac:dyDescent="0.25">
      <c r="A39" t="s">
        <v>101</v>
      </c>
      <c r="B39" s="2">
        <f t="shared" ca="1" si="0"/>
        <v>46055</v>
      </c>
      <c r="C39" t="s">
        <v>615</v>
      </c>
      <c r="D39" s="1">
        <v>0</v>
      </c>
      <c r="E39" t="s">
        <v>564</v>
      </c>
      <c r="F39" t="s">
        <v>39</v>
      </c>
      <c r="G39" t="s">
        <v>78</v>
      </c>
      <c r="H39">
        <v>33</v>
      </c>
      <c r="I39">
        <v>1.1000000000000001</v>
      </c>
      <c r="J39" t="s">
        <v>102</v>
      </c>
      <c r="K39">
        <v>1041</v>
      </c>
      <c r="L39">
        <v>0.2</v>
      </c>
      <c r="M39" t="s">
        <v>24</v>
      </c>
      <c r="N39" t="s">
        <v>25</v>
      </c>
      <c r="O39">
        <v>3</v>
      </c>
      <c r="P39" t="s">
        <v>553</v>
      </c>
      <c r="Q39">
        <v>145</v>
      </c>
    </row>
    <row r="40" spans="1:17" x14ac:dyDescent="0.25">
      <c r="A40" t="s">
        <v>103</v>
      </c>
      <c r="B40" s="2">
        <f t="shared" ca="1" si="0"/>
        <v>46025</v>
      </c>
      <c r="C40" t="s">
        <v>616</v>
      </c>
      <c r="D40" s="1">
        <v>0</v>
      </c>
      <c r="E40" t="s">
        <v>20</v>
      </c>
      <c r="F40" t="s">
        <v>32</v>
      </c>
      <c r="G40" t="s">
        <v>29</v>
      </c>
      <c r="H40">
        <v>47</v>
      </c>
      <c r="I40">
        <v>3.2</v>
      </c>
      <c r="J40" t="s">
        <v>617</v>
      </c>
      <c r="K40">
        <v>276</v>
      </c>
      <c r="L40">
        <v>100</v>
      </c>
      <c r="M40" t="s">
        <v>83</v>
      </c>
      <c r="N40" t="s">
        <v>34</v>
      </c>
      <c r="O40">
        <v>9</v>
      </c>
      <c r="P40" t="s">
        <v>68</v>
      </c>
      <c r="Q40">
        <v>102</v>
      </c>
    </row>
    <row r="41" spans="1:17" x14ac:dyDescent="0.25">
      <c r="A41" t="s">
        <v>104</v>
      </c>
      <c r="B41" s="2">
        <f t="shared" ca="1" si="0"/>
        <v>46263</v>
      </c>
      <c r="C41" t="s">
        <v>618</v>
      </c>
      <c r="D41" s="1">
        <v>0</v>
      </c>
      <c r="E41" t="s">
        <v>31</v>
      </c>
      <c r="F41" t="s">
        <v>32</v>
      </c>
      <c r="G41" t="s">
        <v>78</v>
      </c>
      <c r="H41">
        <v>37</v>
      </c>
      <c r="I41">
        <v>1.4</v>
      </c>
      <c r="J41" t="s">
        <v>619</v>
      </c>
      <c r="K41">
        <v>527</v>
      </c>
      <c r="L41">
        <v>75</v>
      </c>
      <c r="M41" t="s">
        <v>83</v>
      </c>
      <c r="N41" t="s">
        <v>25</v>
      </c>
      <c r="O41">
        <v>10</v>
      </c>
      <c r="P41" t="s">
        <v>564</v>
      </c>
      <c r="Q41">
        <v>213</v>
      </c>
    </row>
    <row r="42" spans="1:17" x14ac:dyDescent="0.25">
      <c r="A42" t="s">
        <v>105</v>
      </c>
      <c r="B42" s="2">
        <f t="shared" ca="1" si="0"/>
        <v>46229</v>
      </c>
      <c r="C42" t="s">
        <v>547</v>
      </c>
      <c r="D42" s="1">
        <v>0</v>
      </c>
      <c r="E42" t="s">
        <v>548</v>
      </c>
      <c r="F42" t="s">
        <v>32</v>
      </c>
      <c r="G42" t="s">
        <v>50</v>
      </c>
      <c r="H42">
        <v>38</v>
      </c>
      <c r="I42">
        <v>1.5</v>
      </c>
      <c r="J42" t="s">
        <v>588</v>
      </c>
      <c r="K42">
        <v>350</v>
      </c>
      <c r="L42">
        <v>0.6</v>
      </c>
      <c r="M42" t="s">
        <v>566</v>
      </c>
      <c r="N42" t="s">
        <v>48</v>
      </c>
      <c r="O42">
        <v>3</v>
      </c>
      <c r="P42" t="s">
        <v>35</v>
      </c>
      <c r="Q42">
        <v>210</v>
      </c>
    </row>
    <row r="43" spans="1:17" x14ac:dyDescent="0.25">
      <c r="A43" t="s">
        <v>106</v>
      </c>
      <c r="B43" s="2">
        <f t="shared" ca="1" si="0"/>
        <v>46108</v>
      </c>
      <c r="C43" t="s">
        <v>620</v>
      </c>
      <c r="D43" s="1">
        <v>0</v>
      </c>
      <c r="E43" t="s">
        <v>564</v>
      </c>
      <c r="F43" t="s">
        <v>43</v>
      </c>
      <c r="G43" t="s">
        <v>107</v>
      </c>
      <c r="H43">
        <v>34</v>
      </c>
      <c r="I43">
        <v>4.0999999999999996</v>
      </c>
      <c r="J43" t="s">
        <v>621</v>
      </c>
      <c r="K43">
        <v>242</v>
      </c>
      <c r="L43">
        <v>0.2</v>
      </c>
      <c r="M43" t="s">
        <v>550</v>
      </c>
      <c r="N43" t="s">
        <v>25</v>
      </c>
      <c r="O43">
        <v>7</v>
      </c>
      <c r="P43" t="s">
        <v>68</v>
      </c>
      <c r="Q43">
        <v>230</v>
      </c>
    </row>
    <row r="44" spans="1:17" x14ac:dyDescent="0.25">
      <c r="A44" t="s">
        <v>108</v>
      </c>
      <c r="B44" s="2">
        <f t="shared" ca="1" si="0"/>
        <v>46208</v>
      </c>
      <c r="C44" t="s">
        <v>618</v>
      </c>
      <c r="D44" s="1">
        <v>0</v>
      </c>
      <c r="E44" t="s">
        <v>109</v>
      </c>
      <c r="F44" t="s">
        <v>70</v>
      </c>
      <c r="G44" t="s">
        <v>44</v>
      </c>
      <c r="H44">
        <v>50</v>
      </c>
      <c r="I44">
        <v>3.8</v>
      </c>
      <c r="J44" t="s">
        <v>622</v>
      </c>
      <c r="K44">
        <v>997</v>
      </c>
      <c r="L44">
        <v>120</v>
      </c>
      <c r="M44" t="s">
        <v>60</v>
      </c>
      <c r="N44" t="s">
        <v>25</v>
      </c>
      <c r="O44">
        <v>10</v>
      </c>
      <c r="P44" t="s">
        <v>41</v>
      </c>
      <c r="Q44">
        <v>79</v>
      </c>
    </row>
    <row r="45" spans="1:17" x14ac:dyDescent="0.25">
      <c r="A45" t="s">
        <v>110</v>
      </c>
      <c r="B45" s="2">
        <f t="shared" ca="1" si="0"/>
        <v>46323</v>
      </c>
      <c r="C45" t="s">
        <v>576</v>
      </c>
      <c r="D45" s="1">
        <v>0</v>
      </c>
      <c r="E45" t="s">
        <v>564</v>
      </c>
      <c r="F45" t="s">
        <v>75</v>
      </c>
      <c r="G45" t="s">
        <v>44</v>
      </c>
      <c r="H45">
        <v>65</v>
      </c>
      <c r="I45">
        <v>3.8</v>
      </c>
      <c r="J45" t="s">
        <v>623</v>
      </c>
      <c r="K45">
        <v>2496</v>
      </c>
      <c r="L45">
        <v>0.15</v>
      </c>
      <c r="M45" t="s">
        <v>566</v>
      </c>
      <c r="N45" t="s">
        <v>48</v>
      </c>
      <c r="O45">
        <v>9</v>
      </c>
      <c r="P45" t="s">
        <v>68</v>
      </c>
      <c r="Q45">
        <v>18</v>
      </c>
    </row>
    <row r="46" spans="1:17" x14ac:dyDescent="0.25">
      <c r="A46" t="s">
        <v>111</v>
      </c>
      <c r="B46" s="2">
        <f t="shared" ca="1" si="0"/>
        <v>46171</v>
      </c>
      <c r="C46" t="s">
        <v>624</v>
      </c>
      <c r="D46" s="1">
        <v>0</v>
      </c>
      <c r="E46" t="s">
        <v>27</v>
      </c>
      <c r="F46" t="s">
        <v>58</v>
      </c>
      <c r="G46" t="s">
        <v>81</v>
      </c>
      <c r="H46">
        <v>59</v>
      </c>
      <c r="I46">
        <v>2.9</v>
      </c>
      <c r="J46" t="s">
        <v>112</v>
      </c>
      <c r="K46">
        <v>765</v>
      </c>
      <c r="L46">
        <v>0.1</v>
      </c>
      <c r="M46" t="s">
        <v>83</v>
      </c>
      <c r="N46" t="s">
        <v>25</v>
      </c>
      <c r="O46">
        <v>6</v>
      </c>
      <c r="P46" t="s">
        <v>553</v>
      </c>
      <c r="Q46">
        <v>35</v>
      </c>
    </row>
    <row r="47" spans="1:17" x14ac:dyDescent="0.25">
      <c r="A47" t="s">
        <v>113</v>
      </c>
      <c r="B47" s="2">
        <f t="shared" ca="1" si="0"/>
        <v>46174</v>
      </c>
      <c r="C47" t="s">
        <v>625</v>
      </c>
      <c r="D47" s="1">
        <v>0</v>
      </c>
      <c r="E47" t="s">
        <v>53</v>
      </c>
      <c r="F47" t="s">
        <v>75</v>
      </c>
      <c r="G47" t="s">
        <v>33</v>
      </c>
      <c r="H47">
        <v>20</v>
      </c>
      <c r="I47">
        <v>2.6</v>
      </c>
      <c r="J47" t="s">
        <v>626</v>
      </c>
      <c r="K47">
        <v>500</v>
      </c>
      <c r="L47">
        <v>0</v>
      </c>
      <c r="M47" t="s">
        <v>60</v>
      </c>
      <c r="N47" t="s">
        <v>25</v>
      </c>
      <c r="O47">
        <v>5</v>
      </c>
      <c r="P47" t="s">
        <v>30</v>
      </c>
      <c r="Q47">
        <v>161</v>
      </c>
    </row>
    <row r="48" spans="1:17" x14ac:dyDescent="0.25">
      <c r="A48" t="s">
        <v>114</v>
      </c>
      <c r="B48" s="2">
        <f t="shared" ca="1" si="0"/>
        <v>46287</v>
      </c>
      <c r="C48" t="s">
        <v>627</v>
      </c>
      <c r="D48" s="1">
        <v>0.80694444444444446</v>
      </c>
      <c r="E48" t="s">
        <v>53</v>
      </c>
      <c r="F48" t="s">
        <v>70</v>
      </c>
      <c r="G48" t="s">
        <v>29</v>
      </c>
      <c r="H48">
        <v>46</v>
      </c>
      <c r="I48">
        <v>4.8</v>
      </c>
      <c r="J48" t="s">
        <v>555</v>
      </c>
      <c r="K48">
        <v>742</v>
      </c>
      <c r="L48">
        <v>0.1</v>
      </c>
      <c r="M48" t="s">
        <v>566</v>
      </c>
      <c r="N48" t="s">
        <v>48</v>
      </c>
      <c r="O48">
        <v>6</v>
      </c>
      <c r="P48" t="s">
        <v>41</v>
      </c>
      <c r="Q48">
        <v>78</v>
      </c>
    </row>
    <row r="49" spans="1:17" x14ac:dyDescent="0.25">
      <c r="A49" t="s">
        <v>115</v>
      </c>
      <c r="B49" s="2">
        <f t="shared" ca="1" si="0"/>
        <v>46181</v>
      </c>
      <c r="C49" t="s">
        <v>628</v>
      </c>
      <c r="D49" s="1">
        <v>0</v>
      </c>
      <c r="E49" t="s">
        <v>31</v>
      </c>
      <c r="F49" t="s">
        <v>116</v>
      </c>
      <c r="G49" t="s">
        <v>50</v>
      </c>
      <c r="H49">
        <v>50</v>
      </c>
      <c r="I49">
        <v>3.1</v>
      </c>
      <c r="J49" t="s">
        <v>117</v>
      </c>
      <c r="K49">
        <v>1358</v>
      </c>
      <c r="L49">
        <v>0.6</v>
      </c>
      <c r="M49" t="s">
        <v>566</v>
      </c>
      <c r="N49" t="s">
        <v>25</v>
      </c>
      <c r="O49">
        <v>9</v>
      </c>
      <c r="P49" t="s">
        <v>35</v>
      </c>
      <c r="Q49">
        <v>73</v>
      </c>
    </row>
    <row r="50" spans="1:17" x14ac:dyDescent="0.25">
      <c r="A50" t="s">
        <v>556</v>
      </c>
      <c r="B50" s="2">
        <f t="shared" ca="1" si="0"/>
        <v>46235</v>
      </c>
      <c r="C50" t="s">
        <v>629</v>
      </c>
      <c r="D50" s="1">
        <v>0</v>
      </c>
      <c r="E50" t="s">
        <v>57</v>
      </c>
      <c r="F50" t="s">
        <v>75</v>
      </c>
      <c r="G50" t="s">
        <v>29</v>
      </c>
      <c r="H50">
        <v>44</v>
      </c>
      <c r="I50">
        <v>4.5999999999999996</v>
      </c>
      <c r="J50" t="s">
        <v>630</v>
      </c>
      <c r="K50">
        <v>1014</v>
      </c>
      <c r="L50">
        <v>120</v>
      </c>
      <c r="M50" t="s">
        <v>55</v>
      </c>
      <c r="N50" t="s">
        <v>25</v>
      </c>
      <c r="O50">
        <v>1</v>
      </c>
      <c r="P50" t="s">
        <v>18</v>
      </c>
      <c r="Q50">
        <v>157</v>
      </c>
    </row>
    <row r="51" spans="1:17" x14ac:dyDescent="0.25">
      <c r="A51" t="s">
        <v>118</v>
      </c>
      <c r="B51" s="2">
        <f t="shared" ca="1" si="0"/>
        <v>46196</v>
      </c>
      <c r="C51" t="s">
        <v>620</v>
      </c>
      <c r="D51" s="1">
        <v>0</v>
      </c>
      <c r="E51" t="s">
        <v>53</v>
      </c>
      <c r="F51" t="s">
        <v>58</v>
      </c>
      <c r="G51" t="s">
        <v>22</v>
      </c>
      <c r="H51">
        <v>63</v>
      </c>
      <c r="I51">
        <v>2</v>
      </c>
      <c r="J51" t="s">
        <v>320</v>
      </c>
      <c r="K51">
        <v>1165</v>
      </c>
      <c r="L51">
        <v>0</v>
      </c>
      <c r="M51" t="s">
        <v>55</v>
      </c>
      <c r="N51" t="s">
        <v>25</v>
      </c>
      <c r="O51">
        <v>6</v>
      </c>
      <c r="P51" t="s">
        <v>30</v>
      </c>
      <c r="Q51">
        <v>138</v>
      </c>
    </row>
    <row r="52" spans="1:17" x14ac:dyDescent="0.25">
      <c r="A52" t="s">
        <v>119</v>
      </c>
      <c r="B52" s="2">
        <f t="shared" ca="1" si="0"/>
        <v>46309</v>
      </c>
      <c r="C52" t="s">
        <v>631</v>
      </c>
      <c r="D52" s="1">
        <v>0.24861111111111112</v>
      </c>
      <c r="E52" t="s">
        <v>57</v>
      </c>
      <c r="F52" t="s">
        <v>58</v>
      </c>
      <c r="G52" t="s">
        <v>29</v>
      </c>
      <c r="H52">
        <v>32</v>
      </c>
      <c r="I52">
        <v>3.8</v>
      </c>
      <c r="J52" t="s">
        <v>632</v>
      </c>
      <c r="K52">
        <v>1458</v>
      </c>
      <c r="L52">
        <v>50</v>
      </c>
      <c r="M52" t="s">
        <v>566</v>
      </c>
      <c r="N52" t="s">
        <v>25</v>
      </c>
      <c r="O52">
        <v>4</v>
      </c>
      <c r="P52" t="s">
        <v>18</v>
      </c>
      <c r="Q52">
        <v>119</v>
      </c>
    </row>
    <row r="53" spans="1:17" x14ac:dyDescent="0.25">
      <c r="A53" t="s">
        <v>120</v>
      </c>
      <c r="B53" s="2">
        <f t="shared" ca="1" si="0"/>
        <v>46249</v>
      </c>
      <c r="C53" t="s">
        <v>568</v>
      </c>
      <c r="D53" s="1">
        <v>0</v>
      </c>
      <c r="E53" t="s">
        <v>66</v>
      </c>
      <c r="F53" t="s">
        <v>47</v>
      </c>
      <c r="G53" t="s">
        <v>54</v>
      </c>
      <c r="H53">
        <v>33</v>
      </c>
      <c r="I53">
        <v>4.0999999999999996</v>
      </c>
      <c r="J53" t="s">
        <v>633</v>
      </c>
      <c r="K53">
        <v>854</v>
      </c>
      <c r="L53">
        <v>100</v>
      </c>
      <c r="M53" t="s">
        <v>550</v>
      </c>
      <c r="N53" t="s">
        <v>48</v>
      </c>
      <c r="O53">
        <v>10</v>
      </c>
      <c r="P53" t="s">
        <v>30</v>
      </c>
      <c r="Q53">
        <v>103</v>
      </c>
    </row>
    <row r="54" spans="1:17" x14ac:dyDescent="0.25">
      <c r="A54" t="s">
        <v>121</v>
      </c>
      <c r="B54" s="2">
        <f t="shared" ca="1" si="0"/>
        <v>46074</v>
      </c>
      <c r="C54" t="s">
        <v>634</v>
      </c>
      <c r="D54" s="1">
        <v>0</v>
      </c>
      <c r="E54" t="s">
        <v>97</v>
      </c>
      <c r="F54" t="s">
        <v>43</v>
      </c>
      <c r="G54" t="s">
        <v>54</v>
      </c>
      <c r="H54">
        <v>52</v>
      </c>
      <c r="I54">
        <v>4.7</v>
      </c>
      <c r="J54" t="s">
        <v>632</v>
      </c>
      <c r="K54">
        <v>1367</v>
      </c>
      <c r="L54">
        <v>0</v>
      </c>
      <c r="M54" t="s">
        <v>24</v>
      </c>
      <c r="N54" t="s">
        <v>34</v>
      </c>
      <c r="O54">
        <v>1</v>
      </c>
      <c r="P54" t="s">
        <v>30</v>
      </c>
      <c r="Q54">
        <v>124</v>
      </c>
    </row>
    <row r="55" spans="1:17" x14ac:dyDescent="0.25">
      <c r="A55" t="s">
        <v>122</v>
      </c>
      <c r="B55" s="2">
        <f t="shared" ca="1" si="0"/>
        <v>46232</v>
      </c>
      <c r="D55" s="1">
        <v>0</v>
      </c>
      <c r="E55" t="s">
        <v>31</v>
      </c>
      <c r="F55" t="s">
        <v>70</v>
      </c>
      <c r="G55" t="s">
        <v>44</v>
      </c>
      <c r="H55">
        <v>27</v>
      </c>
      <c r="I55">
        <v>3.5</v>
      </c>
      <c r="J55" t="s">
        <v>633</v>
      </c>
      <c r="K55">
        <v>756</v>
      </c>
      <c r="L55">
        <v>0.5</v>
      </c>
      <c r="M55" t="s">
        <v>566</v>
      </c>
      <c r="N55" t="s">
        <v>25</v>
      </c>
      <c r="O55">
        <v>2</v>
      </c>
      <c r="P55" t="s">
        <v>35</v>
      </c>
    </row>
    <row r="56" spans="1:17" x14ac:dyDescent="0.25">
      <c r="A56" t="s">
        <v>123</v>
      </c>
      <c r="B56" s="2">
        <f t="shared" ca="1" si="0"/>
        <v>46072</v>
      </c>
      <c r="C56" t="s">
        <v>635</v>
      </c>
      <c r="D56" s="1">
        <v>0.86041666666666672</v>
      </c>
      <c r="E56" t="s">
        <v>97</v>
      </c>
      <c r="F56" t="s">
        <v>43</v>
      </c>
      <c r="G56" t="s">
        <v>17</v>
      </c>
      <c r="H56">
        <v>23</v>
      </c>
      <c r="I56">
        <v>2.2000000000000002</v>
      </c>
      <c r="J56" t="s">
        <v>124</v>
      </c>
      <c r="K56">
        <v>315</v>
      </c>
      <c r="L56">
        <v>150</v>
      </c>
      <c r="M56" t="s">
        <v>55</v>
      </c>
      <c r="N56" t="s">
        <v>25</v>
      </c>
      <c r="O56">
        <v>2</v>
      </c>
      <c r="P56" t="s">
        <v>30</v>
      </c>
      <c r="Q56">
        <v>104</v>
      </c>
    </row>
    <row r="57" spans="1:17" x14ac:dyDescent="0.25">
      <c r="A57" t="s">
        <v>125</v>
      </c>
      <c r="B57" s="2">
        <f t="shared" ca="1" si="0"/>
        <v>46137</v>
      </c>
      <c r="C57" t="s">
        <v>557</v>
      </c>
      <c r="D57" s="1">
        <v>0</v>
      </c>
      <c r="E57" t="s">
        <v>577</v>
      </c>
      <c r="F57" t="s">
        <v>75</v>
      </c>
      <c r="G57" t="s">
        <v>22</v>
      </c>
      <c r="H57">
        <v>37</v>
      </c>
      <c r="I57">
        <v>1.6</v>
      </c>
      <c r="J57" t="s">
        <v>126</v>
      </c>
      <c r="K57">
        <v>1122</v>
      </c>
      <c r="L57">
        <v>0</v>
      </c>
      <c r="M57" t="s">
        <v>60</v>
      </c>
      <c r="N57" t="s">
        <v>25</v>
      </c>
      <c r="O57">
        <v>7</v>
      </c>
      <c r="P57" t="s">
        <v>68</v>
      </c>
      <c r="Q57">
        <v>205</v>
      </c>
    </row>
    <row r="58" spans="1:17" x14ac:dyDescent="0.25">
      <c r="A58" t="s">
        <v>127</v>
      </c>
      <c r="B58" s="2">
        <f t="shared" ca="1" si="0"/>
        <v>46371</v>
      </c>
      <c r="C58" t="s">
        <v>636</v>
      </c>
      <c r="D58" s="1">
        <v>0</v>
      </c>
      <c r="E58" t="s">
        <v>577</v>
      </c>
      <c r="F58" t="s">
        <v>58</v>
      </c>
      <c r="G58" t="s">
        <v>54</v>
      </c>
      <c r="H58">
        <v>43</v>
      </c>
      <c r="I58">
        <v>4.7</v>
      </c>
      <c r="J58" t="s">
        <v>112</v>
      </c>
      <c r="K58">
        <v>548</v>
      </c>
      <c r="L58">
        <v>0</v>
      </c>
      <c r="M58" t="s">
        <v>24</v>
      </c>
      <c r="N58" t="s">
        <v>48</v>
      </c>
      <c r="O58">
        <v>7</v>
      </c>
      <c r="P58" t="s">
        <v>553</v>
      </c>
      <c r="Q58">
        <v>0</v>
      </c>
    </row>
    <row r="59" spans="1:17" x14ac:dyDescent="0.25">
      <c r="A59" t="s">
        <v>128</v>
      </c>
      <c r="B59" s="2">
        <f t="shared" ca="1" si="0"/>
        <v>46164</v>
      </c>
      <c r="C59" t="s">
        <v>637</v>
      </c>
      <c r="D59" s="1">
        <v>0</v>
      </c>
      <c r="E59" t="s">
        <v>66</v>
      </c>
      <c r="F59" t="s">
        <v>58</v>
      </c>
      <c r="G59" t="s">
        <v>17</v>
      </c>
      <c r="H59">
        <v>60</v>
      </c>
      <c r="I59">
        <v>3.6</v>
      </c>
      <c r="J59" t="s">
        <v>320</v>
      </c>
      <c r="K59">
        <v>2461</v>
      </c>
      <c r="L59">
        <v>0.2</v>
      </c>
      <c r="M59" t="s">
        <v>566</v>
      </c>
      <c r="N59" t="s">
        <v>25</v>
      </c>
      <c r="O59">
        <v>6</v>
      </c>
      <c r="P59" t="s">
        <v>35</v>
      </c>
      <c r="Q59">
        <v>148</v>
      </c>
    </row>
    <row r="60" spans="1:17" x14ac:dyDescent="0.25">
      <c r="A60" t="s">
        <v>129</v>
      </c>
      <c r="B60" s="2">
        <f t="shared" ca="1" si="0"/>
        <v>46362</v>
      </c>
      <c r="C60" t="s">
        <v>638</v>
      </c>
      <c r="D60" s="1">
        <v>0</v>
      </c>
      <c r="E60" t="s">
        <v>548</v>
      </c>
      <c r="F60" t="s">
        <v>21</v>
      </c>
      <c r="G60" t="s">
        <v>78</v>
      </c>
      <c r="H60">
        <v>63</v>
      </c>
      <c r="I60">
        <v>4.4000000000000004</v>
      </c>
      <c r="J60" t="s">
        <v>639</v>
      </c>
      <c r="K60">
        <v>2333</v>
      </c>
      <c r="L60">
        <v>120</v>
      </c>
      <c r="M60" t="s">
        <v>55</v>
      </c>
      <c r="N60" t="s">
        <v>25</v>
      </c>
      <c r="O60">
        <v>7</v>
      </c>
      <c r="P60" t="s">
        <v>18</v>
      </c>
      <c r="Q60">
        <v>68</v>
      </c>
    </row>
    <row r="61" spans="1:17" x14ac:dyDescent="0.25">
      <c r="A61" t="s">
        <v>556</v>
      </c>
      <c r="B61" s="2">
        <f t="shared" ca="1" si="0"/>
        <v>46101</v>
      </c>
      <c r="C61" t="s">
        <v>640</v>
      </c>
      <c r="D61" s="1">
        <v>0</v>
      </c>
      <c r="E61" t="s">
        <v>27</v>
      </c>
      <c r="F61" t="s">
        <v>70</v>
      </c>
      <c r="G61" t="s">
        <v>81</v>
      </c>
      <c r="H61">
        <v>42</v>
      </c>
      <c r="I61">
        <v>3.3</v>
      </c>
      <c r="J61" t="s">
        <v>641</v>
      </c>
      <c r="K61">
        <v>1589</v>
      </c>
      <c r="L61">
        <v>75</v>
      </c>
      <c r="M61" t="s">
        <v>83</v>
      </c>
      <c r="N61" t="s">
        <v>34</v>
      </c>
      <c r="O61">
        <v>9</v>
      </c>
      <c r="P61" t="s">
        <v>35</v>
      </c>
      <c r="Q61">
        <v>47</v>
      </c>
    </row>
    <row r="62" spans="1:17" x14ac:dyDescent="0.25">
      <c r="A62" t="s">
        <v>130</v>
      </c>
      <c r="B62" s="2">
        <f t="shared" ca="1" si="0"/>
        <v>46272</v>
      </c>
      <c r="C62" t="s">
        <v>642</v>
      </c>
      <c r="D62" s="1">
        <v>0</v>
      </c>
      <c r="E62" t="s">
        <v>66</v>
      </c>
      <c r="F62" t="s">
        <v>32</v>
      </c>
      <c r="G62" t="s">
        <v>44</v>
      </c>
      <c r="H62">
        <v>44</v>
      </c>
      <c r="I62">
        <v>2.8</v>
      </c>
      <c r="J62" t="s">
        <v>131</v>
      </c>
      <c r="K62">
        <v>193</v>
      </c>
      <c r="L62">
        <v>0.2</v>
      </c>
      <c r="M62" t="s">
        <v>55</v>
      </c>
      <c r="N62" t="s">
        <v>25</v>
      </c>
      <c r="O62">
        <v>9</v>
      </c>
      <c r="P62" t="s">
        <v>68</v>
      </c>
      <c r="Q62">
        <v>171</v>
      </c>
    </row>
    <row r="63" spans="1:17" x14ac:dyDescent="0.25">
      <c r="A63" t="s">
        <v>132</v>
      </c>
      <c r="B63" s="2">
        <f t="shared" ca="1" si="0"/>
        <v>46080</v>
      </c>
      <c r="C63" t="s">
        <v>643</v>
      </c>
      <c r="D63" s="1">
        <v>0.9291666666666667</v>
      </c>
      <c r="E63" t="s">
        <v>20</v>
      </c>
      <c r="F63" t="s">
        <v>75</v>
      </c>
      <c r="G63" t="s">
        <v>22</v>
      </c>
      <c r="H63">
        <v>57</v>
      </c>
      <c r="I63">
        <v>1.7</v>
      </c>
      <c r="J63" t="s">
        <v>133</v>
      </c>
      <c r="K63">
        <v>2056</v>
      </c>
      <c r="L63">
        <v>120</v>
      </c>
      <c r="M63" t="s">
        <v>60</v>
      </c>
      <c r="N63" t="s">
        <v>48</v>
      </c>
      <c r="O63">
        <v>2</v>
      </c>
      <c r="P63" t="s">
        <v>30</v>
      </c>
      <c r="Q63">
        <v>223</v>
      </c>
    </row>
    <row r="64" spans="1:17" x14ac:dyDescent="0.25">
      <c r="A64" t="s">
        <v>134</v>
      </c>
      <c r="B64" s="2">
        <f t="shared" ca="1" si="0"/>
        <v>46361</v>
      </c>
      <c r="C64" t="s">
        <v>591</v>
      </c>
      <c r="D64" s="1">
        <v>0</v>
      </c>
      <c r="E64" t="s">
        <v>577</v>
      </c>
      <c r="F64" t="s">
        <v>116</v>
      </c>
      <c r="G64" t="s">
        <v>78</v>
      </c>
      <c r="H64">
        <v>35</v>
      </c>
      <c r="I64">
        <v>4.5</v>
      </c>
      <c r="J64" t="s">
        <v>559</v>
      </c>
      <c r="K64">
        <v>500</v>
      </c>
      <c r="L64">
        <v>150</v>
      </c>
      <c r="M64" t="s">
        <v>550</v>
      </c>
      <c r="N64" t="s">
        <v>48</v>
      </c>
      <c r="O64">
        <v>7</v>
      </c>
      <c r="P64" t="s">
        <v>30</v>
      </c>
      <c r="Q64">
        <v>14</v>
      </c>
    </row>
    <row r="65" spans="1:17" x14ac:dyDescent="0.25">
      <c r="A65" t="s">
        <v>135</v>
      </c>
      <c r="B65" s="2">
        <f t="shared" ca="1" si="0"/>
        <v>46047</v>
      </c>
      <c r="C65" t="s">
        <v>635</v>
      </c>
      <c r="D65" s="1">
        <v>0.97013888888888888</v>
      </c>
      <c r="E65" t="s">
        <v>36</v>
      </c>
      <c r="F65" t="s">
        <v>39</v>
      </c>
      <c r="G65" t="s">
        <v>44</v>
      </c>
      <c r="H65">
        <v>28</v>
      </c>
      <c r="I65">
        <v>4.5</v>
      </c>
      <c r="J65" t="s">
        <v>136</v>
      </c>
      <c r="K65">
        <v>716</v>
      </c>
      <c r="L65">
        <v>50</v>
      </c>
      <c r="M65" t="s">
        <v>550</v>
      </c>
      <c r="N65" t="s">
        <v>34</v>
      </c>
      <c r="O65">
        <v>4</v>
      </c>
      <c r="P65" t="s">
        <v>35</v>
      </c>
      <c r="Q65">
        <v>91</v>
      </c>
    </row>
    <row r="66" spans="1:17" x14ac:dyDescent="0.25">
      <c r="A66" t="s">
        <v>137</v>
      </c>
      <c r="B66" s="2">
        <f t="shared" ref="B66:B129" ca="1" si="1">RANDBETWEEN(DATE(2026,1,1),DATE(2026,12,31))</f>
        <v>46207</v>
      </c>
      <c r="C66" t="s">
        <v>624</v>
      </c>
      <c r="D66" s="1">
        <v>0</v>
      </c>
      <c r="E66" t="s">
        <v>97</v>
      </c>
      <c r="F66" t="s">
        <v>70</v>
      </c>
      <c r="G66" t="s">
        <v>54</v>
      </c>
      <c r="H66">
        <v>47</v>
      </c>
      <c r="I66">
        <v>2.5</v>
      </c>
      <c r="J66" t="s">
        <v>131</v>
      </c>
      <c r="K66">
        <v>1987</v>
      </c>
      <c r="L66">
        <v>0.2</v>
      </c>
      <c r="M66" t="s">
        <v>83</v>
      </c>
      <c r="N66" t="s">
        <v>25</v>
      </c>
      <c r="O66">
        <v>0</v>
      </c>
      <c r="P66" t="s">
        <v>564</v>
      </c>
      <c r="Q66">
        <v>99</v>
      </c>
    </row>
    <row r="67" spans="1:17" x14ac:dyDescent="0.25">
      <c r="A67" t="s">
        <v>114</v>
      </c>
      <c r="B67" s="2">
        <f t="shared" ca="1" si="1"/>
        <v>46137</v>
      </c>
      <c r="C67" t="s">
        <v>644</v>
      </c>
      <c r="D67" s="1">
        <v>0</v>
      </c>
      <c r="E67" t="s">
        <v>27</v>
      </c>
      <c r="F67" t="s">
        <v>21</v>
      </c>
      <c r="G67" t="s">
        <v>81</v>
      </c>
      <c r="H67">
        <v>62</v>
      </c>
      <c r="I67">
        <v>2.8</v>
      </c>
      <c r="J67" t="s">
        <v>561</v>
      </c>
      <c r="K67">
        <v>1323</v>
      </c>
      <c r="L67">
        <v>0.6</v>
      </c>
      <c r="M67" t="s">
        <v>83</v>
      </c>
      <c r="N67" t="s">
        <v>48</v>
      </c>
      <c r="O67">
        <v>6</v>
      </c>
      <c r="P67" t="s">
        <v>68</v>
      </c>
      <c r="Q67">
        <v>231</v>
      </c>
    </row>
    <row r="68" spans="1:17" x14ac:dyDescent="0.25">
      <c r="A68" t="s">
        <v>138</v>
      </c>
      <c r="B68" s="2">
        <f t="shared" ca="1" si="1"/>
        <v>46259</v>
      </c>
      <c r="C68" t="s">
        <v>562</v>
      </c>
      <c r="D68" s="1">
        <v>0</v>
      </c>
      <c r="E68" t="s">
        <v>577</v>
      </c>
      <c r="F68" t="s">
        <v>43</v>
      </c>
      <c r="G68" t="s">
        <v>81</v>
      </c>
      <c r="H68">
        <v>38</v>
      </c>
      <c r="I68">
        <v>3.8</v>
      </c>
      <c r="J68" t="s">
        <v>645</v>
      </c>
      <c r="K68">
        <v>1342</v>
      </c>
      <c r="L68">
        <v>0.15</v>
      </c>
      <c r="M68" t="s">
        <v>550</v>
      </c>
      <c r="N68" t="s">
        <v>25</v>
      </c>
      <c r="O68">
        <v>3</v>
      </c>
      <c r="P68" t="s">
        <v>564</v>
      </c>
      <c r="Q68">
        <v>194</v>
      </c>
    </row>
    <row r="69" spans="1:17" x14ac:dyDescent="0.25">
      <c r="A69" t="s">
        <v>139</v>
      </c>
      <c r="B69" s="2">
        <f t="shared" ca="1" si="1"/>
        <v>46167</v>
      </c>
      <c r="C69" t="s">
        <v>646</v>
      </c>
      <c r="D69" s="1">
        <v>0</v>
      </c>
      <c r="E69" t="s">
        <v>647</v>
      </c>
      <c r="F69" t="s">
        <v>75</v>
      </c>
      <c r="G69" t="s">
        <v>78</v>
      </c>
      <c r="H69">
        <v>18</v>
      </c>
      <c r="I69">
        <v>1.7</v>
      </c>
      <c r="J69" t="s">
        <v>645</v>
      </c>
      <c r="K69">
        <v>1301</v>
      </c>
      <c r="L69">
        <v>75</v>
      </c>
      <c r="M69" t="s">
        <v>55</v>
      </c>
      <c r="N69" t="s">
        <v>34</v>
      </c>
      <c r="O69">
        <v>5</v>
      </c>
      <c r="P69" t="s">
        <v>35</v>
      </c>
      <c r="Q69">
        <v>60</v>
      </c>
    </row>
    <row r="70" spans="1:17" x14ac:dyDescent="0.25">
      <c r="A70" t="s">
        <v>140</v>
      </c>
      <c r="B70" s="2">
        <f t="shared" ca="1" si="1"/>
        <v>46383</v>
      </c>
      <c r="C70" t="s">
        <v>648</v>
      </c>
      <c r="D70" s="1">
        <v>0.35416666666666669</v>
      </c>
      <c r="E70" t="s">
        <v>31</v>
      </c>
      <c r="F70" t="s">
        <v>70</v>
      </c>
      <c r="G70" t="s">
        <v>50</v>
      </c>
      <c r="H70">
        <v>35</v>
      </c>
      <c r="I70">
        <v>2.5</v>
      </c>
      <c r="J70" t="s">
        <v>633</v>
      </c>
      <c r="K70">
        <v>1945</v>
      </c>
      <c r="L70">
        <v>0</v>
      </c>
      <c r="M70" t="s">
        <v>55</v>
      </c>
      <c r="N70" t="s">
        <v>25</v>
      </c>
      <c r="O70">
        <v>7</v>
      </c>
      <c r="P70" t="s">
        <v>68</v>
      </c>
      <c r="Q70">
        <v>23</v>
      </c>
    </row>
    <row r="71" spans="1:17" x14ac:dyDescent="0.25">
      <c r="A71" t="s">
        <v>141</v>
      </c>
      <c r="B71" s="2">
        <f t="shared" ca="1" si="1"/>
        <v>46303</v>
      </c>
      <c r="D71" s="1">
        <v>0</v>
      </c>
      <c r="E71" t="s">
        <v>27</v>
      </c>
      <c r="F71" t="s">
        <v>21</v>
      </c>
      <c r="G71" t="s">
        <v>33</v>
      </c>
      <c r="H71">
        <v>18</v>
      </c>
      <c r="I71">
        <v>1.8</v>
      </c>
      <c r="J71" t="s">
        <v>142</v>
      </c>
      <c r="K71">
        <v>542</v>
      </c>
      <c r="L71">
        <v>0</v>
      </c>
      <c r="M71" t="s">
        <v>550</v>
      </c>
      <c r="N71" t="s">
        <v>25</v>
      </c>
      <c r="O71">
        <v>6</v>
      </c>
      <c r="P71" t="s">
        <v>553</v>
      </c>
      <c r="Q71">
        <v>47</v>
      </c>
    </row>
    <row r="72" spans="1:17" x14ac:dyDescent="0.25">
      <c r="A72" t="s">
        <v>143</v>
      </c>
      <c r="B72" s="2">
        <f t="shared" ca="1" si="1"/>
        <v>46046</v>
      </c>
      <c r="C72" t="s">
        <v>649</v>
      </c>
      <c r="D72" s="1">
        <v>0</v>
      </c>
      <c r="E72" t="s">
        <v>90</v>
      </c>
      <c r="F72" t="s">
        <v>116</v>
      </c>
      <c r="G72" t="s">
        <v>29</v>
      </c>
      <c r="H72">
        <v>18</v>
      </c>
      <c r="I72">
        <v>4.8</v>
      </c>
      <c r="J72" t="s">
        <v>650</v>
      </c>
      <c r="K72">
        <v>553</v>
      </c>
      <c r="L72">
        <v>120</v>
      </c>
      <c r="M72" t="s">
        <v>55</v>
      </c>
      <c r="N72" t="s">
        <v>48</v>
      </c>
      <c r="O72">
        <v>3</v>
      </c>
      <c r="P72" t="s">
        <v>553</v>
      </c>
      <c r="Q72">
        <v>154</v>
      </c>
    </row>
    <row r="73" spans="1:17" x14ac:dyDescent="0.25">
      <c r="A73" t="s">
        <v>144</v>
      </c>
      <c r="B73" s="2">
        <f t="shared" ca="1" si="1"/>
        <v>46174</v>
      </c>
      <c r="C73" t="s">
        <v>651</v>
      </c>
      <c r="D73" s="1">
        <v>0</v>
      </c>
      <c r="E73" t="s">
        <v>548</v>
      </c>
      <c r="F73" t="s">
        <v>21</v>
      </c>
      <c r="G73" t="s">
        <v>54</v>
      </c>
      <c r="H73">
        <v>54</v>
      </c>
      <c r="I73">
        <v>3.7</v>
      </c>
      <c r="J73" t="s">
        <v>124</v>
      </c>
      <c r="K73">
        <v>500</v>
      </c>
      <c r="L73">
        <v>0</v>
      </c>
      <c r="M73" t="s">
        <v>60</v>
      </c>
      <c r="N73" t="s">
        <v>25</v>
      </c>
      <c r="O73">
        <v>2</v>
      </c>
      <c r="P73" t="s">
        <v>68</v>
      </c>
    </row>
    <row r="74" spans="1:17" x14ac:dyDescent="0.25">
      <c r="A74" t="s">
        <v>145</v>
      </c>
      <c r="B74" s="2">
        <f t="shared" ca="1" si="1"/>
        <v>46061</v>
      </c>
      <c r="C74" t="s">
        <v>649</v>
      </c>
      <c r="D74" s="1">
        <v>0</v>
      </c>
      <c r="E74" t="s">
        <v>577</v>
      </c>
      <c r="F74" t="s">
        <v>70</v>
      </c>
      <c r="G74" t="s">
        <v>33</v>
      </c>
      <c r="H74">
        <v>18</v>
      </c>
      <c r="I74">
        <v>2.2000000000000002</v>
      </c>
      <c r="J74" t="s">
        <v>652</v>
      </c>
      <c r="K74">
        <v>500</v>
      </c>
      <c r="L74">
        <v>0.2</v>
      </c>
      <c r="M74" t="s">
        <v>550</v>
      </c>
      <c r="N74" t="s">
        <v>25</v>
      </c>
      <c r="O74">
        <v>9</v>
      </c>
      <c r="P74" t="s">
        <v>35</v>
      </c>
      <c r="Q74">
        <v>42</v>
      </c>
    </row>
    <row r="75" spans="1:17" x14ac:dyDescent="0.25">
      <c r="A75" t="s">
        <v>146</v>
      </c>
      <c r="B75" s="2">
        <f t="shared" ca="1" si="1"/>
        <v>46153</v>
      </c>
      <c r="C75" t="s">
        <v>653</v>
      </c>
      <c r="D75" s="1">
        <v>0</v>
      </c>
      <c r="E75" t="s">
        <v>109</v>
      </c>
      <c r="F75" t="s">
        <v>70</v>
      </c>
      <c r="G75" t="s">
        <v>33</v>
      </c>
      <c r="H75">
        <v>48</v>
      </c>
      <c r="I75">
        <v>1.9</v>
      </c>
      <c r="J75" t="s">
        <v>645</v>
      </c>
      <c r="K75">
        <v>2269</v>
      </c>
      <c r="L75">
        <v>120</v>
      </c>
      <c r="M75" t="s">
        <v>83</v>
      </c>
      <c r="N75" t="s">
        <v>25</v>
      </c>
      <c r="O75">
        <v>4</v>
      </c>
      <c r="P75" t="s">
        <v>564</v>
      </c>
      <c r="Q75">
        <v>54</v>
      </c>
    </row>
    <row r="76" spans="1:17" x14ac:dyDescent="0.25">
      <c r="A76" t="s">
        <v>147</v>
      </c>
      <c r="B76" s="2">
        <f t="shared" ca="1" si="1"/>
        <v>46350</v>
      </c>
      <c r="C76" t="s">
        <v>654</v>
      </c>
      <c r="D76" s="1">
        <v>0</v>
      </c>
      <c r="E76" t="s">
        <v>27</v>
      </c>
      <c r="F76" t="s">
        <v>58</v>
      </c>
      <c r="G76" t="s">
        <v>33</v>
      </c>
      <c r="H76">
        <v>44</v>
      </c>
      <c r="I76">
        <v>3.3</v>
      </c>
      <c r="J76" t="s">
        <v>561</v>
      </c>
      <c r="K76">
        <v>2321</v>
      </c>
      <c r="L76">
        <v>0.2</v>
      </c>
      <c r="M76" t="s">
        <v>83</v>
      </c>
      <c r="N76" t="s">
        <v>25</v>
      </c>
      <c r="O76">
        <v>7</v>
      </c>
      <c r="P76" t="s">
        <v>30</v>
      </c>
      <c r="Q76">
        <v>53</v>
      </c>
    </row>
    <row r="77" spans="1:17" x14ac:dyDescent="0.25">
      <c r="A77" t="s">
        <v>148</v>
      </c>
      <c r="B77" s="2">
        <f t="shared" ca="1" si="1"/>
        <v>46069</v>
      </c>
      <c r="C77" t="s">
        <v>655</v>
      </c>
      <c r="D77" s="1">
        <v>0</v>
      </c>
      <c r="E77" t="s">
        <v>564</v>
      </c>
      <c r="F77" t="s">
        <v>43</v>
      </c>
      <c r="G77" t="s">
        <v>78</v>
      </c>
      <c r="H77">
        <v>38</v>
      </c>
      <c r="I77">
        <v>2.7</v>
      </c>
      <c r="J77" t="s">
        <v>606</v>
      </c>
      <c r="K77">
        <v>1171</v>
      </c>
      <c r="L77">
        <v>100</v>
      </c>
      <c r="M77" t="s">
        <v>83</v>
      </c>
      <c r="N77" t="s">
        <v>34</v>
      </c>
      <c r="O77">
        <v>9</v>
      </c>
      <c r="P77" t="s">
        <v>564</v>
      </c>
      <c r="Q77">
        <v>16</v>
      </c>
    </row>
    <row r="78" spans="1:17" x14ac:dyDescent="0.25">
      <c r="A78" t="s">
        <v>149</v>
      </c>
      <c r="B78" s="2">
        <f t="shared" ca="1" si="1"/>
        <v>46134</v>
      </c>
      <c r="C78" t="s">
        <v>586</v>
      </c>
      <c r="D78" s="1">
        <v>0</v>
      </c>
      <c r="E78" t="s">
        <v>27</v>
      </c>
      <c r="F78" t="s">
        <v>75</v>
      </c>
      <c r="G78" t="s">
        <v>54</v>
      </c>
      <c r="H78">
        <v>28</v>
      </c>
      <c r="I78">
        <v>2</v>
      </c>
      <c r="J78" t="s">
        <v>617</v>
      </c>
      <c r="K78">
        <v>798</v>
      </c>
      <c r="L78">
        <v>0.6</v>
      </c>
      <c r="M78" t="s">
        <v>55</v>
      </c>
      <c r="N78" t="s">
        <v>48</v>
      </c>
      <c r="O78">
        <v>1</v>
      </c>
      <c r="P78" t="s">
        <v>35</v>
      </c>
    </row>
    <row r="79" spans="1:17" x14ac:dyDescent="0.25">
      <c r="A79" t="s">
        <v>150</v>
      </c>
      <c r="B79" s="2">
        <f t="shared" ca="1" si="1"/>
        <v>46062</v>
      </c>
      <c r="C79" t="s">
        <v>656</v>
      </c>
      <c r="D79" s="1">
        <v>0</v>
      </c>
      <c r="E79" t="s">
        <v>57</v>
      </c>
      <c r="F79" t="s">
        <v>70</v>
      </c>
      <c r="G79" t="s">
        <v>17</v>
      </c>
      <c r="H79">
        <v>56</v>
      </c>
      <c r="I79">
        <v>2.2000000000000002</v>
      </c>
      <c r="J79" t="s">
        <v>124</v>
      </c>
      <c r="K79">
        <v>920</v>
      </c>
      <c r="L79">
        <v>0.2</v>
      </c>
      <c r="M79" t="s">
        <v>60</v>
      </c>
      <c r="N79" t="s">
        <v>34</v>
      </c>
      <c r="O79">
        <v>10</v>
      </c>
      <c r="P79" t="s">
        <v>35</v>
      </c>
      <c r="Q79">
        <v>158</v>
      </c>
    </row>
    <row r="80" spans="1:17" x14ac:dyDescent="0.25">
      <c r="A80" t="s">
        <v>151</v>
      </c>
      <c r="B80" s="2">
        <f t="shared" ca="1" si="1"/>
        <v>46269</v>
      </c>
      <c r="C80" t="s">
        <v>657</v>
      </c>
      <c r="D80" s="1">
        <v>0</v>
      </c>
      <c r="E80" t="s">
        <v>36</v>
      </c>
      <c r="F80" t="s">
        <v>47</v>
      </c>
      <c r="G80" t="s">
        <v>50</v>
      </c>
      <c r="H80">
        <v>29</v>
      </c>
      <c r="I80">
        <v>2.9</v>
      </c>
      <c r="J80" t="s">
        <v>658</v>
      </c>
      <c r="K80">
        <v>2374</v>
      </c>
      <c r="L80">
        <v>50</v>
      </c>
      <c r="M80" t="s">
        <v>60</v>
      </c>
      <c r="N80" t="s">
        <v>48</v>
      </c>
      <c r="O80">
        <v>2</v>
      </c>
      <c r="P80" t="s">
        <v>35</v>
      </c>
      <c r="Q80">
        <v>112</v>
      </c>
    </row>
    <row r="81" spans="1:17" x14ac:dyDescent="0.25">
      <c r="A81" t="s">
        <v>152</v>
      </c>
      <c r="B81" s="2">
        <f t="shared" ca="1" si="1"/>
        <v>46291</v>
      </c>
      <c r="C81" t="s">
        <v>659</v>
      </c>
      <c r="D81" s="1">
        <v>0</v>
      </c>
      <c r="E81" t="s">
        <v>20</v>
      </c>
      <c r="F81" t="s">
        <v>32</v>
      </c>
      <c r="G81" t="s">
        <v>54</v>
      </c>
      <c r="H81">
        <v>39</v>
      </c>
      <c r="I81">
        <v>1.7</v>
      </c>
      <c r="J81" t="s">
        <v>595</v>
      </c>
      <c r="K81">
        <v>1196</v>
      </c>
      <c r="L81">
        <v>120</v>
      </c>
      <c r="M81" t="s">
        <v>55</v>
      </c>
      <c r="N81" t="s">
        <v>25</v>
      </c>
      <c r="O81">
        <v>8</v>
      </c>
      <c r="P81" t="s">
        <v>564</v>
      </c>
      <c r="Q81">
        <v>96</v>
      </c>
    </row>
    <row r="82" spans="1:17" x14ac:dyDescent="0.25">
      <c r="A82" t="s">
        <v>153</v>
      </c>
      <c r="B82" s="2">
        <f t="shared" ca="1" si="1"/>
        <v>46086</v>
      </c>
      <c r="C82" t="s">
        <v>660</v>
      </c>
      <c r="D82" s="1">
        <v>0</v>
      </c>
      <c r="E82" t="s">
        <v>564</v>
      </c>
      <c r="F82" t="s">
        <v>47</v>
      </c>
      <c r="G82" t="s">
        <v>78</v>
      </c>
      <c r="H82">
        <v>37</v>
      </c>
      <c r="I82">
        <v>2.8</v>
      </c>
      <c r="J82" t="s">
        <v>661</v>
      </c>
      <c r="K82">
        <v>1152</v>
      </c>
      <c r="L82">
        <v>0.5</v>
      </c>
      <c r="M82" t="s">
        <v>60</v>
      </c>
      <c r="N82" t="s">
        <v>564</v>
      </c>
      <c r="O82">
        <v>3</v>
      </c>
      <c r="P82" t="s">
        <v>30</v>
      </c>
      <c r="Q82">
        <v>24</v>
      </c>
    </row>
    <row r="83" spans="1:17" x14ac:dyDescent="0.25">
      <c r="A83" t="s">
        <v>154</v>
      </c>
      <c r="B83" s="2">
        <f t="shared" ca="1" si="1"/>
        <v>46220</v>
      </c>
      <c r="C83" t="s">
        <v>610</v>
      </c>
      <c r="D83" s="1">
        <v>0.76041666666666663</v>
      </c>
      <c r="E83" t="s">
        <v>662</v>
      </c>
      <c r="F83" t="s">
        <v>75</v>
      </c>
      <c r="G83" t="s">
        <v>54</v>
      </c>
      <c r="H83">
        <v>18</v>
      </c>
      <c r="I83">
        <v>1.4</v>
      </c>
      <c r="J83" t="s">
        <v>663</v>
      </c>
      <c r="K83">
        <v>1117</v>
      </c>
      <c r="L83">
        <v>120</v>
      </c>
      <c r="M83" t="s">
        <v>550</v>
      </c>
      <c r="N83" t="s">
        <v>25</v>
      </c>
      <c r="O83">
        <v>4</v>
      </c>
      <c r="P83" t="s">
        <v>68</v>
      </c>
      <c r="Q83">
        <v>67</v>
      </c>
    </row>
    <row r="84" spans="1:17" x14ac:dyDescent="0.25">
      <c r="A84" t="s">
        <v>155</v>
      </c>
      <c r="B84" s="2">
        <f t="shared" ca="1" si="1"/>
        <v>46250</v>
      </c>
      <c r="D84" s="1">
        <v>0</v>
      </c>
      <c r="E84" t="s">
        <v>90</v>
      </c>
      <c r="F84" t="s">
        <v>75</v>
      </c>
      <c r="G84" t="s">
        <v>78</v>
      </c>
      <c r="H84">
        <v>34</v>
      </c>
      <c r="I84">
        <v>1.4</v>
      </c>
      <c r="J84" t="s">
        <v>156</v>
      </c>
      <c r="K84">
        <v>2148</v>
      </c>
      <c r="L84">
        <v>100</v>
      </c>
      <c r="M84" t="s">
        <v>24</v>
      </c>
      <c r="N84" t="s">
        <v>25</v>
      </c>
      <c r="O84">
        <v>6</v>
      </c>
      <c r="P84" t="s">
        <v>35</v>
      </c>
      <c r="Q84">
        <v>162</v>
      </c>
    </row>
    <row r="85" spans="1:17" x14ac:dyDescent="0.25">
      <c r="A85" t="s">
        <v>157</v>
      </c>
      <c r="B85" s="2">
        <f t="shared" ca="1" si="1"/>
        <v>46231</v>
      </c>
      <c r="C85" t="s">
        <v>664</v>
      </c>
      <c r="D85" s="1">
        <v>0</v>
      </c>
      <c r="E85" t="s">
        <v>57</v>
      </c>
      <c r="F85" t="s">
        <v>39</v>
      </c>
      <c r="G85" t="s">
        <v>29</v>
      </c>
      <c r="H85">
        <v>46</v>
      </c>
      <c r="I85">
        <v>2.5</v>
      </c>
      <c r="J85" t="s">
        <v>665</v>
      </c>
      <c r="K85">
        <v>2173</v>
      </c>
      <c r="L85">
        <v>50</v>
      </c>
      <c r="M85" t="s">
        <v>566</v>
      </c>
      <c r="N85" t="s">
        <v>25</v>
      </c>
      <c r="O85">
        <v>0</v>
      </c>
      <c r="P85" t="s">
        <v>553</v>
      </c>
      <c r="Q85">
        <v>159</v>
      </c>
    </row>
    <row r="86" spans="1:17" x14ac:dyDescent="0.25">
      <c r="A86" t="s">
        <v>158</v>
      </c>
      <c r="B86" s="2">
        <f t="shared" ca="1" si="1"/>
        <v>46377</v>
      </c>
      <c r="C86" t="s">
        <v>666</v>
      </c>
      <c r="D86" s="1">
        <v>0.74375000000000002</v>
      </c>
      <c r="E86" t="s">
        <v>97</v>
      </c>
      <c r="F86" t="s">
        <v>58</v>
      </c>
      <c r="G86" t="s">
        <v>63</v>
      </c>
      <c r="H86">
        <v>49</v>
      </c>
      <c r="I86">
        <v>1.3</v>
      </c>
      <c r="J86" t="s">
        <v>609</v>
      </c>
      <c r="K86">
        <v>908</v>
      </c>
      <c r="L86">
        <v>120</v>
      </c>
      <c r="M86" t="s">
        <v>24</v>
      </c>
      <c r="N86" t="s">
        <v>25</v>
      </c>
      <c r="O86">
        <v>8</v>
      </c>
      <c r="P86" t="s">
        <v>68</v>
      </c>
      <c r="Q86">
        <v>136</v>
      </c>
    </row>
    <row r="87" spans="1:17" x14ac:dyDescent="0.25">
      <c r="A87" t="s">
        <v>159</v>
      </c>
      <c r="B87" s="2">
        <f t="shared" ca="1" si="1"/>
        <v>46250</v>
      </c>
      <c r="C87" t="s">
        <v>644</v>
      </c>
      <c r="D87" s="1">
        <v>0.12916666666666668</v>
      </c>
      <c r="E87" t="s">
        <v>97</v>
      </c>
      <c r="F87" t="s">
        <v>21</v>
      </c>
      <c r="G87" t="s">
        <v>22</v>
      </c>
      <c r="H87">
        <v>63</v>
      </c>
      <c r="I87">
        <v>3.9</v>
      </c>
      <c r="J87" t="s">
        <v>82</v>
      </c>
      <c r="K87">
        <v>500</v>
      </c>
      <c r="L87">
        <v>0.2</v>
      </c>
      <c r="M87" t="s">
        <v>83</v>
      </c>
      <c r="N87" t="s">
        <v>34</v>
      </c>
      <c r="O87">
        <v>7</v>
      </c>
      <c r="P87" t="s">
        <v>18</v>
      </c>
      <c r="Q87">
        <v>40</v>
      </c>
    </row>
    <row r="88" spans="1:17" x14ac:dyDescent="0.25">
      <c r="A88" t="s">
        <v>160</v>
      </c>
      <c r="B88" s="2">
        <f t="shared" ca="1" si="1"/>
        <v>46197</v>
      </c>
      <c r="C88" t="s">
        <v>594</v>
      </c>
      <c r="D88" s="1">
        <v>0</v>
      </c>
      <c r="E88" t="s">
        <v>564</v>
      </c>
      <c r="F88" t="s">
        <v>116</v>
      </c>
      <c r="G88" t="s">
        <v>63</v>
      </c>
      <c r="H88">
        <v>21</v>
      </c>
      <c r="I88">
        <v>2.7</v>
      </c>
      <c r="J88" t="s">
        <v>667</v>
      </c>
      <c r="K88">
        <v>1979</v>
      </c>
      <c r="L88">
        <v>50</v>
      </c>
      <c r="M88" t="s">
        <v>24</v>
      </c>
      <c r="N88" t="s">
        <v>25</v>
      </c>
      <c r="O88">
        <v>10</v>
      </c>
      <c r="P88" t="s">
        <v>553</v>
      </c>
      <c r="Q88">
        <v>238</v>
      </c>
    </row>
    <row r="89" spans="1:17" x14ac:dyDescent="0.25">
      <c r="A89" t="s">
        <v>161</v>
      </c>
      <c r="B89" s="2">
        <f t="shared" ca="1" si="1"/>
        <v>46274</v>
      </c>
      <c r="C89" t="s">
        <v>668</v>
      </c>
      <c r="D89" s="1">
        <v>0.85624999999999996</v>
      </c>
      <c r="E89" t="s">
        <v>27</v>
      </c>
      <c r="F89" t="s">
        <v>70</v>
      </c>
      <c r="G89" t="s">
        <v>81</v>
      </c>
      <c r="H89">
        <v>29</v>
      </c>
      <c r="I89">
        <v>3.8</v>
      </c>
      <c r="J89" t="s">
        <v>669</v>
      </c>
      <c r="K89">
        <v>1931</v>
      </c>
      <c r="L89">
        <v>150</v>
      </c>
      <c r="M89" t="s">
        <v>24</v>
      </c>
      <c r="N89" t="s">
        <v>48</v>
      </c>
      <c r="O89">
        <v>0</v>
      </c>
      <c r="P89" t="s">
        <v>564</v>
      </c>
      <c r="Q89">
        <v>32</v>
      </c>
    </row>
    <row r="90" spans="1:17" x14ac:dyDescent="0.25">
      <c r="A90" t="s">
        <v>162</v>
      </c>
      <c r="B90" s="2">
        <f t="shared" ca="1" si="1"/>
        <v>46173</v>
      </c>
      <c r="C90" t="s">
        <v>670</v>
      </c>
      <c r="D90" s="1">
        <v>0.40694444444444444</v>
      </c>
      <c r="E90" t="s">
        <v>109</v>
      </c>
      <c r="F90" t="s">
        <v>16</v>
      </c>
      <c r="G90" t="s">
        <v>17</v>
      </c>
      <c r="H90">
        <v>62</v>
      </c>
      <c r="I90">
        <v>3.7</v>
      </c>
      <c r="J90" t="s">
        <v>584</v>
      </c>
      <c r="K90">
        <v>1111</v>
      </c>
      <c r="L90">
        <v>120</v>
      </c>
      <c r="M90" t="s">
        <v>564</v>
      </c>
      <c r="N90" t="s">
        <v>48</v>
      </c>
      <c r="O90">
        <v>8</v>
      </c>
      <c r="P90" t="s">
        <v>30</v>
      </c>
      <c r="Q90">
        <v>134</v>
      </c>
    </row>
    <row r="91" spans="1:17" x14ac:dyDescent="0.25">
      <c r="A91" t="s">
        <v>163</v>
      </c>
      <c r="B91" s="2">
        <f t="shared" ca="1" si="1"/>
        <v>46265</v>
      </c>
      <c r="C91" t="s">
        <v>671</v>
      </c>
      <c r="D91" s="1">
        <v>0</v>
      </c>
      <c r="E91" t="s">
        <v>109</v>
      </c>
      <c r="F91" t="s">
        <v>70</v>
      </c>
      <c r="G91" t="s">
        <v>81</v>
      </c>
      <c r="H91">
        <v>39</v>
      </c>
      <c r="I91">
        <v>4.7</v>
      </c>
      <c r="J91" t="s">
        <v>320</v>
      </c>
      <c r="K91">
        <v>2330</v>
      </c>
      <c r="L91">
        <v>150</v>
      </c>
      <c r="M91" t="s">
        <v>83</v>
      </c>
      <c r="N91" t="s">
        <v>25</v>
      </c>
      <c r="O91">
        <v>4</v>
      </c>
      <c r="P91" t="s">
        <v>30</v>
      </c>
      <c r="Q91">
        <v>27</v>
      </c>
    </row>
    <row r="92" spans="1:17" x14ac:dyDescent="0.25">
      <c r="A92" t="s">
        <v>164</v>
      </c>
      <c r="B92" s="2">
        <f t="shared" ca="1" si="1"/>
        <v>46197</v>
      </c>
      <c r="C92" t="s">
        <v>640</v>
      </c>
      <c r="D92" s="1">
        <v>0</v>
      </c>
      <c r="E92" t="s">
        <v>577</v>
      </c>
      <c r="F92" t="s">
        <v>70</v>
      </c>
      <c r="G92" t="s">
        <v>50</v>
      </c>
      <c r="H92">
        <v>20</v>
      </c>
      <c r="I92">
        <v>2.2999999999999998</v>
      </c>
      <c r="J92" t="s">
        <v>669</v>
      </c>
      <c r="K92">
        <v>1038</v>
      </c>
      <c r="L92">
        <v>0.6</v>
      </c>
      <c r="M92" t="s">
        <v>60</v>
      </c>
      <c r="N92" t="s">
        <v>48</v>
      </c>
      <c r="O92">
        <v>2</v>
      </c>
      <c r="P92" t="s">
        <v>30</v>
      </c>
      <c r="Q92">
        <v>96</v>
      </c>
    </row>
    <row r="93" spans="1:17" x14ac:dyDescent="0.25">
      <c r="A93" t="s">
        <v>165</v>
      </c>
      <c r="B93" s="2">
        <f t="shared" ca="1" si="1"/>
        <v>46313</v>
      </c>
      <c r="C93" t="s">
        <v>640</v>
      </c>
      <c r="D93" s="1">
        <v>0</v>
      </c>
      <c r="E93" t="s">
        <v>53</v>
      </c>
      <c r="F93" t="s">
        <v>75</v>
      </c>
      <c r="G93" t="s">
        <v>564</v>
      </c>
      <c r="H93">
        <v>29</v>
      </c>
      <c r="I93">
        <v>3.2</v>
      </c>
      <c r="J93" t="s">
        <v>672</v>
      </c>
      <c r="K93">
        <v>2288</v>
      </c>
      <c r="L93">
        <v>100</v>
      </c>
      <c r="M93" t="s">
        <v>566</v>
      </c>
      <c r="N93" t="s">
        <v>25</v>
      </c>
      <c r="O93">
        <v>10</v>
      </c>
      <c r="P93" t="s">
        <v>18</v>
      </c>
      <c r="Q93">
        <v>226</v>
      </c>
    </row>
    <row r="94" spans="1:17" x14ac:dyDescent="0.25">
      <c r="A94" t="s">
        <v>166</v>
      </c>
      <c r="B94" s="2">
        <f t="shared" ca="1" si="1"/>
        <v>46098</v>
      </c>
      <c r="C94" t="s">
        <v>673</v>
      </c>
      <c r="D94" s="1">
        <v>0.25763888888888886</v>
      </c>
      <c r="E94" t="s">
        <v>97</v>
      </c>
      <c r="F94" t="s">
        <v>21</v>
      </c>
      <c r="G94" t="s">
        <v>78</v>
      </c>
      <c r="H94">
        <v>40</v>
      </c>
      <c r="I94">
        <v>3.6</v>
      </c>
      <c r="J94" t="s">
        <v>167</v>
      </c>
      <c r="K94">
        <v>286</v>
      </c>
      <c r="L94">
        <v>75</v>
      </c>
      <c r="M94" t="s">
        <v>83</v>
      </c>
      <c r="N94" t="s">
        <v>25</v>
      </c>
      <c r="O94">
        <v>1</v>
      </c>
      <c r="P94" t="s">
        <v>68</v>
      </c>
      <c r="Q94">
        <v>164</v>
      </c>
    </row>
    <row r="95" spans="1:17" x14ac:dyDescent="0.25">
      <c r="A95" t="s">
        <v>168</v>
      </c>
      <c r="B95" s="2">
        <f t="shared" ca="1" si="1"/>
        <v>46052</v>
      </c>
      <c r="C95" t="s">
        <v>674</v>
      </c>
      <c r="D95" s="1">
        <v>0</v>
      </c>
      <c r="E95" t="s">
        <v>66</v>
      </c>
      <c r="F95" t="s">
        <v>116</v>
      </c>
      <c r="G95" t="s">
        <v>17</v>
      </c>
      <c r="H95">
        <v>19</v>
      </c>
      <c r="I95">
        <v>3.5</v>
      </c>
      <c r="J95" t="s">
        <v>621</v>
      </c>
      <c r="K95">
        <v>1951</v>
      </c>
      <c r="L95">
        <v>0</v>
      </c>
      <c r="M95" t="s">
        <v>60</v>
      </c>
      <c r="N95" t="s">
        <v>34</v>
      </c>
      <c r="O95">
        <v>5</v>
      </c>
      <c r="P95" t="s">
        <v>30</v>
      </c>
      <c r="Q95">
        <v>51</v>
      </c>
    </row>
    <row r="96" spans="1:17" x14ac:dyDescent="0.25">
      <c r="A96" t="s">
        <v>169</v>
      </c>
      <c r="B96" s="2">
        <f t="shared" ca="1" si="1"/>
        <v>46227</v>
      </c>
      <c r="C96" t="s">
        <v>600</v>
      </c>
      <c r="D96" s="1">
        <v>0.23541666666666666</v>
      </c>
      <c r="E96" t="s">
        <v>109</v>
      </c>
      <c r="F96" t="s">
        <v>39</v>
      </c>
      <c r="G96" t="s">
        <v>22</v>
      </c>
      <c r="H96">
        <v>60</v>
      </c>
      <c r="I96">
        <v>4.5999999999999996</v>
      </c>
      <c r="J96" t="s">
        <v>675</v>
      </c>
      <c r="K96">
        <v>2305</v>
      </c>
      <c r="L96">
        <v>0</v>
      </c>
      <c r="M96" t="s">
        <v>24</v>
      </c>
      <c r="N96" t="s">
        <v>48</v>
      </c>
      <c r="O96">
        <v>3</v>
      </c>
      <c r="P96" t="s">
        <v>35</v>
      </c>
      <c r="Q96">
        <v>136</v>
      </c>
    </row>
    <row r="97" spans="1:17" x14ac:dyDescent="0.25">
      <c r="A97" t="s">
        <v>170</v>
      </c>
      <c r="B97" s="2">
        <f t="shared" ca="1" si="1"/>
        <v>46162</v>
      </c>
      <c r="C97" t="s">
        <v>653</v>
      </c>
      <c r="D97" s="1">
        <v>0</v>
      </c>
      <c r="E97" t="s">
        <v>577</v>
      </c>
      <c r="F97" t="s">
        <v>39</v>
      </c>
      <c r="G97" t="s">
        <v>81</v>
      </c>
      <c r="H97">
        <v>25</v>
      </c>
      <c r="I97">
        <v>2.7</v>
      </c>
      <c r="J97" t="s">
        <v>669</v>
      </c>
      <c r="K97">
        <v>1266</v>
      </c>
      <c r="L97">
        <v>0.15</v>
      </c>
      <c r="M97" t="s">
        <v>24</v>
      </c>
      <c r="N97" t="s">
        <v>25</v>
      </c>
      <c r="O97">
        <v>9</v>
      </c>
      <c r="P97" t="s">
        <v>18</v>
      </c>
      <c r="Q97">
        <v>25</v>
      </c>
    </row>
    <row r="98" spans="1:17" x14ac:dyDescent="0.25">
      <c r="A98" t="s">
        <v>171</v>
      </c>
      <c r="B98" s="2">
        <f t="shared" ca="1" si="1"/>
        <v>46142</v>
      </c>
      <c r="C98" t="s">
        <v>659</v>
      </c>
      <c r="D98" s="1">
        <v>0</v>
      </c>
      <c r="E98" t="s">
        <v>109</v>
      </c>
      <c r="F98" t="s">
        <v>58</v>
      </c>
      <c r="G98" t="s">
        <v>17</v>
      </c>
      <c r="H98">
        <v>40</v>
      </c>
      <c r="I98">
        <v>4</v>
      </c>
      <c r="J98" t="s">
        <v>561</v>
      </c>
      <c r="K98">
        <v>1133</v>
      </c>
      <c r="L98">
        <v>0</v>
      </c>
      <c r="M98" t="s">
        <v>60</v>
      </c>
      <c r="N98" t="s">
        <v>25</v>
      </c>
      <c r="O98">
        <v>2</v>
      </c>
      <c r="P98" t="s">
        <v>564</v>
      </c>
      <c r="Q98">
        <v>136</v>
      </c>
    </row>
    <row r="99" spans="1:17" x14ac:dyDescent="0.25">
      <c r="A99" t="s">
        <v>172</v>
      </c>
      <c r="B99" s="2">
        <f t="shared" ca="1" si="1"/>
        <v>46380</v>
      </c>
      <c r="C99" t="s">
        <v>676</v>
      </c>
      <c r="D99" s="1">
        <v>0.60555555555555551</v>
      </c>
      <c r="E99" t="s">
        <v>20</v>
      </c>
      <c r="F99" t="s">
        <v>58</v>
      </c>
      <c r="G99" t="s">
        <v>54</v>
      </c>
      <c r="H99">
        <v>54</v>
      </c>
      <c r="I99">
        <v>3.8</v>
      </c>
      <c r="J99" t="s">
        <v>677</v>
      </c>
      <c r="K99">
        <v>1900</v>
      </c>
      <c r="L99">
        <v>50</v>
      </c>
      <c r="M99" t="s">
        <v>550</v>
      </c>
      <c r="N99" t="s">
        <v>25</v>
      </c>
      <c r="O99">
        <v>7</v>
      </c>
      <c r="P99" t="s">
        <v>564</v>
      </c>
      <c r="Q99">
        <v>50</v>
      </c>
    </row>
    <row r="100" spans="1:17" x14ac:dyDescent="0.25">
      <c r="A100" t="s">
        <v>173</v>
      </c>
      <c r="B100" s="2">
        <f t="shared" ca="1" si="1"/>
        <v>46095</v>
      </c>
      <c r="C100" t="s">
        <v>616</v>
      </c>
      <c r="D100" s="1">
        <v>0</v>
      </c>
      <c r="E100" t="s">
        <v>548</v>
      </c>
      <c r="F100" t="s">
        <v>70</v>
      </c>
      <c r="G100" t="s">
        <v>29</v>
      </c>
      <c r="H100">
        <v>51</v>
      </c>
      <c r="I100">
        <v>1.1000000000000001</v>
      </c>
      <c r="J100" t="s">
        <v>672</v>
      </c>
      <c r="K100">
        <v>1584</v>
      </c>
      <c r="L100">
        <v>0.1</v>
      </c>
      <c r="M100" t="s">
        <v>55</v>
      </c>
      <c r="N100" t="s">
        <v>25</v>
      </c>
      <c r="O100">
        <v>0</v>
      </c>
      <c r="P100" t="s">
        <v>553</v>
      </c>
      <c r="Q100">
        <v>14</v>
      </c>
    </row>
    <row r="101" spans="1:17" x14ac:dyDescent="0.25">
      <c r="A101" t="s">
        <v>174</v>
      </c>
      <c r="B101" s="2">
        <f t="shared" ca="1" si="1"/>
        <v>46167</v>
      </c>
      <c r="C101" t="s">
        <v>678</v>
      </c>
      <c r="D101" s="1">
        <v>0.3215277777777778</v>
      </c>
      <c r="E101" t="s">
        <v>53</v>
      </c>
      <c r="F101" t="s">
        <v>39</v>
      </c>
      <c r="G101" t="s">
        <v>81</v>
      </c>
      <c r="H101">
        <v>52</v>
      </c>
      <c r="I101">
        <v>3.3</v>
      </c>
      <c r="J101" t="s">
        <v>630</v>
      </c>
      <c r="K101">
        <v>1460</v>
      </c>
      <c r="L101">
        <v>100</v>
      </c>
      <c r="M101" t="s">
        <v>24</v>
      </c>
      <c r="N101" t="s">
        <v>25</v>
      </c>
      <c r="O101">
        <v>4</v>
      </c>
      <c r="P101" t="s">
        <v>553</v>
      </c>
      <c r="Q101">
        <v>56</v>
      </c>
    </row>
    <row r="102" spans="1:17" x14ac:dyDescent="0.25">
      <c r="A102" t="s">
        <v>175</v>
      </c>
      <c r="B102" s="2">
        <f t="shared" ca="1" si="1"/>
        <v>46102</v>
      </c>
      <c r="C102" t="s">
        <v>651</v>
      </c>
      <c r="D102" s="1">
        <v>0</v>
      </c>
      <c r="E102" t="s">
        <v>57</v>
      </c>
      <c r="F102" t="s">
        <v>21</v>
      </c>
      <c r="G102" t="s">
        <v>29</v>
      </c>
      <c r="H102">
        <v>30</v>
      </c>
      <c r="I102">
        <v>2</v>
      </c>
      <c r="J102" t="s">
        <v>672</v>
      </c>
      <c r="K102">
        <v>603</v>
      </c>
      <c r="L102">
        <v>50</v>
      </c>
      <c r="M102" t="s">
        <v>550</v>
      </c>
      <c r="N102" t="s">
        <v>25</v>
      </c>
      <c r="O102">
        <v>1</v>
      </c>
      <c r="P102" t="s">
        <v>35</v>
      </c>
      <c r="Q102">
        <v>216</v>
      </c>
    </row>
    <row r="103" spans="1:17" x14ac:dyDescent="0.25">
      <c r="A103" t="s">
        <v>176</v>
      </c>
      <c r="B103" s="2">
        <f t="shared" ca="1" si="1"/>
        <v>46042</v>
      </c>
      <c r="C103" t="s">
        <v>679</v>
      </c>
      <c r="D103" s="1">
        <v>0</v>
      </c>
      <c r="E103" t="s">
        <v>53</v>
      </c>
      <c r="F103" t="s">
        <v>564</v>
      </c>
      <c r="G103" t="s">
        <v>50</v>
      </c>
      <c r="H103">
        <v>62</v>
      </c>
      <c r="I103">
        <v>2.2999999999999998</v>
      </c>
      <c r="J103" t="s">
        <v>320</v>
      </c>
      <c r="K103">
        <v>1724</v>
      </c>
      <c r="L103">
        <v>0.2</v>
      </c>
      <c r="M103" t="s">
        <v>83</v>
      </c>
      <c r="N103" t="s">
        <v>48</v>
      </c>
      <c r="O103">
        <v>8</v>
      </c>
      <c r="P103" t="s">
        <v>35</v>
      </c>
      <c r="Q103">
        <v>43</v>
      </c>
    </row>
    <row r="104" spans="1:17" x14ac:dyDescent="0.25">
      <c r="A104" t="s">
        <v>177</v>
      </c>
      <c r="B104" s="2">
        <f t="shared" ca="1" si="1"/>
        <v>46094</v>
      </c>
      <c r="C104" t="s">
        <v>680</v>
      </c>
      <c r="D104" s="1">
        <v>0.81874999999999998</v>
      </c>
      <c r="E104" t="s">
        <v>548</v>
      </c>
      <c r="F104" t="s">
        <v>47</v>
      </c>
      <c r="G104" t="s">
        <v>33</v>
      </c>
      <c r="H104">
        <v>51</v>
      </c>
      <c r="I104">
        <v>2.2999999999999998</v>
      </c>
      <c r="J104" t="s">
        <v>681</v>
      </c>
      <c r="K104">
        <v>1458</v>
      </c>
      <c r="L104">
        <v>0.15</v>
      </c>
      <c r="M104" t="s">
        <v>550</v>
      </c>
      <c r="N104" t="s">
        <v>25</v>
      </c>
      <c r="O104">
        <v>9</v>
      </c>
      <c r="P104" t="s">
        <v>41</v>
      </c>
      <c r="Q104">
        <v>73</v>
      </c>
    </row>
    <row r="105" spans="1:17" x14ac:dyDescent="0.25">
      <c r="A105" t="s">
        <v>556</v>
      </c>
      <c r="B105" s="2">
        <f t="shared" ca="1" si="1"/>
        <v>46355</v>
      </c>
      <c r="C105" t="s">
        <v>682</v>
      </c>
      <c r="D105" s="1">
        <v>0.33333333333333331</v>
      </c>
      <c r="E105" t="s">
        <v>27</v>
      </c>
      <c r="F105" t="s">
        <v>75</v>
      </c>
      <c r="G105" t="s">
        <v>564</v>
      </c>
      <c r="H105">
        <v>23</v>
      </c>
      <c r="I105">
        <v>3.5</v>
      </c>
      <c r="J105" t="s">
        <v>178</v>
      </c>
      <c r="K105">
        <v>2227</v>
      </c>
      <c r="L105">
        <v>0.2</v>
      </c>
      <c r="M105" t="s">
        <v>566</v>
      </c>
      <c r="N105" t="s">
        <v>25</v>
      </c>
      <c r="O105">
        <v>8</v>
      </c>
      <c r="P105" t="s">
        <v>35</v>
      </c>
      <c r="Q105">
        <v>10</v>
      </c>
    </row>
    <row r="106" spans="1:17" x14ac:dyDescent="0.25">
      <c r="A106" t="s">
        <v>179</v>
      </c>
      <c r="B106" s="2">
        <f t="shared" ca="1" si="1"/>
        <v>46354</v>
      </c>
      <c r="C106" t="s">
        <v>683</v>
      </c>
      <c r="D106" s="1">
        <v>0</v>
      </c>
      <c r="E106" t="s">
        <v>90</v>
      </c>
      <c r="F106" t="s">
        <v>70</v>
      </c>
      <c r="G106" t="s">
        <v>78</v>
      </c>
      <c r="H106">
        <v>18</v>
      </c>
      <c r="I106">
        <v>4</v>
      </c>
      <c r="J106" t="s">
        <v>180</v>
      </c>
      <c r="K106">
        <v>500</v>
      </c>
      <c r="L106">
        <v>100</v>
      </c>
      <c r="M106" t="s">
        <v>564</v>
      </c>
      <c r="N106" t="s">
        <v>25</v>
      </c>
      <c r="O106">
        <v>9</v>
      </c>
      <c r="P106" t="s">
        <v>68</v>
      </c>
      <c r="Q106">
        <v>64</v>
      </c>
    </row>
    <row r="107" spans="1:17" x14ac:dyDescent="0.25">
      <c r="A107" t="s">
        <v>181</v>
      </c>
      <c r="B107" s="2">
        <f t="shared" ca="1" si="1"/>
        <v>46374</v>
      </c>
      <c r="C107" t="s">
        <v>684</v>
      </c>
      <c r="D107" s="1">
        <v>0</v>
      </c>
      <c r="E107" t="s">
        <v>57</v>
      </c>
      <c r="F107" t="s">
        <v>43</v>
      </c>
      <c r="G107" t="s">
        <v>182</v>
      </c>
      <c r="H107">
        <v>58</v>
      </c>
      <c r="I107">
        <v>2.8</v>
      </c>
      <c r="J107" t="s">
        <v>559</v>
      </c>
      <c r="K107">
        <v>500</v>
      </c>
      <c r="L107">
        <v>0</v>
      </c>
      <c r="M107" t="s">
        <v>564</v>
      </c>
      <c r="N107" t="s">
        <v>25</v>
      </c>
      <c r="O107">
        <v>1</v>
      </c>
      <c r="P107" t="s">
        <v>30</v>
      </c>
      <c r="Q107">
        <v>8</v>
      </c>
    </row>
    <row r="108" spans="1:17" x14ac:dyDescent="0.25">
      <c r="A108" t="s">
        <v>183</v>
      </c>
      <c r="B108" s="2">
        <f t="shared" ca="1" si="1"/>
        <v>46047</v>
      </c>
      <c r="C108" t="s">
        <v>685</v>
      </c>
      <c r="D108" s="1">
        <v>0.65902777777777777</v>
      </c>
      <c r="E108" t="s">
        <v>36</v>
      </c>
      <c r="F108" t="s">
        <v>58</v>
      </c>
      <c r="G108" t="s">
        <v>81</v>
      </c>
      <c r="H108">
        <v>33</v>
      </c>
      <c r="I108">
        <v>4.9000000000000004</v>
      </c>
      <c r="J108" t="s">
        <v>156</v>
      </c>
      <c r="K108">
        <v>594</v>
      </c>
      <c r="L108">
        <v>0</v>
      </c>
      <c r="M108" t="s">
        <v>24</v>
      </c>
      <c r="N108" t="s">
        <v>48</v>
      </c>
      <c r="O108">
        <v>9</v>
      </c>
      <c r="P108" t="s">
        <v>41</v>
      </c>
      <c r="Q108">
        <v>19</v>
      </c>
    </row>
    <row r="109" spans="1:17" x14ac:dyDescent="0.25">
      <c r="A109" t="s">
        <v>184</v>
      </c>
      <c r="B109" s="2">
        <f t="shared" ca="1" si="1"/>
        <v>46075</v>
      </c>
      <c r="C109" t="s">
        <v>686</v>
      </c>
      <c r="D109" s="1">
        <v>0.33541666666666664</v>
      </c>
      <c r="E109" t="s">
        <v>564</v>
      </c>
      <c r="F109" t="s">
        <v>43</v>
      </c>
      <c r="G109" t="s">
        <v>33</v>
      </c>
      <c r="H109">
        <v>23</v>
      </c>
      <c r="I109">
        <v>3</v>
      </c>
      <c r="J109" t="s">
        <v>661</v>
      </c>
      <c r="K109">
        <v>2335</v>
      </c>
      <c r="L109">
        <v>0</v>
      </c>
      <c r="M109" t="s">
        <v>60</v>
      </c>
      <c r="N109" t="s">
        <v>34</v>
      </c>
      <c r="O109">
        <v>6</v>
      </c>
      <c r="P109" t="s">
        <v>35</v>
      </c>
      <c r="Q109">
        <v>45</v>
      </c>
    </row>
    <row r="110" spans="1:17" x14ac:dyDescent="0.25">
      <c r="A110" t="s">
        <v>185</v>
      </c>
      <c r="B110" s="2">
        <f t="shared" ca="1" si="1"/>
        <v>46235</v>
      </c>
      <c r="C110" t="s">
        <v>687</v>
      </c>
      <c r="D110" s="1">
        <v>0</v>
      </c>
      <c r="E110" t="s">
        <v>27</v>
      </c>
      <c r="F110" t="s">
        <v>21</v>
      </c>
      <c r="G110" t="s">
        <v>17</v>
      </c>
      <c r="H110">
        <v>52</v>
      </c>
      <c r="I110">
        <v>1</v>
      </c>
      <c r="J110" t="s">
        <v>630</v>
      </c>
      <c r="K110">
        <v>1866</v>
      </c>
      <c r="L110">
        <v>75</v>
      </c>
      <c r="M110" t="s">
        <v>83</v>
      </c>
      <c r="N110" t="s">
        <v>25</v>
      </c>
      <c r="O110">
        <v>9</v>
      </c>
      <c r="P110" t="s">
        <v>30</v>
      </c>
      <c r="Q110">
        <v>132</v>
      </c>
    </row>
    <row r="111" spans="1:17" x14ac:dyDescent="0.25">
      <c r="A111" t="s">
        <v>186</v>
      </c>
      <c r="B111" s="2">
        <f t="shared" ca="1" si="1"/>
        <v>46182</v>
      </c>
      <c r="C111" t="s">
        <v>591</v>
      </c>
      <c r="D111" s="1">
        <v>0</v>
      </c>
      <c r="E111" t="s">
        <v>53</v>
      </c>
      <c r="F111" t="s">
        <v>58</v>
      </c>
      <c r="G111" t="s">
        <v>81</v>
      </c>
      <c r="H111">
        <v>18</v>
      </c>
      <c r="I111">
        <v>3.6</v>
      </c>
      <c r="J111" t="s">
        <v>581</v>
      </c>
      <c r="K111">
        <v>1234</v>
      </c>
      <c r="L111">
        <v>0.5</v>
      </c>
      <c r="M111" t="s">
        <v>60</v>
      </c>
      <c r="N111" t="s">
        <v>25</v>
      </c>
      <c r="O111">
        <v>4</v>
      </c>
      <c r="P111" t="s">
        <v>41</v>
      </c>
      <c r="Q111">
        <v>95</v>
      </c>
    </row>
    <row r="112" spans="1:17" x14ac:dyDescent="0.25">
      <c r="A112" t="s">
        <v>187</v>
      </c>
      <c r="B112" s="2">
        <f t="shared" ca="1" si="1"/>
        <v>46037</v>
      </c>
      <c r="C112" t="s">
        <v>587</v>
      </c>
      <c r="D112" s="1">
        <v>0</v>
      </c>
      <c r="E112" t="s">
        <v>31</v>
      </c>
      <c r="F112" t="s">
        <v>21</v>
      </c>
      <c r="G112" t="s">
        <v>29</v>
      </c>
      <c r="H112">
        <v>56</v>
      </c>
      <c r="I112">
        <v>2.4</v>
      </c>
      <c r="J112" t="s">
        <v>623</v>
      </c>
      <c r="K112">
        <v>2131</v>
      </c>
      <c r="L112">
        <v>150</v>
      </c>
      <c r="M112" t="s">
        <v>60</v>
      </c>
      <c r="N112" t="s">
        <v>25</v>
      </c>
      <c r="O112">
        <v>8</v>
      </c>
      <c r="P112" t="s">
        <v>564</v>
      </c>
      <c r="Q112">
        <v>69</v>
      </c>
    </row>
    <row r="113" spans="1:17" x14ac:dyDescent="0.25">
      <c r="A113" t="s">
        <v>556</v>
      </c>
      <c r="B113" s="2">
        <f t="shared" ca="1" si="1"/>
        <v>46371</v>
      </c>
      <c r="D113" s="1">
        <v>0</v>
      </c>
      <c r="E113" t="s">
        <v>53</v>
      </c>
      <c r="F113" t="s">
        <v>43</v>
      </c>
      <c r="G113" t="s">
        <v>59</v>
      </c>
      <c r="H113">
        <v>34</v>
      </c>
      <c r="I113">
        <v>3.3</v>
      </c>
      <c r="J113" t="s">
        <v>188</v>
      </c>
      <c r="K113">
        <v>835</v>
      </c>
      <c r="L113">
        <v>50</v>
      </c>
      <c r="M113" t="s">
        <v>24</v>
      </c>
      <c r="N113" t="s">
        <v>25</v>
      </c>
      <c r="O113">
        <v>2</v>
      </c>
      <c r="P113" t="s">
        <v>41</v>
      </c>
      <c r="Q113">
        <v>187</v>
      </c>
    </row>
    <row r="114" spans="1:17" x14ac:dyDescent="0.25">
      <c r="A114" t="s">
        <v>189</v>
      </c>
      <c r="B114" s="2">
        <f t="shared" ca="1" si="1"/>
        <v>46245</v>
      </c>
      <c r="C114" t="s">
        <v>688</v>
      </c>
      <c r="D114" s="1">
        <v>0</v>
      </c>
      <c r="E114" t="s">
        <v>57</v>
      </c>
      <c r="F114" t="s">
        <v>116</v>
      </c>
      <c r="G114" t="s">
        <v>190</v>
      </c>
      <c r="H114">
        <v>38</v>
      </c>
      <c r="I114">
        <v>1.9</v>
      </c>
      <c r="J114" t="s">
        <v>191</v>
      </c>
      <c r="K114">
        <v>2494</v>
      </c>
      <c r="L114">
        <v>120</v>
      </c>
      <c r="M114" t="s">
        <v>83</v>
      </c>
      <c r="N114" t="s">
        <v>34</v>
      </c>
      <c r="O114">
        <v>1</v>
      </c>
      <c r="P114" t="s">
        <v>41</v>
      </c>
      <c r="Q114">
        <v>86</v>
      </c>
    </row>
    <row r="115" spans="1:17" x14ac:dyDescent="0.25">
      <c r="A115" t="s">
        <v>192</v>
      </c>
      <c r="B115" s="2">
        <f t="shared" ca="1" si="1"/>
        <v>46248</v>
      </c>
      <c r="C115" t="s">
        <v>592</v>
      </c>
      <c r="D115" s="1">
        <v>0</v>
      </c>
      <c r="E115" t="s">
        <v>90</v>
      </c>
      <c r="F115" t="s">
        <v>47</v>
      </c>
      <c r="G115" t="s">
        <v>63</v>
      </c>
      <c r="H115">
        <v>38</v>
      </c>
      <c r="I115">
        <v>3.6</v>
      </c>
      <c r="J115" t="s">
        <v>639</v>
      </c>
      <c r="K115">
        <v>2471</v>
      </c>
      <c r="L115">
        <v>100</v>
      </c>
      <c r="M115" t="s">
        <v>83</v>
      </c>
      <c r="N115" t="s">
        <v>34</v>
      </c>
      <c r="O115">
        <v>2</v>
      </c>
      <c r="P115" t="s">
        <v>18</v>
      </c>
      <c r="Q115">
        <v>125</v>
      </c>
    </row>
    <row r="116" spans="1:17" x14ac:dyDescent="0.25">
      <c r="A116" t="s">
        <v>193</v>
      </c>
      <c r="B116" s="2">
        <f t="shared" ca="1" si="1"/>
        <v>46125</v>
      </c>
      <c r="C116" t="s">
        <v>689</v>
      </c>
      <c r="D116" s="1">
        <v>0</v>
      </c>
      <c r="E116" t="s">
        <v>31</v>
      </c>
      <c r="F116" t="s">
        <v>47</v>
      </c>
      <c r="G116" t="s">
        <v>17</v>
      </c>
      <c r="H116">
        <v>59</v>
      </c>
      <c r="I116">
        <v>4.7</v>
      </c>
      <c r="J116" t="s">
        <v>677</v>
      </c>
      <c r="K116">
        <v>558</v>
      </c>
      <c r="L116">
        <v>0.1</v>
      </c>
      <c r="M116" t="s">
        <v>60</v>
      </c>
      <c r="N116" t="s">
        <v>25</v>
      </c>
      <c r="O116">
        <v>5</v>
      </c>
      <c r="P116" t="s">
        <v>30</v>
      </c>
      <c r="Q116">
        <v>19</v>
      </c>
    </row>
    <row r="117" spans="1:17" x14ac:dyDescent="0.25">
      <c r="A117" t="s">
        <v>194</v>
      </c>
      <c r="B117" s="2">
        <f t="shared" ca="1" si="1"/>
        <v>46293</v>
      </c>
      <c r="C117" t="s">
        <v>560</v>
      </c>
      <c r="D117" s="1">
        <v>0</v>
      </c>
      <c r="E117" t="s">
        <v>53</v>
      </c>
      <c r="F117" t="s">
        <v>21</v>
      </c>
      <c r="G117" t="s">
        <v>50</v>
      </c>
      <c r="H117">
        <v>32</v>
      </c>
      <c r="I117">
        <v>2.5</v>
      </c>
      <c r="J117" t="s">
        <v>555</v>
      </c>
      <c r="K117">
        <v>2323</v>
      </c>
      <c r="L117">
        <v>0.15</v>
      </c>
      <c r="M117" t="s">
        <v>55</v>
      </c>
      <c r="N117" t="s">
        <v>25</v>
      </c>
      <c r="O117">
        <v>4</v>
      </c>
      <c r="P117" t="s">
        <v>35</v>
      </c>
      <c r="Q117">
        <v>163</v>
      </c>
    </row>
    <row r="118" spans="1:17" x14ac:dyDescent="0.25">
      <c r="A118" t="s">
        <v>195</v>
      </c>
      <c r="B118" s="2">
        <f t="shared" ca="1" si="1"/>
        <v>46376</v>
      </c>
      <c r="C118" t="s">
        <v>690</v>
      </c>
      <c r="D118" s="1">
        <v>0</v>
      </c>
      <c r="E118" t="s">
        <v>31</v>
      </c>
      <c r="F118" t="s">
        <v>196</v>
      </c>
      <c r="G118" t="s">
        <v>22</v>
      </c>
      <c r="H118">
        <v>51</v>
      </c>
      <c r="I118">
        <v>4.9000000000000004</v>
      </c>
      <c r="J118" t="s">
        <v>197</v>
      </c>
      <c r="K118">
        <v>1067</v>
      </c>
      <c r="L118">
        <v>100</v>
      </c>
      <c r="M118" t="s">
        <v>55</v>
      </c>
      <c r="N118" t="s">
        <v>25</v>
      </c>
      <c r="O118">
        <v>2</v>
      </c>
      <c r="P118" t="s">
        <v>553</v>
      </c>
      <c r="Q118">
        <v>113</v>
      </c>
    </row>
    <row r="119" spans="1:17" x14ac:dyDescent="0.25">
      <c r="A119" t="s">
        <v>198</v>
      </c>
      <c r="B119" s="2">
        <f t="shared" ca="1" si="1"/>
        <v>46323</v>
      </c>
      <c r="D119" s="1">
        <v>0</v>
      </c>
      <c r="E119" t="s">
        <v>66</v>
      </c>
      <c r="F119" t="s">
        <v>43</v>
      </c>
      <c r="G119" t="s">
        <v>29</v>
      </c>
      <c r="H119">
        <v>41</v>
      </c>
      <c r="I119">
        <v>3.8</v>
      </c>
      <c r="J119" t="s">
        <v>667</v>
      </c>
      <c r="K119">
        <v>1577</v>
      </c>
      <c r="L119">
        <v>0</v>
      </c>
      <c r="M119" t="s">
        <v>55</v>
      </c>
      <c r="N119" t="s">
        <v>34</v>
      </c>
      <c r="O119">
        <v>1</v>
      </c>
      <c r="P119" t="s">
        <v>35</v>
      </c>
      <c r="Q119">
        <v>237</v>
      </c>
    </row>
    <row r="120" spans="1:17" x14ac:dyDescent="0.25">
      <c r="A120" t="s">
        <v>199</v>
      </c>
      <c r="B120" s="2">
        <f t="shared" ca="1" si="1"/>
        <v>46187</v>
      </c>
      <c r="C120" t="s">
        <v>691</v>
      </c>
      <c r="D120" s="1">
        <v>4.8611111111111112E-3</v>
      </c>
      <c r="E120" t="s">
        <v>564</v>
      </c>
      <c r="F120" t="s">
        <v>21</v>
      </c>
      <c r="G120" t="s">
        <v>54</v>
      </c>
      <c r="H120">
        <v>23</v>
      </c>
      <c r="I120">
        <v>1</v>
      </c>
      <c r="J120" t="s">
        <v>692</v>
      </c>
      <c r="K120">
        <v>1595</v>
      </c>
      <c r="L120">
        <v>0</v>
      </c>
      <c r="M120" t="s">
        <v>571</v>
      </c>
      <c r="N120" t="s">
        <v>25</v>
      </c>
      <c r="O120">
        <v>2</v>
      </c>
      <c r="P120" t="s">
        <v>18</v>
      </c>
      <c r="Q120">
        <v>27</v>
      </c>
    </row>
    <row r="121" spans="1:17" x14ac:dyDescent="0.25">
      <c r="A121" t="s">
        <v>200</v>
      </c>
      <c r="B121" s="2">
        <f t="shared" ca="1" si="1"/>
        <v>46154</v>
      </c>
      <c r="C121" t="s">
        <v>693</v>
      </c>
      <c r="D121" s="1">
        <v>0</v>
      </c>
      <c r="E121" t="s">
        <v>66</v>
      </c>
      <c r="F121" t="s">
        <v>43</v>
      </c>
      <c r="G121" t="s">
        <v>201</v>
      </c>
      <c r="H121">
        <v>62</v>
      </c>
      <c r="I121">
        <v>2.2999999999999998</v>
      </c>
      <c r="J121" t="s">
        <v>694</v>
      </c>
      <c r="K121">
        <v>1776</v>
      </c>
      <c r="L121">
        <v>0.6</v>
      </c>
      <c r="M121" t="s">
        <v>550</v>
      </c>
      <c r="N121" t="s">
        <v>48</v>
      </c>
      <c r="O121">
        <v>10</v>
      </c>
      <c r="P121" t="s">
        <v>41</v>
      </c>
      <c r="Q121">
        <v>106</v>
      </c>
    </row>
    <row r="122" spans="1:17" x14ac:dyDescent="0.25">
      <c r="A122" t="s">
        <v>202</v>
      </c>
      <c r="B122" s="2">
        <f t="shared" ca="1" si="1"/>
        <v>46068</v>
      </c>
      <c r="C122" t="s">
        <v>679</v>
      </c>
      <c r="D122" s="1">
        <v>0</v>
      </c>
      <c r="E122" t="s">
        <v>20</v>
      </c>
      <c r="F122" t="s">
        <v>75</v>
      </c>
      <c r="G122" t="s">
        <v>44</v>
      </c>
      <c r="H122">
        <v>18</v>
      </c>
      <c r="I122">
        <v>3.8</v>
      </c>
      <c r="J122" t="s">
        <v>597</v>
      </c>
      <c r="K122">
        <v>852</v>
      </c>
      <c r="L122">
        <v>0.1</v>
      </c>
      <c r="M122" t="s">
        <v>550</v>
      </c>
      <c r="N122" t="s">
        <v>25</v>
      </c>
      <c r="O122">
        <v>6</v>
      </c>
      <c r="P122" t="s">
        <v>553</v>
      </c>
      <c r="Q122">
        <v>68</v>
      </c>
    </row>
    <row r="123" spans="1:17" x14ac:dyDescent="0.25">
      <c r="A123" t="s">
        <v>203</v>
      </c>
      <c r="B123" s="2">
        <f t="shared" ca="1" si="1"/>
        <v>46264</v>
      </c>
      <c r="C123" t="s">
        <v>567</v>
      </c>
      <c r="D123" s="1">
        <v>0</v>
      </c>
      <c r="E123" t="s">
        <v>57</v>
      </c>
      <c r="F123" t="s">
        <v>116</v>
      </c>
      <c r="G123" t="s">
        <v>22</v>
      </c>
      <c r="H123">
        <v>22</v>
      </c>
      <c r="I123">
        <v>2.1</v>
      </c>
      <c r="J123" t="s">
        <v>320</v>
      </c>
      <c r="K123">
        <v>2461</v>
      </c>
      <c r="L123">
        <v>120</v>
      </c>
      <c r="M123" t="s">
        <v>83</v>
      </c>
      <c r="N123" t="s">
        <v>48</v>
      </c>
      <c r="O123">
        <v>0</v>
      </c>
      <c r="P123" t="s">
        <v>35</v>
      </c>
      <c r="Q123">
        <v>43</v>
      </c>
    </row>
    <row r="124" spans="1:17" x14ac:dyDescent="0.25">
      <c r="A124" t="s">
        <v>204</v>
      </c>
      <c r="B124" s="2">
        <f t="shared" ca="1" si="1"/>
        <v>46096</v>
      </c>
      <c r="C124" t="s">
        <v>695</v>
      </c>
      <c r="D124" s="1">
        <v>0</v>
      </c>
      <c r="E124" t="s">
        <v>601</v>
      </c>
      <c r="F124" t="s">
        <v>21</v>
      </c>
      <c r="G124" t="s">
        <v>54</v>
      </c>
      <c r="H124">
        <v>24</v>
      </c>
      <c r="I124">
        <v>4.8</v>
      </c>
      <c r="J124" t="s">
        <v>604</v>
      </c>
      <c r="K124">
        <v>500</v>
      </c>
      <c r="L124">
        <v>0.6</v>
      </c>
      <c r="M124" t="s">
        <v>564</v>
      </c>
      <c r="N124" t="s">
        <v>25</v>
      </c>
      <c r="O124">
        <v>8</v>
      </c>
      <c r="P124" t="s">
        <v>18</v>
      </c>
    </row>
    <row r="125" spans="1:17" x14ac:dyDescent="0.25">
      <c r="A125" t="s">
        <v>205</v>
      </c>
      <c r="B125" s="2">
        <f t="shared" ca="1" si="1"/>
        <v>46313</v>
      </c>
      <c r="C125" t="s">
        <v>696</v>
      </c>
      <c r="D125" s="1">
        <v>0</v>
      </c>
      <c r="E125" t="s">
        <v>20</v>
      </c>
      <c r="F125" t="s">
        <v>39</v>
      </c>
      <c r="G125" t="s">
        <v>17</v>
      </c>
      <c r="H125">
        <v>27</v>
      </c>
      <c r="I125">
        <v>4.2</v>
      </c>
      <c r="J125" t="s">
        <v>639</v>
      </c>
      <c r="K125">
        <v>290</v>
      </c>
      <c r="L125">
        <v>0.5</v>
      </c>
      <c r="M125" t="s">
        <v>550</v>
      </c>
      <c r="N125" t="s">
        <v>25</v>
      </c>
      <c r="O125">
        <v>10</v>
      </c>
      <c r="P125" t="s">
        <v>41</v>
      </c>
      <c r="Q125">
        <v>67</v>
      </c>
    </row>
    <row r="126" spans="1:17" x14ac:dyDescent="0.25">
      <c r="A126" t="s">
        <v>206</v>
      </c>
      <c r="B126" s="2">
        <f t="shared" ca="1" si="1"/>
        <v>46343</v>
      </c>
      <c r="C126" t="s">
        <v>697</v>
      </c>
      <c r="D126" s="1">
        <v>0</v>
      </c>
      <c r="E126" t="s">
        <v>548</v>
      </c>
      <c r="F126" t="s">
        <v>21</v>
      </c>
      <c r="G126" t="s">
        <v>54</v>
      </c>
      <c r="H126">
        <v>34</v>
      </c>
      <c r="I126">
        <v>2.6</v>
      </c>
      <c r="J126" t="s">
        <v>570</v>
      </c>
      <c r="K126">
        <v>1997</v>
      </c>
      <c r="L126">
        <v>0</v>
      </c>
      <c r="M126" t="s">
        <v>550</v>
      </c>
      <c r="N126" t="s">
        <v>34</v>
      </c>
      <c r="O126">
        <v>9</v>
      </c>
      <c r="P126" t="s">
        <v>18</v>
      </c>
      <c r="Q126">
        <v>45</v>
      </c>
    </row>
    <row r="127" spans="1:17" x14ac:dyDescent="0.25">
      <c r="A127" t="s">
        <v>207</v>
      </c>
      <c r="B127" s="2">
        <f t="shared" ca="1" si="1"/>
        <v>46065</v>
      </c>
      <c r="C127" t="s">
        <v>698</v>
      </c>
      <c r="D127" s="1">
        <v>0</v>
      </c>
      <c r="E127" t="s">
        <v>53</v>
      </c>
      <c r="F127" t="s">
        <v>32</v>
      </c>
      <c r="G127" t="s">
        <v>44</v>
      </c>
      <c r="H127">
        <v>60</v>
      </c>
      <c r="I127">
        <v>4.7</v>
      </c>
      <c r="J127" t="s">
        <v>559</v>
      </c>
      <c r="K127">
        <v>392</v>
      </c>
      <c r="L127">
        <v>0.1</v>
      </c>
      <c r="M127" t="s">
        <v>566</v>
      </c>
      <c r="N127" t="s">
        <v>25</v>
      </c>
      <c r="O127">
        <v>6</v>
      </c>
      <c r="P127" t="s">
        <v>35</v>
      </c>
      <c r="Q127">
        <v>8</v>
      </c>
    </row>
    <row r="128" spans="1:17" x14ac:dyDescent="0.25">
      <c r="A128" t="s">
        <v>208</v>
      </c>
      <c r="B128" s="2">
        <f t="shared" ca="1" si="1"/>
        <v>46270</v>
      </c>
      <c r="C128" t="s">
        <v>644</v>
      </c>
      <c r="D128" s="1">
        <v>0.20833333333333334</v>
      </c>
      <c r="E128" t="s">
        <v>66</v>
      </c>
      <c r="F128" t="s">
        <v>32</v>
      </c>
      <c r="G128" t="s">
        <v>44</v>
      </c>
      <c r="H128">
        <v>57</v>
      </c>
      <c r="I128">
        <v>2.6</v>
      </c>
      <c r="J128" t="s">
        <v>180</v>
      </c>
      <c r="K128">
        <v>269</v>
      </c>
      <c r="L128">
        <v>0</v>
      </c>
      <c r="M128" t="s">
        <v>24</v>
      </c>
      <c r="N128" t="s">
        <v>48</v>
      </c>
      <c r="O128">
        <v>7</v>
      </c>
      <c r="P128" t="s">
        <v>553</v>
      </c>
      <c r="Q128">
        <v>46</v>
      </c>
    </row>
    <row r="129" spans="1:17" x14ac:dyDescent="0.25">
      <c r="A129" t="s">
        <v>209</v>
      </c>
      <c r="B129" s="2">
        <f t="shared" ca="1" si="1"/>
        <v>46380</v>
      </c>
      <c r="C129" t="s">
        <v>594</v>
      </c>
      <c r="D129" s="1">
        <v>0</v>
      </c>
      <c r="E129" t="s">
        <v>577</v>
      </c>
      <c r="F129" t="s">
        <v>564</v>
      </c>
      <c r="G129" t="s">
        <v>33</v>
      </c>
      <c r="H129">
        <v>26</v>
      </c>
      <c r="I129">
        <v>3.6</v>
      </c>
      <c r="J129" t="s">
        <v>641</v>
      </c>
      <c r="K129">
        <v>2247</v>
      </c>
      <c r="L129">
        <v>120</v>
      </c>
      <c r="M129" t="s">
        <v>55</v>
      </c>
      <c r="N129" t="s">
        <v>25</v>
      </c>
      <c r="O129">
        <v>10</v>
      </c>
      <c r="P129" t="s">
        <v>35</v>
      </c>
      <c r="Q129">
        <v>86</v>
      </c>
    </row>
    <row r="130" spans="1:17" x14ac:dyDescent="0.25">
      <c r="A130" t="s">
        <v>210</v>
      </c>
      <c r="B130" s="2">
        <f t="shared" ref="B130:B193" ca="1" si="2">RANDBETWEEN(DATE(2026,1,1),DATE(2026,12,31))</f>
        <v>46296</v>
      </c>
      <c r="C130" t="s">
        <v>699</v>
      </c>
      <c r="D130" s="1">
        <v>0</v>
      </c>
      <c r="E130" t="s">
        <v>577</v>
      </c>
      <c r="F130" t="s">
        <v>70</v>
      </c>
      <c r="G130" t="s">
        <v>54</v>
      </c>
      <c r="H130">
        <v>58</v>
      </c>
      <c r="I130">
        <v>4.8</v>
      </c>
      <c r="J130" t="s">
        <v>211</v>
      </c>
      <c r="K130">
        <v>1403</v>
      </c>
      <c r="L130">
        <v>75</v>
      </c>
      <c r="M130" t="s">
        <v>83</v>
      </c>
      <c r="N130" t="s">
        <v>25</v>
      </c>
      <c r="O130">
        <v>5</v>
      </c>
      <c r="P130" t="s">
        <v>68</v>
      </c>
      <c r="Q130">
        <v>117</v>
      </c>
    </row>
    <row r="131" spans="1:17" x14ac:dyDescent="0.25">
      <c r="A131" t="s">
        <v>212</v>
      </c>
      <c r="B131" s="2">
        <f t="shared" ca="1" si="2"/>
        <v>46276</v>
      </c>
      <c r="C131" t="s">
        <v>700</v>
      </c>
      <c r="D131" s="1">
        <v>0</v>
      </c>
      <c r="E131" t="s">
        <v>97</v>
      </c>
      <c r="F131" t="s">
        <v>43</v>
      </c>
      <c r="G131" t="s">
        <v>81</v>
      </c>
      <c r="H131">
        <v>65</v>
      </c>
      <c r="I131">
        <v>1.7</v>
      </c>
      <c r="J131" t="s">
        <v>619</v>
      </c>
      <c r="K131">
        <v>1689</v>
      </c>
      <c r="L131">
        <v>0.15</v>
      </c>
      <c r="M131" t="s">
        <v>701</v>
      </c>
      <c r="N131" t="s">
        <v>25</v>
      </c>
      <c r="O131">
        <v>8</v>
      </c>
      <c r="P131" t="s">
        <v>35</v>
      </c>
      <c r="Q131">
        <v>65</v>
      </c>
    </row>
    <row r="132" spans="1:17" x14ac:dyDescent="0.25">
      <c r="A132" t="s">
        <v>213</v>
      </c>
      <c r="B132" s="2">
        <f t="shared" ca="1" si="2"/>
        <v>46366</v>
      </c>
      <c r="C132" t="s">
        <v>702</v>
      </c>
      <c r="D132" s="1">
        <v>7.7083333333333337E-2</v>
      </c>
      <c r="E132" t="s">
        <v>548</v>
      </c>
      <c r="F132" t="s">
        <v>70</v>
      </c>
      <c r="G132" t="s">
        <v>81</v>
      </c>
      <c r="H132">
        <v>46</v>
      </c>
      <c r="I132">
        <v>2.2999999999999998</v>
      </c>
      <c r="J132" t="s">
        <v>613</v>
      </c>
      <c r="K132">
        <v>352</v>
      </c>
      <c r="L132">
        <v>0.5</v>
      </c>
      <c r="M132" t="s">
        <v>83</v>
      </c>
      <c r="N132" t="s">
        <v>48</v>
      </c>
      <c r="O132">
        <v>8</v>
      </c>
      <c r="P132" t="s">
        <v>553</v>
      </c>
      <c r="Q132">
        <v>114</v>
      </c>
    </row>
    <row r="133" spans="1:17" x14ac:dyDescent="0.25">
      <c r="A133" t="s">
        <v>214</v>
      </c>
      <c r="B133" s="2">
        <f t="shared" ca="1" si="2"/>
        <v>46088</v>
      </c>
      <c r="C133" t="s">
        <v>679</v>
      </c>
      <c r="D133" s="1">
        <v>0</v>
      </c>
      <c r="E133" t="s">
        <v>564</v>
      </c>
      <c r="F133" t="s">
        <v>564</v>
      </c>
      <c r="G133" t="s">
        <v>78</v>
      </c>
      <c r="H133">
        <v>34</v>
      </c>
      <c r="I133">
        <v>1.1000000000000001</v>
      </c>
      <c r="J133" t="s">
        <v>215</v>
      </c>
      <c r="K133">
        <v>1534</v>
      </c>
      <c r="L133">
        <v>0.6</v>
      </c>
      <c r="M133" t="s">
        <v>24</v>
      </c>
      <c r="N133" t="s">
        <v>25</v>
      </c>
      <c r="O133">
        <v>10</v>
      </c>
      <c r="P133" t="s">
        <v>30</v>
      </c>
      <c r="Q133">
        <v>4</v>
      </c>
    </row>
    <row r="134" spans="1:17" x14ac:dyDescent="0.25">
      <c r="A134" t="s">
        <v>216</v>
      </c>
      <c r="B134" s="2">
        <f t="shared" ca="1" si="2"/>
        <v>46212</v>
      </c>
      <c r="C134" t="s">
        <v>678</v>
      </c>
      <c r="D134" s="1">
        <v>0.6069444444444444</v>
      </c>
      <c r="E134" t="s">
        <v>90</v>
      </c>
      <c r="F134" t="s">
        <v>16</v>
      </c>
      <c r="G134" t="s">
        <v>217</v>
      </c>
      <c r="H134">
        <v>29</v>
      </c>
      <c r="I134">
        <v>1.4</v>
      </c>
      <c r="J134" t="s">
        <v>703</v>
      </c>
      <c r="K134">
        <v>640</v>
      </c>
      <c r="L134">
        <v>150</v>
      </c>
      <c r="M134" t="s">
        <v>60</v>
      </c>
      <c r="N134" t="s">
        <v>551</v>
      </c>
      <c r="O134">
        <v>1</v>
      </c>
      <c r="P134" t="s">
        <v>18</v>
      </c>
      <c r="Q134">
        <v>151</v>
      </c>
    </row>
    <row r="135" spans="1:17" x14ac:dyDescent="0.25">
      <c r="A135" t="s">
        <v>218</v>
      </c>
      <c r="B135" s="2">
        <f t="shared" ca="1" si="2"/>
        <v>46287</v>
      </c>
      <c r="C135" t="s">
        <v>704</v>
      </c>
      <c r="D135" s="1">
        <v>0</v>
      </c>
      <c r="E135" t="s">
        <v>57</v>
      </c>
      <c r="F135" t="s">
        <v>16</v>
      </c>
      <c r="G135" t="s">
        <v>78</v>
      </c>
      <c r="H135">
        <v>43</v>
      </c>
      <c r="I135">
        <v>2.5</v>
      </c>
      <c r="J135" t="s">
        <v>617</v>
      </c>
      <c r="K135">
        <v>990</v>
      </c>
      <c r="L135">
        <v>0.5</v>
      </c>
      <c r="M135" t="s">
        <v>60</v>
      </c>
      <c r="N135" t="s">
        <v>25</v>
      </c>
      <c r="O135">
        <v>2</v>
      </c>
      <c r="P135" t="s">
        <v>553</v>
      </c>
      <c r="Q135">
        <v>212</v>
      </c>
    </row>
    <row r="136" spans="1:17" x14ac:dyDescent="0.25">
      <c r="A136" t="s">
        <v>219</v>
      </c>
      <c r="B136" s="2">
        <f t="shared" ca="1" si="2"/>
        <v>46051</v>
      </c>
      <c r="C136" t="s">
        <v>705</v>
      </c>
      <c r="D136" s="1">
        <v>0</v>
      </c>
      <c r="E136" t="s">
        <v>57</v>
      </c>
      <c r="F136" t="s">
        <v>21</v>
      </c>
      <c r="G136" t="s">
        <v>50</v>
      </c>
      <c r="H136">
        <v>59</v>
      </c>
      <c r="I136">
        <v>2.8</v>
      </c>
      <c r="J136" t="s">
        <v>619</v>
      </c>
      <c r="K136">
        <v>1884</v>
      </c>
      <c r="L136">
        <v>0</v>
      </c>
      <c r="M136" t="s">
        <v>24</v>
      </c>
      <c r="N136" t="s">
        <v>25</v>
      </c>
      <c r="O136">
        <v>3</v>
      </c>
      <c r="P136" t="s">
        <v>564</v>
      </c>
      <c r="Q136">
        <v>21</v>
      </c>
    </row>
    <row r="137" spans="1:17" x14ac:dyDescent="0.25">
      <c r="A137" t="s">
        <v>220</v>
      </c>
      <c r="B137" s="2">
        <f t="shared" ca="1" si="2"/>
        <v>46286</v>
      </c>
      <c r="C137" t="s">
        <v>706</v>
      </c>
      <c r="D137" s="1">
        <v>0</v>
      </c>
      <c r="E137" t="s">
        <v>548</v>
      </c>
      <c r="F137" t="s">
        <v>47</v>
      </c>
      <c r="G137" t="s">
        <v>44</v>
      </c>
      <c r="H137">
        <v>31</v>
      </c>
      <c r="I137">
        <v>3.4</v>
      </c>
      <c r="J137" t="s">
        <v>677</v>
      </c>
      <c r="K137">
        <v>772</v>
      </c>
      <c r="L137">
        <v>0.2</v>
      </c>
      <c r="M137" t="s">
        <v>83</v>
      </c>
      <c r="N137" t="s">
        <v>34</v>
      </c>
      <c r="O137">
        <v>3</v>
      </c>
      <c r="P137" t="s">
        <v>18</v>
      </c>
      <c r="Q137">
        <v>78</v>
      </c>
    </row>
    <row r="138" spans="1:17" x14ac:dyDescent="0.25">
      <c r="A138" t="s">
        <v>221</v>
      </c>
      <c r="B138" s="2">
        <f t="shared" ca="1" si="2"/>
        <v>46257</v>
      </c>
      <c r="C138" t="s">
        <v>707</v>
      </c>
      <c r="D138" s="1">
        <v>0.59166666666666667</v>
      </c>
      <c r="E138" t="s">
        <v>66</v>
      </c>
      <c r="F138" t="s">
        <v>58</v>
      </c>
      <c r="G138" t="s">
        <v>63</v>
      </c>
      <c r="H138">
        <v>37</v>
      </c>
      <c r="I138">
        <v>1</v>
      </c>
      <c r="J138" t="s">
        <v>222</v>
      </c>
      <c r="K138">
        <v>2468</v>
      </c>
      <c r="L138">
        <v>120</v>
      </c>
      <c r="M138" t="s">
        <v>83</v>
      </c>
      <c r="N138" t="s">
        <v>48</v>
      </c>
      <c r="O138">
        <v>8</v>
      </c>
      <c r="P138" t="s">
        <v>35</v>
      </c>
      <c r="Q138">
        <v>66</v>
      </c>
    </row>
    <row r="139" spans="1:17" x14ac:dyDescent="0.25">
      <c r="A139" t="s">
        <v>223</v>
      </c>
      <c r="B139" s="2">
        <f t="shared" ca="1" si="2"/>
        <v>46133</v>
      </c>
      <c r="C139" t="s">
        <v>708</v>
      </c>
      <c r="D139" s="1">
        <v>0</v>
      </c>
      <c r="E139" t="s">
        <v>36</v>
      </c>
      <c r="F139" t="s">
        <v>21</v>
      </c>
      <c r="G139" t="s">
        <v>81</v>
      </c>
      <c r="H139">
        <v>28</v>
      </c>
      <c r="I139">
        <v>3.2</v>
      </c>
      <c r="J139" t="s">
        <v>224</v>
      </c>
      <c r="K139">
        <v>2160</v>
      </c>
      <c r="L139">
        <v>120</v>
      </c>
      <c r="M139" t="s">
        <v>566</v>
      </c>
      <c r="N139" t="s">
        <v>34</v>
      </c>
      <c r="O139">
        <v>10</v>
      </c>
      <c r="P139" t="s">
        <v>30</v>
      </c>
    </row>
    <row r="140" spans="1:17" x14ac:dyDescent="0.25">
      <c r="A140" t="s">
        <v>225</v>
      </c>
      <c r="B140" s="2">
        <f t="shared" ca="1" si="2"/>
        <v>46121</v>
      </c>
      <c r="C140" t="s">
        <v>709</v>
      </c>
      <c r="D140" s="1">
        <v>0</v>
      </c>
      <c r="E140" t="s">
        <v>57</v>
      </c>
      <c r="F140" t="s">
        <v>47</v>
      </c>
      <c r="G140" t="s">
        <v>44</v>
      </c>
      <c r="H140">
        <v>23</v>
      </c>
      <c r="I140">
        <v>2.5</v>
      </c>
      <c r="J140" t="s">
        <v>549</v>
      </c>
      <c r="K140">
        <v>1794</v>
      </c>
      <c r="L140">
        <v>0</v>
      </c>
      <c r="M140" t="s">
        <v>566</v>
      </c>
      <c r="N140" t="s">
        <v>34</v>
      </c>
      <c r="O140">
        <v>1</v>
      </c>
      <c r="P140" t="s">
        <v>553</v>
      </c>
    </row>
    <row r="141" spans="1:17" x14ac:dyDescent="0.25">
      <c r="A141" t="s">
        <v>226</v>
      </c>
      <c r="B141" s="2">
        <f t="shared" ca="1" si="2"/>
        <v>46060</v>
      </c>
      <c r="C141" t="s">
        <v>710</v>
      </c>
      <c r="D141" s="1">
        <v>0</v>
      </c>
      <c r="E141" t="s">
        <v>53</v>
      </c>
      <c r="F141" t="s">
        <v>16</v>
      </c>
      <c r="G141" t="s">
        <v>33</v>
      </c>
      <c r="H141">
        <v>29</v>
      </c>
      <c r="I141">
        <v>3.8</v>
      </c>
      <c r="J141" t="s">
        <v>694</v>
      </c>
      <c r="K141">
        <v>449</v>
      </c>
      <c r="L141">
        <v>150</v>
      </c>
      <c r="M141" t="s">
        <v>566</v>
      </c>
      <c r="N141" t="s">
        <v>34</v>
      </c>
      <c r="O141">
        <v>5</v>
      </c>
      <c r="P141" t="s">
        <v>41</v>
      </c>
      <c r="Q141">
        <v>59</v>
      </c>
    </row>
    <row r="142" spans="1:17" x14ac:dyDescent="0.25">
      <c r="A142" t="s">
        <v>227</v>
      </c>
      <c r="B142" s="2">
        <f t="shared" ca="1" si="2"/>
        <v>46251</v>
      </c>
      <c r="C142" t="s">
        <v>711</v>
      </c>
      <c r="D142" s="1">
        <v>0.66805555555555551</v>
      </c>
      <c r="E142" t="s">
        <v>90</v>
      </c>
      <c r="F142" t="s">
        <v>75</v>
      </c>
      <c r="G142" t="s">
        <v>44</v>
      </c>
      <c r="H142">
        <v>35</v>
      </c>
      <c r="I142">
        <v>1.6</v>
      </c>
      <c r="J142" t="s">
        <v>133</v>
      </c>
      <c r="K142">
        <v>1359</v>
      </c>
      <c r="L142">
        <v>0.6</v>
      </c>
      <c r="M142" t="s">
        <v>55</v>
      </c>
      <c r="N142" t="s">
        <v>25</v>
      </c>
      <c r="O142">
        <v>4</v>
      </c>
      <c r="P142" t="s">
        <v>41</v>
      </c>
      <c r="Q142">
        <v>33</v>
      </c>
    </row>
    <row r="143" spans="1:17" x14ac:dyDescent="0.25">
      <c r="A143" t="s">
        <v>228</v>
      </c>
      <c r="B143" s="2">
        <f t="shared" ca="1" si="2"/>
        <v>46095</v>
      </c>
      <c r="C143" t="s">
        <v>620</v>
      </c>
      <c r="D143" s="1">
        <v>0</v>
      </c>
      <c r="E143" t="s">
        <v>27</v>
      </c>
      <c r="F143" t="s">
        <v>43</v>
      </c>
      <c r="G143" t="s">
        <v>29</v>
      </c>
      <c r="H143">
        <v>25</v>
      </c>
      <c r="I143">
        <v>4.5999999999999996</v>
      </c>
      <c r="J143" t="s">
        <v>229</v>
      </c>
      <c r="K143">
        <v>500</v>
      </c>
      <c r="L143">
        <v>50</v>
      </c>
      <c r="M143" t="s">
        <v>566</v>
      </c>
      <c r="N143" t="s">
        <v>34</v>
      </c>
      <c r="O143">
        <v>5</v>
      </c>
      <c r="P143" t="s">
        <v>564</v>
      </c>
      <c r="Q143">
        <v>98</v>
      </c>
    </row>
    <row r="144" spans="1:17" x14ac:dyDescent="0.25">
      <c r="A144" t="s">
        <v>230</v>
      </c>
      <c r="B144" s="2">
        <f t="shared" ca="1" si="2"/>
        <v>46316</v>
      </c>
      <c r="C144" t="s">
        <v>712</v>
      </c>
      <c r="D144" s="1">
        <v>0</v>
      </c>
      <c r="E144" t="s">
        <v>20</v>
      </c>
      <c r="F144" t="s">
        <v>39</v>
      </c>
      <c r="G144" t="s">
        <v>54</v>
      </c>
      <c r="H144">
        <v>53</v>
      </c>
      <c r="I144">
        <v>1.9</v>
      </c>
      <c r="J144" t="s">
        <v>619</v>
      </c>
      <c r="K144">
        <v>745</v>
      </c>
      <c r="L144">
        <v>100</v>
      </c>
      <c r="M144" t="s">
        <v>550</v>
      </c>
      <c r="N144" t="s">
        <v>25</v>
      </c>
      <c r="O144">
        <v>0</v>
      </c>
      <c r="P144" t="s">
        <v>68</v>
      </c>
      <c r="Q144">
        <v>118</v>
      </c>
    </row>
    <row r="145" spans="1:17" x14ac:dyDescent="0.25">
      <c r="A145" t="s">
        <v>231</v>
      </c>
      <c r="B145" s="2">
        <f t="shared" ca="1" si="2"/>
        <v>46363</v>
      </c>
      <c r="C145" t="s">
        <v>705</v>
      </c>
      <c r="D145" s="1">
        <v>0.8930555555555556</v>
      </c>
      <c r="E145" t="s">
        <v>713</v>
      </c>
      <c r="F145" t="s">
        <v>43</v>
      </c>
      <c r="G145" t="s">
        <v>50</v>
      </c>
      <c r="H145">
        <v>41</v>
      </c>
      <c r="I145">
        <v>4.5999999999999996</v>
      </c>
      <c r="J145" t="s">
        <v>626</v>
      </c>
      <c r="K145">
        <v>814</v>
      </c>
      <c r="L145">
        <v>0</v>
      </c>
      <c r="M145" t="s">
        <v>55</v>
      </c>
      <c r="N145" t="s">
        <v>34</v>
      </c>
      <c r="O145">
        <v>5</v>
      </c>
      <c r="P145" t="s">
        <v>68</v>
      </c>
      <c r="Q145">
        <v>48</v>
      </c>
    </row>
    <row r="146" spans="1:17" x14ac:dyDescent="0.25">
      <c r="A146" t="s">
        <v>232</v>
      </c>
      <c r="B146" s="2">
        <f t="shared" ca="1" si="2"/>
        <v>46122</v>
      </c>
      <c r="C146" t="s">
        <v>707</v>
      </c>
      <c r="D146" s="1">
        <v>0.52986111111111112</v>
      </c>
      <c r="E146" t="s">
        <v>57</v>
      </c>
      <c r="F146" t="s">
        <v>47</v>
      </c>
      <c r="G146" t="s">
        <v>17</v>
      </c>
      <c r="H146">
        <v>44</v>
      </c>
      <c r="I146">
        <v>1.3</v>
      </c>
      <c r="J146" t="s">
        <v>622</v>
      </c>
      <c r="K146">
        <v>1261</v>
      </c>
      <c r="L146">
        <v>0.5</v>
      </c>
      <c r="M146" t="s">
        <v>83</v>
      </c>
      <c r="N146" t="s">
        <v>564</v>
      </c>
      <c r="O146">
        <v>4</v>
      </c>
      <c r="P146" t="s">
        <v>30</v>
      </c>
      <c r="Q146">
        <v>5</v>
      </c>
    </row>
    <row r="147" spans="1:17" x14ac:dyDescent="0.25">
      <c r="A147" t="s">
        <v>233</v>
      </c>
      <c r="B147" s="2">
        <f t="shared" ca="1" si="2"/>
        <v>46367</v>
      </c>
      <c r="C147" t="s">
        <v>714</v>
      </c>
      <c r="D147" s="1">
        <v>0</v>
      </c>
      <c r="E147" t="s">
        <v>66</v>
      </c>
      <c r="F147" t="s">
        <v>116</v>
      </c>
      <c r="G147" t="s">
        <v>29</v>
      </c>
      <c r="H147">
        <v>43</v>
      </c>
      <c r="I147">
        <v>4.4000000000000004</v>
      </c>
      <c r="J147" t="s">
        <v>692</v>
      </c>
      <c r="K147">
        <v>1940</v>
      </c>
      <c r="L147">
        <v>150</v>
      </c>
      <c r="M147" t="s">
        <v>566</v>
      </c>
      <c r="N147" t="s">
        <v>25</v>
      </c>
      <c r="O147">
        <v>2</v>
      </c>
      <c r="P147" t="s">
        <v>68</v>
      </c>
    </row>
    <row r="148" spans="1:17" x14ac:dyDescent="0.25">
      <c r="A148" t="s">
        <v>234</v>
      </c>
      <c r="B148" s="2">
        <f t="shared" ca="1" si="2"/>
        <v>46230</v>
      </c>
      <c r="D148" s="1">
        <v>0</v>
      </c>
      <c r="E148" t="s">
        <v>109</v>
      </c>
      <c r="F148" t="s">
        <v>75</v>
      </c>
      <c r="G148" t="s">
        <v>54</v>
      </c>
      <c r="H148">
        <v>34</v>
      </c>
      <c r="I148">
        <v>4.2</v>
      </c>
      <c r="J148" t="s">
        <v>622</v>
      </c>
      <c r="K148">
        <v>500</v>
      </c>
      <c r="L148">
        <v>0</v>
      </c>
      <c r="M148" t="s">
        <v>566</v>
      </c>
      <c r="N148" t="s">
        <v>25</v>
      </c>
      <c r="O148">
        <v>5</v>
      </c>
      <c r="P148" t="s">
        <v>553</v>
      </c>
      <c r="Q148">
        <v>23</v>
      </c>
    </row>
    <row r="149" spans="1:17" x14ac:dyDescent="0.25">
      <c r="A149" t="s">
        <v>235</v>
      </c>
      <c r="B149" s="2">
        <f t="shared" ca="1" si="2"/>
        <v>46340</v>
      </c>
      <c r="C149" t="s">
        <v>714</v>
      </c>
      <c r="D149" s="1">
        <v>0</v>
      </c>
      <c r="E149" t="s">
        <v>31</v>
      </c>
      <c r="F149" t="s">
        <v>58</v>
      </c>
      <c r="G149" t="s">
        <v>50</v>
      </c>
      <c r="H149">
        <v>26</v>
      </c>
      <c r="I149">
        <v>2.4</v>
      </c>
      <c r="J149" t="s">
        <v>665</v>
      </c>
      <c r="K149">
        <v>1941</v>
      </c>
      <c r="L149">
        <v>0.5</v>
      </c>
      <c r="M149" t="s">
        <v>60</v>
      </c>
      <c r="N149" t="s">
        <v>34</v>
      </c>
      <c r="O149">
        <v>2</v>
      </c>
      <c r="P149" t="s">
        <v>68</v>
      </c>
    </row>
    <row r="150" spans="1:17" x14ac:dyDescent="0.25">
      <c r="A150" t="s">
        <v>236</v>
      </c>
      <c r="B150" s="2">
        <f t="shared" ca="1" si="2"/>
        <v>46290</v>
      </c>
      <c r="C150" t="s">
        <v>715</v>
      </c>
      <c r="D150" s="1">
        <v>0.49375000000000002</v>
      </c>
      <c r="E150" t="s">
        <v>90</v>
      </c>
      <c r="F150" t="s">
        <v>32</v>
      </c>
      <c r="G150" t="s">
        <v>54</v>
      </c>
      <c r="H150">
        <v>51</v>
      </c>
      <c r="I150">
        <v>3.3</v>
      </c>
      <c r="J150" t="s">
        <v>237</v>
      </c>
      <c r="K150">
        <v>1886</v>
      </c>
      <c r="L150">
        <v>120</v>
      </c>
      <c r="M150" t="s">
        <v>83</v>
      </c>
      <c r="N150" t="s">
        <v>25</v>
      </c>
      <c r="O150">
        <v>3</v>
      </c>
      <c r="P150" t="s">
        <v>553</v>
      </c>
      <c r="Q150">
        <v>64</v>
      </c>
    </row>
    <row r="151" spans="1:17" x14ac:dyDescent="0.25">
      <c r="A151" t="s">
        <v>238</v>
      </c>
      <c r="B151" s="2">
        <f t="shared" ca="1" si="2"/>
        <v>46055</v>
      </c>
      <c r="C151" t="s">
        <v>716</v>
      </c>
      <c r="D151" s="1">
        <v>0</v>
      </c>
      <c r="E151" t="s">
        <v>20</v>
      </c>
      <c r="F151" t="s">
        <v>75</v>
      </c>
      <c r="G151" t="s">
        <v>81</v>
      </c>
      <c r="H151">
        <v>20</v>
      </c>
      <c r="I151">
        <v>2.1</v>
      </c>
      <c r="J151" t="s">
        <v>320</v>
      </c>
      <c r="K151">
        <v>1999</v>
      </c>
      <c r="L151">
        <v>150</v>
      </c>
      <c r="M151" t="s">
        <v>550</v>
      </c>
      <c r="N151" t="s">
        <v>25</v>
      </c>
      <c r="O151">
        <v>7</v>
      </c>
      <c r="P151" t="s">
        <v>68</v>
      </c>
      <c r="Q151">
        <v>51</v>
      </c>
    </row>
    <row r="152" spans="1:17" x14ac:dyDescent="0.25">
      <c r="A152" t="s">
        <v>239</v>
      </c>
      <c r="B152" s="2">
        <f t="shared" ca="1" si="2"/>
        <v>46299</v>
      </c>
      <c r="C152" t="s">
        <v>693</v>
      </c>
      <c r="D152" s="1">
        <v>0</v>
      </c>
      <c r="E152" t="s">
        <v>31</v>
      </c>
      <c r="F152" t="s">
        <v>21</v>
      </c>
      <c r="G152" t="s">
        <v>50</v>
      </c>
      <c r="H152">
        <v>33</v>
      </c>
      <c r="I152">
        <v>1.9</v>
      </c>
      <c r="J152" t="s">
        <v>133</v>
      </c>
      <c r="K152">
        <v>2428</v>
      </c>
      <c r="L152">
        <v>0.6</v>
      </c>
      <c r="M152" t="s">
        <v>550</v>
      </c>
      <c r="N152" t="s">
        <v>48</v>
      </c>
      <c r="O152">
        <v>5</v>
      </c>
      <c r="P152" t="s">
        <v>30</v>
      </c>
    </row>
    <row r="153" spans="1:17" x14ac:dyDescent="0.25">
      <c r="A153" t="s">
        <v>240</v>
      </c>
      <c r="B153" s="2">
        <f t="shared" ca="1" si="2"/>
        <v>46338</v>
      </c>
      <c r="C153" t="s">
        <v>717</v>
      </c>
      <c r="D153" s="1">
        <v>0.94166666666666665</v>
      </c>
      <c r="E153" t="s">
        <v>36</v>
      </c>
      <c r="F153" t="s">
        <v>43</v>
      </c>
      <c r="G153" t="s">
        <v>78</v>
      </c>
      <c r="H153">
        <v>18</v>
      </c>
      <c r="I153">
        <v>4.7</v>
      </c>
      <c r="J153" t="s">
        <v>718</v>
      </c>
      <c r="K153">
        <v>335</v>
      </c>
      <c r="L153">
        <v>0.15</v>
      </c>
      <c r="M153" t="s">
        <v>55</v>
      </c>
      <c r="N153" t="s">
        <v>25</v>
      </c>
      <c r="O153">
        <v>8</v>
      </c>
      <c r="P153" t="s">
        <v>35</v>
      </c>
      <c r="Q153">
        <v>30</v>
      </c>
    </row>
    <row r="154" spans="1:17" x14ac:dyDescent="0.25">
      <c r="A154" t="s">
        <v>241</v>
      </c>
      <c r="B154" s="2">
        <f t="shared" ca="1" si="2"/>
        <v>46173</v>
      </c>
      <c r="C154" t="s">
        <v>719</v>
      </c>
      <c r="D154" s="1">
        <v>0</v>
      </c>
      <c r="E154" t="s">
        <v>577</v>
      </c>
      <c r="F154" t="s">
        <v>16</v>
      </c>
      <c r="G154" t="s">
        <v>54</v>
      </c>
      <c r="H154">
        <v>38</v>
      </c>
      <c r="I154">
        <v>1.4</v>
      </c>
      <c r="J154" t="s">
        <v>142</v>
      </c>
      <c r="K154">
        <v>2428</v>
      </c>
      <c r="L154">
        <v>120</v>
      </c>
      <c r="M154" t="s">
        <v>24</v>
      </c>
      <c r="N154" t="s">
        <v>34</v>
      </c>
      <c r="O154">
        <v>5</v>
      </c>
      <c r="P154" t="s">
        <v>30</v>
      </c>
      <c r="Q154">
        <v>50</v>
      </c>
    </row>
    <row r="155" spans="1:17" x14ac:dyDescent="0.25">
      <c r="A155" t="s">
        <v>242</v>
      </c>
      <c r="B155" s="2">
        <f t="shared" ca="1" si="2"/>
        <v>46112</v>
      </c>
      <c r="C155" t="s">
        <v>720</v>
      </c>
      <c r="D155" s="1">
        <v>0</v>
      </c>
      <c r="E155" t="s">
        <v>90</v>
      </c>
      <c r="F155" t="s">
        <v>43</v>
      </c>
      <c r="G155" t="s">
        <v>44</v>
      </c>
      <c r="H155">
        <v>54</v>
      </c>
      <c r="I155">
        <v>3.9</v>
      </c>
      <c r="J155" t="s">
        <v>641</v>
      </c>
      <c r="K155">
        <v>2089</v>
      </c>
      <c r="L155">
        <v>0.15</v>
      </c>
      <c r="M155" t="s">
        <v>55</v>
      </c>
      <c r="N155" t="s">
        <v>25</v>
      </c>
      <c r="O155">
        <v>4</v>
      </c>
      <c r="P155" t="s">
        <v>68</v>
      </c>
      <c r="Q155">
        <v>20</v>
      </c>
    </row>
    <row r="156" spans="1:17" x14ac:dyDescent="0.25">
      <c r="A156" t="s">
        <v>556</v>
      </c>
      <c r="B156" s="2">
        <f t="shared" ca="1" si="2"/>
        <v>46265</v>
      </c>
      <c r="C156" t="s">
        <v>721</v>
      </c>
      <c r="D156" s="1">
        <v>0.3347222222222222</v>
      </c>
      <c r="E156" t="s">
        <v>722</v>
      </c>
      <c r="F156" t="s">
        <v>39</v>
      </c>
      <c r="G156" t="s">
        <v>22</v>
      </c>
      <c r="H156">
        <v>24</v>
      </c>
      <c r="I156">
        <v>1.2</v>
      </c>
      <c r="J156" t="s">
        <v>675</v>
      </c>
      <c r="K156">
        <v>2282</v>
      </c>
      <c r="L156">
        <v>120</v>
      </c>
      <c r="M156" t="s">
        <v>24</v>
      </c>
      <c r="N156" t="s">
        <v>48</v>
      </c>
      <c r="O156">
        <v>6</v>
      </c>
      <c r="P156" t="s">
        <v>30</v>
      </c>
      <c r="Q156">
        <v>112</v>
      </c>
    </row>
    <row r="157" spans="1:17" x14ac:dyDescent="0.25">
      <c r="A157" t="s">
        <v>243</v>
      </c>
      <c r="B157" s="2">
        <f t="shared" ca="1" si="2"/>
        <v>46303</v>
      </c>
      <c r="C157" t="s">
        <v>723</v>
      </c>
      <c r="D157" s="1">
        <v>0</v>
      </c>
      <c r="E157" t="s">
        <v>27</v>
      </c>
      <c r="F157" t="s">
        <v>39</v>
      </c>
      <c r="G157" t="s">
        <v>50</v>
      </c>
      <c r="H157">
        <v>34</v>
      </c>
      <c r="I157">
        <v>2.7</v>
      </c>
      <c r="J157" t="s">
        <v>244</v>
      </c>
      <c r="K157">
        <v>2487</v>
      </c>
      <c r="L157">
        <v>0.5</v>
      </c>
      <c r="M157" t="s">
        <v>550</v>
      </c>
      <c r="N157" t="s">
        <v>25</v>
      </c>
      <c r="O157">
        <v>8</v>
      </c>
      <c r="P157" t="s">
        <v>18</v>
      </c>
      <c r="Q157">
        <v>105</v>
      </c>
    </row>
    <row r="158" spans="1:17" x14ac:dyDescent="0.25">
      <c r="A158" t="s">
        <v>245</v>
      </c>
      <c r="B158" s="2">
        <f t="shared" ca="1" si="2"/>
        <v>46241</v>
      </c>
      <c r="C158" t="s">
        <v>654</v>
      </c>
      <c r="D158" s="1">
        <v>0</v>
      </c>
      <c r="E158" t="s">
        <v>53</v>
      </c>
      <c r="F158" t="s">
        <v>43</v>
      </c>
      <c r="G158" t="s">
        <v>33</v>
      </c>
      <c r="H158">
        <v>49</v>
      </c>
      <c r="I158">
        <v>4.5</v>
      </c>
      <c r="J158" t="s">
        <v>320</v>
      </c>
      <c r="K158">
        <v>1742</v>
      </c>
      <c r="L158">
        <v>0.6</v>
      </c>
      <c r="M158" t="s">
        <v>550</v>
      </c>
      <c r="N158" t="s">
        <v>25</v>
      </c>
      <c r="O158">
        <v>1</v>
      </c>
      <c r="P158" t="s">
        <v>68</v>
      </c>
      <c r="Q158">
        <v>234</v>
      </c>
    </row>
    <row r="159" spans="1:17" x14ac:dyDescent="0.25">
      <c r="A159" t="s">
        <v>246</v>
      </c>
      <c r="B159" s="2">
        <f t="shared" ca="1" si="2"/>
        <v>46237</v>
      </c>
      <c r="C159" t="s">
        <v>560</v>
      </c>
      <c r="D159" s="1">
        <v>0</v>
      </c>
      <c r="E159" t="s">
        <v>36</v>
      </c>
      <c r="F159" t="s">
        <v>70</v>
      </c>
      <c r="G159" t="s">
        <v>29</v>
      </c>
      <c r="H159">
        <v>18</v>
      </c>
      <c r="I159">
        <v>2.6</v>
      </c>
      <c r="J159" t="s">
        <v>619</v>
      </c>
      <c r="K159">
        <v>407</v>
      </c>
      <c r="L159">
        <v>75</v>
      </c>
      <c r="M159" t="s">
        <v>24</v>
      </c>
      <c r="N159" t="s">
        <v>48</v>
      </c>
      <c r="O159">
        <v>8</v>
      </c>
      <c r="P159" t="s">
        <v>68</v>
      </c>
      <c r="Q159">
        <v>170</v>
      </c>
    </row>
    <row r="160" spans="1:17" x14ac:dyDescent="0.25">
      <c r="A160" t="s">
        <v>247</v>
      </c>
      <c r="B160" s="2">
        <f t="shared" ca="1" si="2"/>
        <v>46290</v>
      </c>
      <c r="C160" t="s">
        <v>724</v>
      </c>
      <c r="D160" s="1">
        <v>0</v>
      </c>
      <c r="E160" t="s">
        <v>27</v>
      </c>
      <c r="F160" t="s">
        <v>116</v>
      </c>
      <c r="G160" t="s">
        <v>248</v>
      </c>
      <c r="H160">
        <v>61</v>
      </c>
      <c r="I160">
        <v>3.1</v>
      </c>
      <c r="J160" t="s">
        <v>320</v>
      </c>
      <c r="K160">
        <v>398</v>
      </c>
      <c r="L160">
        <v>150</v>
      </c>
      <c r="M160" t="s">
        <v>566</v>
      </c>
      <c r="N160" t="s">
        <v>25</v>
      </c>
      <c r="O160">
        <v>7</v>
      </c>
      <c r="P160" t="s">
        <v>68</v>
      </c>
      <c r="Q160">
        <v>17</v>
      </c>
    </row>
    <row r="161" spans="1:17" x14ac:dyDescent="0.25">
      <c r="A161" t="s">
        <v>249</v>
      </c>
      <c r="B161" s="2">
        <f t="shared" ca="1" si="2"/>
        <v>46379</v>
      </c>
      <c r="C161" t="s">
        <v>725</v>
      </c>
      <c r="D161" s="1">
        <v>0</v>
      </c>
      <c r="E161" t="s">
        <v>109</v>
      </c>
      <c r="F161" t="s">
        <v>47</v>
      </c>
      <c r="G161" t="s">
        <v>564</v>
      </c>
      <c r="H161">
        <v>27</v>
      </c>
      <c r="I161">
        <v>2.8</v>
      </c>
      <c r="J161" t="s">
        <v>622</v>
      </c>
      <c r="K161">
        <v>2166</v>
      </c>
      <c r="L161">
        <v>0.6</v>
      </c>
      <c r="M161" t="s">
        <v>566</v>
      </c>
      <c r="N161" t="s">
        <v>25</v>
      </c>
      <c r="O161">
        <v>10</v>
      </c>
      <c r="P161" t="s">
        <v>553</v>
      </c>
      <c r="Q161">
        <v>81</v>
      </c>
    </row>
    <row r="162" spans="1:17" x14ac:dyDescent="0.25">
      <c r="A162" t="s">
        <v>250</v>
      </c>
      <c r="B162" s="2">
        <f t="shared" ca="1" si="2"/>
        <v>46103</v>
      </c>
      <c r="C162" t="s">
        <v>607</v>
      </c>
      <c r="D162" s="1">
        <v>0</v>
      </c>
      <c r="E162" t="s">
        <v>36</v>
      </c>
      <c r="F162" t="s">
        <v>58</v>
      </c>
      <c r="G162" t="s">
        <v>50</v>
      </c>
      <c r="H162">
        <v>48</v>
      </c>
      <c r="I162">
        <v>1.9</v>
      </c>
      <c r="J162" t="s">
        <v>251</v>
      </c>
      <c r="K162">
        <v>1750</v>
      </c>
      <c r="L162">
        <v>150</v>
      </c>
      <c r="M162" t="s">
        <v>24</v>
      </c>
      <c r="N162" t="s">
        <v>25</v>
      </c>
      <c r="O162">
        <v>6</v>
      </c>
      <c r="P162" t="s">
        <v>35</v>
      </c>
      <c r="Q162">
        <v>125</v>
      </c>
    </row>
    <row r="163" spans="1:17" x14ac:dyDescent="0.25">
      <c r="A163" t="s">
        <v>252</v>
      </c>
      <c r="B163" s="2">
        <f t="shared" ca="1" si="2"/>
        <v>46283</v>
      </c>
      <c r="C163" t="s">
        <v>591</v>
      </c>
      <c r="D163" s="1">
        <v>0</v>
      </c>
      <c r="E163" t="s">
        <v>97</v>
      </c>
      <c r="F163" t="s">
        <v>47</v>
      </c>
      <c r="G163" t="s">
        <v>33</v>
      </c>
      <c r="H163">
        <v>50</v>
      </c>
      <c r="I163">
        <v>2.5</v>
      </c>
      <c r="J163" t="s">
        <v>98</v>
      </c>
      <c r="K163">
        <v>391</v>
      </c>
      <c r="L163">
        <v>100</v>
      </c>
      <c r="M163" t="s">
        <v>60</v>
      </c>
      <c r="N163" t="s">
        <v>25</v>
      </c>
      <c r="O163">
        <v>9</v>
      </c>
      <c r="P163" t="s">
        <v>41</v>
      </c>
      <c r="Q163">
        <v>226</v>
      </c>
    </row>
    <row r="164" spans="1:17" x14ac:dyDescent="0.25">
      <c r="A164" t="s">
        <v>253</v>
      </c>
      <c r="B164" s="2">
        <f t="shared" ca="1" si="2"/>
        <v>46302</v>
      </c>
      <c r="C164" t="s">
        <v>686</v>
      </c>
      <c r="D164" s="1">
        <v>0.15</v>
      </c>
      <c r="E164" t="s">
        <v>97</v>
      </c>
      <c r="F164" t="s">
        <v>75</v>
      </c>
      <c r="G164" t="s">
        <v>50</v>
      </c>
      <c r="H164">
        <v>64</v>
      </c>
      <c r="I164">
        <v>1.6</v>
      </c>
      <c r="J164" t="s">
        <v>663</v>
      </c>
      <c r="K164">
        <v>413</v>
      </c>
      <c r="L164">
        <v>0</v>
      </c>
      <c r="M164" t="s">
        <v>55</v>
      </c>
      <c r="N164" t="s">
        <v>34</v>
      </c>
      <c r="O164">
        <v>6</v>
      </c>
      <c r="P164" t="s">
        <v>553</v>
      </c>
      <c r="Q164">
        <v>169</v>
      </c>
    </row>
    <row r="165" spans="1:17" x14ac:dyDescent="0.25">
      <c r="A165" t="s">
        <v>254</v>
      </c>
      <c r="B165" s="2">
        <f t="shared" ca="1" si="2"/>
        <v>46381</v>
      </c>
      <c r="C165" t="s">
        <v>726</v>
      </c>
      <c r="D165" s="1">
        <v>0.88749999999999996</v>
      </c>
      <c r="E165" t="s">
        <v>90</v>
      </c>
      <c r="F165" t="s">
        <v>47</v>
      </c>
      <c r="G165" t="s">
        <v>44</v>
      </c>
      <c r="H165">
        <v>36</v>
      </c>
      <c r="I165">
        <v>3</v>
      </c>
      <c r="J165" t="s">
        <v>661</v>
      </c>
      <c r="K165">
        <v>1922</v>
      </c>
      <c r="L165">
        <v>0</v>
      </c>
      <c r="M165" t="s">
        <v>83</v>
      </c>
      <c r="N165" t="s">
        <v>25</v>
      </c>
      <c r="O165">
        <v>6</v>
      </c>
      <c r="P165" t="s">
        <v>68</v>
      </c>
      <c r="Q165">
        <v>64</v>
      </c>
    </row>
    <row r="166" spans="1:17" x14ac:dyDescent="0.25">
      <c r="A166" t="s">
        <v>255</v>
      </c>
      <c r="B166" s="2">
        <f t="shared" ca="1" si="2"/>
        <v>46115</v>
      </c>
      <c r="C166" t="s">
        <v>643</v>
      </c>
      <c r="D166" s="1">
        <v>0</v>
      </c>
      <c r="E166" t="s">
        <v>53</v>
      </c>
      <c r="F166" t="s">
        <v>70</v>
      </c>
      <c r="G166" t="s">
        <v>63</v>
      </c>
      <c r="H166">
        <v>38</v>
      </c>
      <c r="I166">
        <v>1.8</v>
      </c>
      <c r="J166" t="s">
        <v>641</v>
      </c>
      <c r="K166">
        <v>353</v>
      </c>
      <c r="L166">
        <v>0</v>
      </c>
      <c r="M166" t="s">
        <v>550</v>
      </c>
      <c r="N166" t="s">
        <v>25</v>
      </c>
      <c r="O166">
        <v>9</v>
      </c>
      <c r="P166" t="s">
        <v>41</v>
      </c>
      <c r="Q166">
        <v>113</v>
      </c>
    </row>
    <row r="167" spans="1:17" x14ac:dyDescent="0.25">
      <c r="A167" t="s">
        <v>256</v>
      </c>
      <c r="B167" s="2">
        <f t="shared" ca="1" si="2"/>
        <v>46276</v>
      </c>
      <c r="C167" t="s">
        <v>714</v>
      </c>
      <c r="D167" s="1">
        <v>0</v>
      </c>
      <c r="E167" t="s">
        <v>109</v>
      </c>
      <c r="F167" t="s">
        <v>70</v>
      </c>
      <c r="G167" t="s">
        <v>564</v>
      </c>
      <c r="H167">
        <v>53</v>
      </c>
      <c r="I167">
        <v>4.8</v>
      </c>
      <c r="J167" t="s">
        <v>727</v>
      </c>
      <c r="K167">
        <v>383</v>
      </c>
      <c r="L167">
        <v>0.6</v>
      </c>
      <c r="M167" t="s">
        <v>55</v>
      </c>
      <c r="N167" t="s">
        <v>48</v>
      </c>
      <c r="O167">
        <v>10</v>
      </c>
      <c r="P167" t="s">
        <v>564</v>
      </c>
      <c r="Q167">
        <v>215</v>
      </c>
    </row>
    <row r="168" spans="1:17" x14ac:dyDescent="0.25">
      <c r="A168" t="s">
        <v>257</v>
      </c>
      <c r="B168" s="2">
        <f t="shared" ca="1" si="2"/>
        <v>46168</v>
      </c>
      <c r="C168" t="s">
        <v>714</v>
      </c>
      <c r="D168" s="1">
        <v>0</v>
      </c>
      <c r="E168" t="s">
        <v>577</v>
      </c>
      <c r="F168" t="s">
        <v>43</v>
      </c>
      <c r="G168" t="s">
        <v>54</v>
      </c>
      <c r="H168">
        <v>58</v>
      </c>
      <c r="I168">
        <v>2.8</v>
      </c>
      <c r="J168" t="s">
        <v>623</v>
      </c>
      <c r="K168">
        <v>333</v>
      </c>
      <c r="L168">
        <v>100</v>
      </c>
      <c r="M168" t="s">
        <v>571</v>
      </c>
      <c r="N168" t="s">
        <v>25</v>
      </c>
      <c r="O168">
        <v>1</v>
      </c>
      <c r="P168" t="s">
        <v>41</v>
      </c>
      <c r="Q168">
        <v>22</v>
      </c>
    </row>
    <row r="169" spans="1:17" x14ac:dyDescent="0.25">
      <c r="A169" t="s">
        <v>258</v>
      </c>
      <c r="B169" s="2">
        <f t="shared" ca="1" si="2"/>
        <v>46107</v>
      </c>
      <c r="C169" t="s">
        <v>728</v>
      </c>
      <c r="D169" s="1">
        <v>0</v>
      </c>
      <c r="E169" t="s">
        <v>109</v>
      </c>
      <c r="F169" t="s">
        <v>21</v>
      </c>
      <c r="G169" t="s">
        <v>63</v>
      </c>
      <c r="H169">
        <v>48</v>
      </c>
      <c r="I169">
        <v>2</v>
      </c>
      <c r="J169" t="s">
        <v>729</v>
      </c>
      <c r="K169">
        <v>2125</v>
      </c>
      <c r="L169">
        <v>75</v>
      </c>
      <c r="M169" t="s">
        <v>550</v>
      </c>
      <c r="N169" t="s">
        <v>25</v>
      </c>
      <c r="O169">
        <v>9</v>
      </c>
      <c r="P169" t="s">
        <v>68</v>
      </c>
      <c r="Q169">
        <v>87</v>
      </c>
    </row>
    <row r="170" spans="1:17" x14ac:dyDescent="0.25">
      <c r="A170" t="s">
        <v>259</v>
      </c>
      <c r="B170" s="2">
        <f t="shared" ca="1" si="2"/>
        <v>46287</v>
      </c>
      <c r="C170" t="s">
        <v>730</v>
      </c>
      <c r="D170" s="1">
        <v>0</v>
      </c>
      <c r="E170" t="s">
        <v>27</v>
      </c>
      <c r="F170" t="s">
        <v>21</v>
      </c>
      <c r="G170" t="s">
        <v>260</v>
      </c>
      <c r="H170">
        <v>18</v>
      </c>
      <c r="I170">
        <v>2.5</v>
      </c>
      <c r="J170" t="s">
        <v>229</v>
      </c>
      <c r="K170">
        <v>2251</v>
      </c>
      <c r="L170">
        <v>120</v>
      </c>
      <c r="M170" t="s">
        <v>550</v>
      </c>
      <c r="N170" t="s">
        <v>25</v>
      </c>
      <c r="O170">
        <v>2</v>
      </c>
      <c r="P170" t="s">
        <v>68</v>
      </c>
      <c r="Q170">
        <v>118</v>
      </c>
    </row>
    <row r="171" spans="1:17" x14ac:dyDescent="0.25">
      <c r="A171" t="s">
        <v>261</v>
      </c>
      <c r="B171" s="2">
        <f t="shared" ca="1" si="2"/>
        <v>46250</v>
      </c>
      <c r="C171" t="s">
        <v>731</v>
      </c>
      <c r="D171" s="1">
        <v>0</v>
      </c>
      <c r="E171" t="s">
        <v>53</v>
      </c>
      <c r="F171" t="s">
        <v>43</v>
      </c>
      <c r="G171" t="s">
        <v>63</v>
      </c>
      <c r="H171">
        <v>41</v>
      </c>
      <c r="I171">
        <v>2.5</v>
      </c>
      <c r="J171" t="s">
        <v>694</v>
      </c>
      <c r="K171">
        <v>137</v>
      </c>
      <c r="L171">
        <v>0</v>
      </c>
      <c r="M171" t="s">
        <v>60</v>
      </c>
      <c r="N171" t="s">
        <v>25</v>
      </c>
      <c r="O171">
        <v>10</v>
      </c>
      <c r="P171" t="s">
        <v>30</v>
      </c>
      <c r="Q171">
        <v>228</v>
      </c>
    </row>
    <row r="172" spans="1:17" x14ac:dyDescent="0.25">
      <c r="A172" t="s">
        <v>262</v>
      </c>
      <c r="B172" s="2">
        <f t="shared" ca="1" si="2"/>
        <v>46280</v>
      </c>
      <c r="C172" t="s">
        <v>732</v>
      </c>
      <c r="D172" s="1">
        <v>0</v>
      </c>
      <c r="E172" t="s">
        <v>36</v>
      </c>
      <c r="F172" t="s">
        <v>70</v>
      </c>
      <c r="G172" t="s">
        <v>44</v>
      </c>
      <c r="H172">
        <v>45</v>
      </c>
      <c r="I172">
        <v>2.6</v>
      </c>
      <c r="J172" t="s">
        <v>102</v>
      </c>
      <c r="K172">
        <v>1230</v>
      </c>
      <c r="L172">
        <v>150</v>
      </c>
      <c r="M172" t="s">
        <v>55</v>
      </c>
      <c r="N172" t="s">
        <v>564</v>
      </c>
      <c r="O172">
        <v>2</v>
      </c>
      <c r="P172" t="s">
        <v>41</v>
      </c>
      <c r="Q172">
        <v>6</v>
      </c>
    </row>
    <row r="173" spans="1:17" x14ac:dyDescent="0.25">
      <c r="A173" t="s">
        <v>263</v>
      </c>
      <c r="B173" s="2">
        <f t="shared" ca="1" si="2"/>
        <v>46316</v>
      </c>
      <c r="C173" t="s">
        <v>634</v>
      </c>
      <c r="D173" s="1">
        <v>0</v>
      </c>
      <c r="E173" t="s">
        <v>548</v>
      </c>
      <c r="F173" t="s">
        <v>16</v>
      </c>
      <c r="G173" t="s">
        <v>81</v>
      </c>
      <c r="H173">
        <v>39</v>
      </c>
      <c r="I173">
        <v>1.9</v>
      </c>
      <c r="J173" t="s">
        <v>264</v>
      </c>
      <c r="K173">
        <v>1595</v>
      </c>
      <c r="L173">
        <v>120</v>
      </c>
      <c r="M173" t="s">
        <v>550</v>
      </c>
      <c r="N173" t="s">
        <v>48</v>
      </c>
      <c r="O173">
        <v>1</v>
      </c>
      <c r="P173" t="s">
        <v>35</v>
      </c>
      <c r="Q173">
        <v>63</v>
      </c>
    </row>
    <row r="174" spans="1:17" x14ac:dyDescent="0.25">
      <c r="A174" t="s">
        <v>265</v>
      </c>
      <c r="B174" s="2">
        <f t="shared" ca="1" si="2"/>
        <v>46110</v>
      </c>
      <c r="C174" t="s">
        <v>576</v>
      </c>
      <c r="D174" s="1">
        <v>0</v>
      </c>
      <c r="E174" t="s">
        <v>733</v>
      </c>
      <c r="F174" t="s">
        <v>58</v>
      </c>
      <c r="G174" t="s">
        <v>78</v>
      </c>
      <c r="H174">
        <v>39</v>
      </c>
      <c r="I174">
        <v>1.4</v>
      </c>
      <c r="J174" t="s">
        <v>320</v>
      </c>
      <c r="K174">
        <v>1818</v>
      </c>
      <c r="L174">
        <v>120</v>
      </c>
      <c r="M174" t="s">
        <v>55</v>
      </c>
      <c r="N174" t="s">
        <v>25</v>
      </c>
      <c r="O174">
        <v>1</v>
      </c>
      <c r="P174" t="s">
        <v>30</v>
      </c>
      <c r="Q174">
        <v>237</v>
      </c>
    </row>
    <row r="175" spans="1:17" x14ac:dyDescent="0.25">
      <c r="A175" t="s">
        <v>266</v>
      </c>
      <c r="B175" s="2">
        <f t="shared" ca="1" si="2"/>
        <v>46179</v>
      </c>
      <c r="C175" t="s">
        <v>671</v>
      </c>
      <c r="D175" s="1">
        <v>0</v>
      </c>
      <c r="E175" t="s">
        <v>20</v>
      </c>
      <c r="F175" t="s">
        <v>39</v>
      </c>
      <c r="G175" t="s">
        <v>33</v>
      </c>
      <c r="H175">
        <v>22</v>
      </c>
      <c r="I175">
        <v>3.7</v>
      </c>
      <c r="J175" t="s">
        <v>734</v>
      </c>
      <c r="K175">
        <v>1547</v>
      </c>
      <c r="L175">
        <v>75</v>
      </c>
      <c r="M175" t="s">
        <v>83</v>
      </c>
      <c r="N175" t="s">
        <v>25</v>
      </c>
      <c r="O175">
        <v>4</v>
      </c>
      <c r="P175" t="s">
        <v>35</v>
      </c>
      <c r="Q175">
        <v>162</v>
      </c>
    </row>
    <row r="176" spans="1:17" x14ac:dyDescent="0.25">
      <c r="A176" t="s">
        <v>267</v>
      </c>
      <c r="B176" s="2">
        <f t="shared" ca="1" si="2"/>
        <v>46310</v>
      </c>
      <c r="C176" t="s">
        <v>716</v>
      </c>
      <c r="D176" s="1">
        <v>0</v>
      </c>
      <c r="E176" t="s">
        <v>36</v>
      </c>
      <c r="F176" t="s">
        <v>75</v>
      </c>
      <c r="G176" t="s">
        <v>268</v>
      </c>
      <c r="H176">
        <v>32</v>
      </c>
      <c r="I176">
        <v>3.9</v>
      </c>
      <c r="J176" t="s">
        <v>565</v>
      </c>
      <c r="K176">
        <v>500</v>
      </c>
      <c r="L176">
        <v>0</v>
      </c>
      <c r="M176" t="s">
        <v>550</v>
      </c>
      <c r="N176" t="s">
        <v>25</v>
      </c>
      <c r="O176">
        <v>6</v>
      </c>
      <c r="P176" t="s">
        <v>68</v>
      </c>
      <c r="Q176">
        <v>242</v>
      </c>
    </row>
    <row r="177" spans="1:17" x14ac:dyDescent="0.25">
      <c r="A177" t="s">
        <v>269</v>
      </c>
      <c r="B177" s="2">
        <f t="shared" ca="1" si="2"/>
        <v>46078</v>
      </c>
      <c r="C177" t="s">
        <v>616</v>
      </c>
      <c r="D177" s="1">
        <v>0</v>
      </c>
      <c r="E177" t="s">
        <v>109</v>
      </c>
      <c r="F177" t="s">
        <v>116</v>
      </c>
      <c r="G177" t="s">
        <v>63</v>
      </c>
      <c r="H177">
        <v>33</v>
      </c>
      <c r="I177">
        <v>2.5</v>
      </c>
      <c r="J177" t="s">
        <v>604</v>
      </c>
      <c r="K177">
        <v>2147</v>
      </c>
      <c r="L177">
        <v>50</v>
      </c>
      <c r="M177" t="s">
        <v>24</v>
      </c>
      <c r="N177" t="s">
        <v>25</v>
      </c>
      <c r="O177">
        <v>9</v>
      </c>
      <c r="P177" t="s">
        <v>68</v>
      </c>
      <c r="Q177">
        <v>26</v>
      </c>
    </row>
    <row r="178" spans="1:17" x14ac:dyDescent="0.25">
      <c r="A178" t="s">
        <v>270</v>
      </c>
      <c r="B178" s="2">
        <f t="shared" ca="1" si="2"/>
        <v>46285</v>
      </c>
      <c r="C178" t="s">
        <v>732</v>
      </c>
      <c r="D178" s="1">
        <v>0</v>
      </c>
      <c r="E178" t="s">
        <v>548</v>
      </c>
      <c r="F178" t="s">
        <v>43</v>
      </c>
      <c r="G178" t="s">
        <v>81</v>
      </c>
      <c r="H178">
        <v>63</v>
      </c>
      <c r="I178">
        <v>4.5999999999999996</v>
      </c>
      <c r="J178" t="s">
        <v>320</v>
      </c>
      <c r="K178">
        <v>833</v>
      </c>
      <c r="L178">
        <v>100</v>
      </c>
      <c r="M178" t="s">
        <v>701</v>
      </c>
      <c r="N178" t="s">
        <v>25</v>
      </c>
      <c r="O178">
        <v>4</v>
      </c>
      <c r="P178" t="s">
        <v>30</v>
      </c>
      <c r="Q178">
        <v>3</v>
      </c>
    </row>
    <row r="179" spans="1:17" x14ac:dyDescent="0.25">
      <c r="A179" t="s">
        <v>271</v>
      </c>
      <c r="B179" s="2">
        <f t="shared" ca="1" si="2"/>
        <v>46364</v>
      </c>
      <c r="C179" t="s">
        <v>735</v>
      </c>
      <c r="D179" s="1">
        <v>0.48402777777777778</v>
      </c>
      <c r="E179" t="s">
        <v>577</v>
      </c>
      <c r="F179" t="s">
        <v>21</v>
      </c>
      <c r="G179" t="s">
        <v>63</v>
      </c>
      <c r="H179">
        <v>60</v>
      </c>
      <c r="I179">
        <v>2.4</v>
      </c>
      <c r="J179" t="s">
        <v>621</v>
      </c>
      <c r="K179">
        <v>1936</v>
      </c>
      <c r="L179">
        <v>0.6</v>
      </c>
      <c r="M179" t="s">
        <v>550</v>
      </c>
      <c r="N179" t="s">
        <v>34</v>
      </c>
      <c r="O179">
        <v>10</v>
      </c>
      <c r="P179" t="s">
        <v>41</v>
      </c>
      <c r="Q179">
        <v>46</v>
      </c>
    </row>
    <row r="180" spans="1:17" x14ac:dyDescent="0.25">
      <c r="A180" t="s">
        <v>272</v>
      </c>
      <c r="B180" s="2">
        <f t="shared" ca="1" si="2"/>
        <v>46023</v>
      </c>
      <c r="C180" t="s">
        <v>736</v>
      </c>
      <c r="D180" s="1">
        <v>0</v>
      </c>
      <c r="E180" t="s">
        <v>66</v>
      </c>
      <c r="F180" t="s">
        <v>564</v>
      </c>
      <c r="G180" t="s">
        <v>63</v>
      </c>
      <c r="H180">
        <v>36</v>
      </c>
      <c r="I180">
        <v>2.2000000000000002</v>
      </c>
      <c r="J180" t="s">
        <v>641</v>
      </c>
      <c r="K180">
        <v>257</v>
      </c>
      <c r="L180">
        <v>0.5</v>
      </c>
      <c r="M180" t="s">
        <v>566</v>
      </c>
      <c r="N180" t="s">
        <v>25</v>
      </c>
      <c r="O180">
        <v>4</v>
      </c>
      <c r="P180" t="s">
        <v>30</v>
      </c>
      <c r="Q180">
        <v>190</v>
      </c>
    </row>
    <row r="181" spans="1:17" x14ac:dyDescent="0.25">
      <c r="A181" t="s">
        <v>273</v>
      </c>
      <c r="B181" s="2">
        <f t="shared" ca="1" si="2"/>
        <v>46075</v>
      </c>
      <c r="C181" t="s">
        <v>689</v>
      </c>
      <c r="D181" s="1">
        <v>0</v>
      </c>
      <c r="E181" t="s">
        <v>27</v>
      </c>
      <c r="F181" t="s">
        <v>39</v>
      </c>
      <c r="G181" t="s">
        <v>22</v>
      </c>
      <c r="H181">
        <v>54</v>
      </c>
      <c r="I181">
        <v>2.5</v>
      </c>
      <c r="J181" t="s">
        <v>64</v>
      </c>
      <c r="K181">
        <v>2217</v>
      </c>
      <c r="L181">
        <v>150</v>
      </c>
      <c r="M181" t="s">
        <v>60</v>
      </c>
      <c r="N181" t="s">
        <v>25</v>
      </c>
      <c r="O181">
        <v>8</v>
      </c>
      <c r="P181" t="s">
        <v>35</v>
      </c>
      <c r="Q181">
        <v>108</v>
      </c>
    </row>
    <row r="182" spans="1:17" x14ac:dyDescent="0.25">
      <c r="A182" t="s">
        <v>274</v>
      </c>
      <c r="B182" s="2">
        <f t="shared" ca="1" si="2"/>
        <v>46149</v>
      </c>
      <c r="C182" t="s">
        <v>737</v>
      </c>
      <c r="D182" s="1">
        <v>0.27291666666666664</v>
      </c>
      <c r="E182" t="s">
        <v>548</v>
      </c>
      <c r="F182" t="s">
        <v>39</v>
      </c>
      <c r="G182" t="s">
        <v>17</v>
      </c>
      <c r="H182">
        <v>31</v>
      </c>
      <c r="I182">
        <v>2.6</v>
      </c>
      <c r="J182" t="s">
        <v>672</v>
      </c>
      <c r="K182">
        <v>629</v>
      </c>
      <c r="L182">
        <v>0.5</v>
      </c>
      <c r="M182" t="s">
        <v>24</v>
      </c>
      <c r="N182" t="s">
        <v>25</v>
      </c>
      <c r="O182">
        <v>1</v>
      </c>
      <c r="P182" t="s">
        <v>18</v>
      </c>
      <c r="Q182">
        <v>173</v>
      </c>
    </row>
    <row r="183" spans="1:17" x14ac:dyDescent="0.25">
      <c r="A183" t="s">
        <v>275</v>
      </c>
      <c r="B183" s="2">
        <f t="shared" ca="1" si="2"/>
        <v>46188</v>
      </c>
      <c r="C183" t="s">
        <v>560</v>
      </c>
      <c r="D183" s="1">
        <v>0</v>
      </c>
      <c r="E183" t="s">
        <v>548</v>
      </c>
      <c r="F183" t="s">
        <v>39</v>
      </c>
      <c r="G183" t="s">
        <v>50</v>
      </c>
      <c r="H183">
        <v>18</v>
      </c>
      <c r="I183">
        <v>2.8</v>
      </c>
      <c r="J183" t="s">
        <v>672</v>
      </c>
      <c r="K183">
        <v>1318</v>
      </c>
      <c r="L183">
        <v>0</v>
      </c>
      <c r="M183" t="s">
        <v>550</v>
      </c>
      <c r="N183" t="s">
        <v>25</v>
      </c>
      <c r="O183">
        <v>6</v>
      </c>
      <c r="P183" t="s">
        <v>35</v>
      </c>
    </row>
    <row r="184" spans="1:17" x14ac:dyDescent="0.25">
      <c r="A184" t="s">
        <v>276</v>
      </c>
      <c r="B184" s="2">
        <f t="shared" ca="1" si="2"/>
        <v>46318</v>
      </c>
      <c r="C184" t="s">
        <v>589</v>
      </c>
      <c r="D184" s="1">
        <v>0</v>
      </c>
      <c r="E184" t="s">
        <v>577</v>
      </c>
      <c r="F184" t="s">
        <v>43</v>
      </c>
      <c r="G184" t="s">
        <v>50</v>
      </c>
      <c r="H184">
        <v>33</v>
      </c>
      <c r="I184">
        <v>3.8</v>
      </c>
      <c r="J184" t="s">
        <v>277</v>
      </c>
      <c r="K184">
        <v>1028</v>
      </c>
      <c r="L184">
        <v>0</v>
      </c>
      <c r="M184" t="s">
        <v>550</v>
      </c>
      <c r="N184" t="s">
        <v>34</v>
      </c>
      <c r="O184">
        <v>9</v>
      </c>
      <c r="P184" t="s">
        <v>30</v>
      </c>
      <c r="Q184">
        <v>159</v>
      </c>
    </row>
    <row r="185" spans="1:17" x14ac:dyDescent="0.25">
      <c r="A185" t="s">
        <v>278</v>
      </c>
      <c r="B185" s="2">
        <f t="shared" ca="1" si="2"/>
        <v>46070</v>
      </c>
      <c r="C185" t="s">
        <v>683</v>
      </c>
      <c r="D185" s="1">
        <v>0</v>
      </c>
      <c r="E185" t="s">
        <v>20</v>
      </c>
      <c r="F185" t="s">
        <v>21</v>
      </c>
      <c r="G185" t="s">
        <v>29</v>
      </c>
      <c r="H185">
        <v>27</v>
      </c>
      <c r="I185">
        <v>4.2</v>
      </c>
      <c r="J185" t="s">
        <v>320</v>
      </c>
      <c r="K185">
        <v>1028</v>
      </c>
      <c r="L185">
        <v>75</v>
      </c>
      <c r="M185" t="s">
        <v>83</v>
      </c>
      <c r="N185" t="s">
        <v>25</v>
      </c>
      <c r="O185">
        <v>10</v>
      </c>
      <c r="P185" t="s">
        <v>35</v>
      </c>
      <c r="Q185">
        <v>75</v>
      </c>
    </row>
    <row r="186" spans="1:17" x14ac:dyDescent="0.25">
      <c r="A186" t="s">
        <v>279</v>
      </c>
      <c r="B186" s="2">
        <f t="shared" ca="1" si="2"/>
        <v>46134</v>
      </c>
      <c r="C186" t="s">
        <v>598</v>
      </c>
      <c r="D186" s="1">
        <v>0</v>
      </c>
      <c r="E186" t="s">
        <v>57</v>
      </c>
      <c r="F186" t="s">
        <v>116</v>
      </c>
      <c r="G186" t="s">
        <v>78</v>
      </c>
      <c r="H186">
        <v>34</v>
      </c>
      <c r="I186">
        <v>4</v>
      </c>
      <c r="J186" t="s">
        <v>559</v>
      </c>
      <c r="K186">
        <v>1631</v>
      </c>
      <c r="L186">
        <v>0</v>
      </c>
      <c r="M186" t="s">
        <v>566</v>
      </c>
      <c r="N186" t="s">
        <v>25</v>
      </c>
      <c r="O186">
        <v>1</v>
      </c>
      <c r="P186" t="s">
        <v>553</v>
      </c>
      <c r="Q186">
        <v>120</v>
      </c>
    </row>
    <row r="187" spans="1:17" x14ac:dyDescent="0.25">
      <c r="A187" t="s">
        <v>280</v>
      </c>
      <c r="B187" s="2">
        <f t="shared" ca="1" si="2"/>
        <v>46166</v>
      </c>
      <c r="C187" t="s">
        <v>738</v>
      </c>
      <c r="D187" s="1">
        <v>0.40972222222222221</v>
      </c>
      <c r="E187" t="s">
        <v>109</v>
      </c>
      <c r="F187" t="s">
        <v>70</v>
      </c>
      <c r="G187" t="s">
        <v>29</v>
      </c>
      <c r="H187">
        <v>44</v>
      </c>
      <c r="I187">
        <v>4.7</v>
      </c>
      <c r="J187" t="s">
        <v>211</v>
      </c>
      <c r="K187">
        <v>515</v>
      </c>
      <c r="L187">
        <v>0.2</v>
      </c>
      <c r="M187" t="s">
        <v>550</v>
      </c>
      <c r="N187" t="s">
        <v>564</v>
      </c>
      <c r="O187">
        <v>1</v>
      </c>
      <c r="P187" t="s">
        <v>553</v>
      </c>
      <c r="Q187">
        <v>48</v>
      </c>
    </row>
    <row r="188" spans="1:17" x14ac:dyDescent="0.25">
      <c r="A188" t="s">
        <v>556</v>
      </c>
      <c r="B188" s="2">
        <f t="shared" ca="1" si="2"/>
        <v>46275</v>
      </c>
      <c r="C188" t="s">
        <v>610</v>
      </c>
      <c r="D188" s="1">
        <v>0</v>
      </c>
      <c r="E188" t="s">
        <v>20</v>
      </c>
      <c r="F188" t="s">
        <v>32</v>
      </c>
      <c r="G188" t="s">
        <v>22</v>
      </c>
      <c r="H188">
        <v>40</v>
      </c>
      <c r="I188">
        <v>4.2</v>
      </c>
      <c r="J188" t="s">
        <v>320</v>
      </c>
      <c r="K188">
        <v>2192</v>
      </c>
      <c r="L188">
        <v>50</v>
      </c>
      <c r="M188" t="s">
        <v>550</v>
      </c>
      <c r="N188" t="s">
        <v>34</v>
      </c>
      <c r="O188">
        <v>8</v>
      </c>
      <c r="P188" t="s">
        <v>41</v>
      </c>
      <c r="Q188">
        <v>245</v>
      </c>
    </row>
    <row r="189" spans="1:17" x14ac:dyDescent="0.25">
      <c r="A189" t="s">
        <v>281</v>
      </c>
      <c r="B189" s="2">
        <f t="shared" ca="1" si="2"/>
        <v>46309</v>
      </c>
      <c r="C189" t="s">
        <v>739</v>
      </c>
      <c r="D189" s="1">
        <v>0.46250000000000002</v>
      </c>
      <c r="E189" t="s">
        <v>53</v>
      </c>
      <c r="F189" t="s">
        <v>58</v>
      </c>
      <c r="G189" t="s">
        <v>78</v>
      </c>
      <c r="H189">
        <v>51</v>
      </c>
      <c r="I189">
        <v>4.0999999999999996</v>
      </c>
      <c r="J189" t="s">
        <v>650</v>
      </c>
      <c r="K189">
        <v>424</v>
      </c>
      <c r="L189">
        <v>0.6</v>
      </c>
      <c r="M189" t="s">
        <v>566</v>
      </c>
      <c r="N189" t="s">
        <v>25</v>
      </c>
      <c r="O189">
        <v>2</v>
      </c>
      <c r="P189" t="s">
        <v>18</v>
      </c>
      <c r="Q189">
        <v>27</v>
      </c>
    </row>
    <row r="190" spans="1:17" x14ac:dyDescent="0.25">
      <c r="A190" t="s">
        <v>282</v>
      </c>
      <c r="B190" s="2">
        <f t="shared" ca="1" si="2"/>
        <v>46146</v>
      </c>
      <c r="C190" t="s">
        <v>740</v>
      </c>
      <c r="D190" s="1">
        <v>0.3659722222222222</v>
      </c>
      <c r="E190" t="s">
        <v>90</v>
      </c>
      <c r="F190" t="s">
        <v>75</v>
      </c>
      <c r="G190" t="s">
        <v>63</v>
      </c>
      <c r="H190">
        <v>63</v>
      </c>
      <c r="I190">
        <v>3.9</v>
      </c>
      <c r="J190" t="s">
        <v>703</v>
      </c>
      <c r="K190">
        <v>2044</v>
      </c>
      <c r="L190">
        <v>0.1</v>
      </c>
      <c r="M190" t="s">
        <v>550</v>
      </c>
      <c r="N190" t="s">
        <v>25</v>
      </c>
      <c r="O190">
        <v>7</v>
      </c>
      <c r="P190" t="s">
        <v>41</v>
      </c>
      <c r="Q190">
        <v>115</v>
      </c>
    </row>
    <row r="191" spans="1:17" x14ac:dyDescent="0.25">
      <c r="A191" t="s">
        <v>283</v>
      </c>
      <c r="B191" s="2">
        <f t="shared" ca="1" si="2"/>
        <v>46311</v>
      </c>
      <c r="C191" t="s">
        <v>572</v>
      </c>
      <c r="D191" s="1">
        <v>0.51875000000000004</v>
      </c>
      <c r="E191" t="s">
        <v>109</v>
      </c>
      <c r="F191" t="s">
        <v>70</v>
      </c>
      <c r="G191" t="s">
        <v>81</v>
      </c>
      <c r="H191">
        <v>27</v>
      </c>
      <c r="I191">
        <v>4.4000000000000004</v>
      </c>
      <c r="J191" t="s">
        <v>650</v>
      </c>
      <c r="K191">
        <v>1545</v>
      </c>
      <c r="L191">
        <v>0</v>
      </c>
      <c r="M191" t="s">
        <v>60</v>
      </c>
      <c r="N191" t="s">
        <v>34</v>
      </c>
      <c r="O191">
        <v>6</v>
      </c>
      <c r="P191" t="s">
        <v>30</v>
      </c>
      <c r="Q191">
        <v>162</v>
      </c>
    </row>
    <row r="192" spans="1:17" x14ac:dyDescent="0.25">
      <c r="A192" t="s">
        <v>284</v>
      </c>
      <c r="B192" s="2">
        <f t="shared" ca="1" si="2"/>
        <v>46036</v>
      </c>
      <c r="C192" t="s">
        <v>671</v>
      </c>
      <c r="D192" s="1">
        <v>0</v>
      </c>
      <c r="E192" t="s">
        <v>27</v>
      </c>
      <c r="F192" t="s">
        <v>16</v>
      </c>
      <c r="G192" t="s">
        <v>50</v>
      </c>
      <c r="H192">
        <v>62</v>
      </c>
      <c r="I192">
        <v>3.8</v>
      </c>
      <c r="J192" t="s">
        <v>561</v>
      </c>
      <c r="K192">
        <v>432</v>
      </c>
      <c r="L192">
        <v>0</v>
      </c>
      <c r="M192" t="s">
        <v>24</v>
      </c>
      <c r="N192" t="s">
        <v>25</v>
      </c>
      <c r="O192">
        <v>4</v>
      </c>
      <c r="P192" t="s">
        <v>553</v>
      </c>
      <c r="Q192">
        <v>40</v>
      </c>
    </row>
    <row r="193" spans="1:17" x14ac:dyDescent="0.25">
      <c r="A193" t="s">
        <v>285</v>
      </c>
      <c r="B193" s="2">
        <f t="shared" ca="1" si="2"/>
        <v>46076</v>
      </c>
      <c r="C193" t="s">
        <v>654</v>
      </c>
      <c r="D193" s="1">
        <v>0</v>
      </c>
      <c r="E193" t="s">
        <v>57</v>
      </c>
      <c r="F193" t="s">
        <v>21</v>
      </c>
      <c r="G193" t="s">
        <v>17</v>
      </c>
      <c r="H193">
        <v>43</v>
      </c>
      <c r="I193">
        <v>1.5</v>
      </c>
      <c r="J193" t="s">
        <v>718</v>
      </c>
      <c r="K193">
        <v>1757</v>
      </c>
      <c r="L193">
        <v>100</v>
      </c>
      <c r="M193" t="s">
        <v>24</v>
      </c>
      <c r="N193" t="s">
        <v>25</v>
      </c>
      <c r="O193">
        <v>8</v>
      </c>
      <c r="P193" t="s">
        <v>564</v>
      </c>
      <c r="Q193">
        <v>42</v>
      </c>
    </row>
    <row r="194" spans="1:17" x14ac:dyDescent="0.25">
      <c r="A194" t="s">
        <v>286</v>
      </c>
      <c r="B194" s="2">
        <f t="shared" ref="B194:B257" ca="1" si="3">RANDBETWEEN(DATE(2026,1,1),DATE(2026,12,31))</f>
        <v>46212</v>
      </c>
      <c r="C194" t="s">
        <v>653</v>
      </c>
      <c r="D194" s="1">
        <v>0</v>
      </c>
      <c r="E194" t="s">
        <v>97</v>
      </c>
      <c r="F194" t="s">
        <v>58</v>
      </c>
      <c r="G194" t="s">
        <v>63</v>
      </c>
      <c r="H194">
        <v>52</v>
      </c>
      <c r="I194">
        <v>4.3</v>
      </c>
      <c r="J194" t="s">
        <v>320</v>
      </c>
      <c r="K194">
        <v>1443</v>
      </c>
      <c r="L194">
        <v>100</v>
      </c>
      <c r="M194" t="s">
        <v>550</v>
      </c>
      <c r="N194" t="s">
        <v>25</v>
      </c>
      <c r="O194">
        <v>2</v>
      </c>
      <c r="P194" t="s">
        <v>30</v>
      </c>
      <c r="Q194">
        <v>78</v>
      </c>
    </row>
    <row r="195" spans="1:17" x14ac:dyDescent="0.25">
      <c r="A195" t="s">
        <v>287</v>
      </c>
      <c r="B195" s="2">
        <f t="shared" ca="1" si="3"/>
        <v>46135</v>
      </c>
      <c r="C195" t="s">
        <v>716</v>
      </c>
      <c r="D195" s="1">
        <v>0</v>
      </c>
      <c r="E195" t="s">
        <v>31</v>
      </c>
      <c r="F195" t="s">
        <v>43</v>
      </c>
      <c r="G195" t="s">
        <v>190</v>
      </c>
      <c r="H195">
        <v>36</v>
      </c>
      <c r="I195">
        <v>2.8</v>
      </c>
      <c r="J195" t="s">
        <v>741</v>
      </c>
      <c r="K195">
        <v>1364</v>
      </c>
      <c r="L195">
        <v>0.6</v>
      </c>
      <c r="M195" t="s">
        <v>83</v>
      </c>
      <c r="N195" t="s">
        <v>34</v>
      </c>
      <c r="O195">
        <v>4</v>
      </c>
      <c r="P195" t="s">
        <v>30</v>
      </c>
      <c r="Q195">
        <v>38</v>
      </c>
    </row>
    <row r="196" spans="1:17" x14ac:dyDescent="0.25">
      <c r="A196" t="s">
        <v>288</v>
      </c>
      <c r="B196" s="2">
        <f t="shared" ca="1" si="3"/>
        <v>46239</v>
      </c>
      <c r="C196" t="s">
        <v>723</v>
      </c>
      <c r="D196" s="1">
        <v>0</v>
      </c>
      <c r="E196" t="s">
        <v>57</v>
      </c>
      <c r="F196" t="s">
        <v>75</v>
      </c>
      <c r="G196" t="s">
        <v>289</v>
      </c>
      <c r="H196">
        <v>28</v>
      </c>
      <c r="I196">
        <v>1.3</v>
      </c>
      <c r="J196" t="s">
        <v>742</v>
      </c>
      <c r="K196">
        <v>500</v>
      </c>
      <c r="L196">
        <v>150</v>
      </c>
      <c r="M196" t="s">
        <v>83</v>
      </c>
      <c r="N196" t="s">
        <v>25</v>
      </c>
      <c r="O196">
        <v>1</v>
      </c>
      <c r="P196" t="s">
        <v>553</v>
      </c>
      <c r="Q196">
        <v>34</v>
      </c>
    </row>
    <row r="197" spans="1:17" x14ac:dyDescent="0.25">
      <c r="A197" t="s">
        <v>290</v>
      </c>
      <c r="B197" s="2">
        <f t="shared" ca="1" si="3"/>
        <v>46310</v>
      </c>
      <c r="C197" t="s">
        <v>743</v>
      </c>
      <c r="D197" s="1">
        <v>0.97222222222222221</v>
      </c>
      <c r="E197" t="s">
        <v>97</v>
      </c>
      <c r="F197" t="s">
        <v>47</v>
      </c>
      <c r="G197" t="s">
        <v>50</v>
      </c>
      <c r="H197">
        <v>25</v>
      </c>
      <c r="I197">
        <v>3.7</v>
      </c>
      <c r="J197" t="s">
        <v>677</v>
      </c>
      <c r="K197">
        <v>810</v>
      </c>
      <c r="L197">
        <v>0.1</v>
      </c>
      <c r="M197" t="s">
        <v>24</v>
      </c>
      <c r="N197" t="s">
        <v>551</v>
      </c>
      <c r="O197">
        <v>8</v>
      </c>
      <c r="P197" t="s">
        <v>18</v>
      </c>
      <c r="Q197">
        <v>28</v>
      </c>
    </row>
    <row r="198" spans="1:17" x14ac:dyDescent="0.25">
      <c r="A198" t="s">
        <v>556</v>
      </c>
      <c r="B198" s="2">
        <f t="shared" ca="1" si="3"/>
        <v>46278</v>
      </c>
      <c r="C198" t="s">
        <v>705</v>
      </c>
      <c r="D198" s="1">
        <v>0</v>
      </c>
      <c r="E198" t="s">
        <v>36</v>
      </c>
      <c r="F198" t="s">
        <v>39</v>
      </c>
      <c r="G198" t="s">
        <v>81</v>
      </c>
      <c r="H198">
        <v>29</v>
      </c>
      <c r="I198">
        <v>2.1</v>
      </c>
      <c r="J198" t="s">
        <v>563</v>
      </c>
      <c r="K198">
        <v>505</v>
      </c>
      <c r="L198">
        <v>75</v>
      </c>
      <c r="M198" t="s">
        <v>24</v>
      </c>
      <c r="N198" t="s">
        <v>25</v>
      </c>
      <c r="O198">
        <v>0</v>
      </c>
      <c r="P198" t="s">
        <v>553</v>
      </c>
      <c r="Q198">
        <v>140</v>
      </c>
    </row>
    <row r="199" spans="1:17" x14ac:dyDescent="0.25">
      <c r="A199" t="s">
        <v>291</v>
      </c>
      <c r="B199" s="2">
        <f t="shared" ca="1" si="3"/>
        <v>46280</v>
      </c>
      <c r="C199" t="s">
        <v>744</v>
      </c>
      <c r="D199" s="1">
        <v>0</v>
      </c>
      <c r="E199" t="s">
        <v>57</v>
      </c>
      <c r="F199" t="s">
        <v>75</v>
      </c>
      <c r="G199" t="s">
        <v>50</v>
      </c>
      <c r="H199">
        <v>39</v>
      </c>
      <c r="I199">
        <v>3.4</v>
      </c>
      <c r="J199" t="s">
        <v>320</v>
      </c>
      <c r="K199">
        <v>1263</v>
      </c>
      <c r="L199">
        <v>0</v>
      </c>
      <c r="M199" t="s">
        <v>566</v>
      </c>
      <c r="N199" t="s">
        <v>34</v>
      </c>
      <c r="O199">
        <v>4</v>
      </c>
      <c r="P199" t="s">
        <v>553</v>
      </c>
      <c r="Q199">
        <v>153</v>
      </c>
    </row>
    <row r="200" spans="1:17" x14ac:dyDescent="0.25">
      <c r="A200" t="s">
        <v>292</v>
      </c>
      <c r="B200" s="2">
        <f t="shared" ca="1" si="3"/>
        <v>46218</v>
      </c>
      <c r="C200" t="s">
        <v>679</v>
      </c>
      <c r="D200" s="1">
        <v>0</v>
      </c>
      <c r="E200" t="s">
        <v>97</v>
      </c>
      <c r="F200" t="s">
        <v>43</v>
      </c>
      <c r="G200" t="s">
        <v>63</v>
      </c>
      <c r="H200">
        <v>62</v>
      </c>
      <c r="I200">
        <v>1.9</v>
      </c>
      <c r="J200" t="s">
        <v>652</v>
      </c>
      <c r="K200">
        <v>266</v>
      </c>
      <c r="L200">
        <v>0</v>
      </c>
      <c r="M200" t="s">
        <v>550</v>
      </c>
      <c r="N200" t="s">
        <v>25</v>
      </c>
      <c r="O200">
        <v>1</v>
      </c>
      <c r="P200" t="s">
        <v>18</v>
      </c>
      <c r="Q200">
        <v>14</v>
      </c>
    </row>
    <row r="201" spans="1:17" x14ac:dyDescent="0.25">
      <c r="A201" t="s">
        <v>293</v>
      </c>
      <c r="B201" s="2">
        <f t="shared" ca="1" si="3"/>
        <v>46303</v>
      </c>
      <c r="C201" t="s">
        <v>745</v>
      </c>
      <c r="D201" s="1">
        <v>0</v>
      </c>
      <c r="E201" t="s">
        <v>20</v>
      </c>
      <c r="F201" t="s">
        <v>39</v>
      </c>
      <c r="G201" t="s">
        <v>63</v>
      </c>
      <c r="H201">
        <v>42</v>
      </c>
      <c r="I201">
        <v>1.4</v>
      </c>
      <c r="J201" t="s">
        <v>677</v>
      </c>
      <c r="K201">
        <v>218</v>
      </c>
      <c r="L201">
        <v>50</v>
      </c>
      <c r="M201" t="s">
        <v>55</v>
      </c>
      <c r="N201" t="s">
        <v>25</v>
      </c>
      <c r="O201">
        <v>4</v>
      </c>
      <c r="P201" t="s">
        <v>41</v>
      </c>
      <c r="Q201">
        <v>17</v>
      </c>
    </row>
    <row r="202" spans="1:17" x14ac:dyDescent="0.25">
      <c r="A202" t="s">
        <v>294</v>
      </c>
      <c r="B202" s="2">
        <f t="shared" ca="1" si="3"/>
        <v>46191</v>
      </c>
      <c r="C202" t="s">
        <v>592</v>
      </c>
      <c r="D202" s="1">
        <v>0</v>
      </c>
      <c r="E202" t="s">
        <v>66</v>
      </c>
      <c r="F202" t="s">
        <v>70</v>
      </c>
      <c r="G202" t="s">
        <v>63</v>
      </c>
      <c r="H202">
        <v>21</v>
      </c>
      <c r="I202">
        <v>3.8</v>
      </c>
      <c r="J202" t="s">
        <v>645</v>
      </c>
      <c r="K202">
        <v>1298</v>
      </c>
      <c r="L202">
        <v>0</v>
      </c>
      <c r="M202" t="s">
        <v>55</v>
      </c>
      <c r="N202" t="s">
        <v>25</v>
      </c>
      <c r="O202">
        <v>3</v>
      </c>
      <c r="P202" t="s">
        <v>41</v>
      </c>
      <c r="Q202">
        <v>210</v>
      </c>
    </row>
    <row r="203" spans="1:17" x14ac:dyDescent="0.25">
      <c r="A203" t="s">
        <v>295</v>
      </c>
      <c r="B203" s="2">
        <f t="shared" ca="1" si="3"/>
        <v>46080</v>
      </c>
      <c r="C203" t="s">
        <v>746</v>
      </c>
      <c r="D203" s="1">
        <v>0</v>
      </c>
      <c r="E203" t="s">
        <v>53</v>
      </c>
      <c r="F203" t="s">
        <v>70</v>
      </c>
      <c r="G203" t="s">
        <v>29</v>
      </c>
      <c r="H203">
        <v>21</v>
      </c>
      <c r="I203">
        <v>2</v>
      </c>
      <c r="J203" t="s">
        <v>669</v>
      </c>
      <c r="K203">
        <v>123</v>
      </c>
      <c r="L203">
        <v>75</v>
      </c>
      <c r="M203" t="s">
        <v>60</v>
      </c>
      <c r="N203" t="s">
        <v>34</v>
      </c>
      <c r="O203">
        <v>1</v>
      </c>
      <c r="P203" t="s">
        <v>553</v>
      </c>
      <c r="Q203">
        <v>8</v>
      </c>
    </row>
    <row r="204" spans="1:17" x14ac:dyDescent="0.25">
      <c r="A204" t="s">
        <v>296</v>
      </c>
      <c r="B204" s="2">
        <f t="shared" ca="1" si="3"/>
        <v>46114</v>
      </c>
      <c r="C204" t="s">
        <v>567</v>
      </c>
      <c r="D204" s="1">
        <v>0</v>
      </c>
      <c r="E204" t="s">
        <v>97</v>
      </c>
      <c r="F204" t="s">
        <v>116</v>
      </c>
      <c r="G204" t="s">
        <v>81</v>
      </c>
      <c r="H204">
        <v>46</v>
      </c>
      <c r="I204">
        <v>3.9</v>
      </c>
      <c r="J204" t="s">
        <v>652</v>
      </c>
      <c r="K204">
        <v>343</v>
      </c>
      <c r="L204">
        <v>0.15</v>
      </c>
      <c r="M204" t="s">
        <v>55</v>
      </c>
      <c r="N204" t="s">
        <v>564</v>
      </c>
      <c r="O204">
        <v>3</v>
      </c>
      <c r="P204" t="s">
        <v>35</v>
      </c>
      <c r="Q204">
        <v>33</v>
      </c>
    </row>
    <row r="205" spans="1:17" x14ac:dyDescent="0.25">
      <c r="A205" t="s">
        <v>297</v>
      </c>
      <c r="B205" s="2">
        <f t="shared" ca="1" si="3"/>
        <v>46338</v>
      </c>
      <c r="C205" t="s">
        <v>747</v>
      </c>
      <c r="D205" s="1">
        <v>0.1423611111111111</v>
      </c>
      <c r="E205" t="s">
        <v>109</v>
      </c>
      <c r="F205" t="s">
        <v>16</v>
      </c>
      <c r="G205" t="s">
        <v>33</v>
      </c>
      <c r="H205">
        <v>56</v>
      </c>
      <c r="I205">
        <v>2.5</v>
      </c>
      <c r="J205" t="s">
        <v>748</v>
      </c>
      <c r="K205">
        <v>1411</v>
      </c>
      <c r="L205">
        <v>0</v>
      </c>
      <c r="M205" t="s">
        <v>55</v>
      </c>
      <c r="N205" t="s">
        <v>34</v>
      </c>
      <c r="O205">
        <v>9</v>
      </c>
      <c r="P205" t="s">
        <v>553</v>
      </c>
    </row>
    <row r="206" spans="1:17" x14ac:dyDescent="0.25">
      <c r="A206" t="s">
        <v>298</v>
      </c>
      <c r="B206" s="2">
        <f t="shared" ca="1" si="3"/>
        <v>46309</v>
      </c>
      <c r="C206" t="s">
        <v>725</v>
      </c>
      <c r="D206" s="1">
        <v>0.10833333333333334</v>
      </c>
      <c r="E206" t="s">
        <v>109</v>
      </c>
      <c r="F206" t="s">
        <v>21</v>
      </c>
      <c r="G206" t="s">
        <v>81</v>
      </c>
      <c r="H206">
        <v>40</v>
      </c>
      <c r="I206">
        <v>2.7</v>
      </c>
      <c r="J206" t="s">
        <v>727</v>
      </c>
      <c r="K206">
        <v>1552</v>
      </c>
      <c r="L206">
        <v>0.15</v>
      </c>
      <c r="M206" t="s">
        <v>566</v>
      </c>
      <c r="N206" t="s">
        <v>25</v>
      </c>
      <c r="O206">
        <v>7</v>
      </c>
      <c r="P206" t="s">
        <v>41</v>
      </c>
      <c r="Q206">
        <v>167</v>
      </c>
    </row>
    <row r="207" spans="1:17" x14ac:dyDescent="0.25">
      <c r="A207" t="s">
        <v>219</v>
      </c>
      <c r="B207" s="2">
        <f t="shared" ca="1" si="3"/>
        <v>46357</v>
      </c>
      <c r="C207" t="s">
        <v>749</v>
      </c>
      <c r="D207" s="1">
        <v>0</v>
      </c>
      <c r="E207" t="s">
        <v>109</v>
      </c>
      <c r="F207" t="s">
        <v>39</v>
      </c>
      <c r="G207" t="s">
        <v>44</v>
      </c>
      <c r="H207">
        <v>62</v>
      </c>
      <c r="I207">
        <v>2.5</v>
      </c>
      <c r="J207" t="s">
        <v>320</v>
      </c>
      <c r="K207">
        <v>2416</v>
      </c>
      <c r="L207">
        <v>150</v>
      </c>
      <c r="M207" t="s">
        <v>83</v>
      </c>
      <c r="N207" t="s">
        <v>25</v>
      </c>
      <c r="O207">
        <v>1</v>
      </c>
      <c r="P207" t="s">
        <v>41</v>
      </c>
      <c r="Q207">
        <v>173</v>
      </c>
    </row>
    <row r="208" spans="1:17" x14ac:dyDescent="0.25">
      <c r="A208" t="s">
        <v>299</v>
      </c>
      <c r="B208" s="2">
        <f t="shared" ca="1" si="3"/>
        <v>46092</v>
      </c>
      <c r="C208" t="s">
        <v>750</v>
      </c>
      <c r="D208" s="1">
        <v>0</v>
      </c>
      <c r="E208" t="s">
        <v>577</v>
      </c>
      <c r="F208" t="s">
        <v>196</v>
      </c>
      <c r="G208" t="s">
        <v>300</v>
      </c>
      <c r="H208">
        <v>47</v>
      </c>
      <c r="I208">
        <v>4.3</v>
      </c>
      <c r="J208" t="s">
        <v>751</v>
      </c>
      <c r="K208">
        <v>848</v>
      </c>
      <c r="L208">
        <v>75</v>
      </c>
      <c r="M208" t="s">
        <v>550</v>
      </c>
      <c r="N208" t="s">
        <v>34</v>
      </c>
      <c r="O208">
        <v>9</v>
      </c>
      <c r="P208" t="s">
        <v>41</v>
      </c>
      <c r="Q208">
        <v>75</v>
      </c>
    </row>
    <row r="209" spans="1:17" x14ac:dyDescent="0.25">
      <c r="A209" t="s">
        <v>301</v>
      </c>
      <c r="B209" s="2">
        <f t="shared" ca="1" si="3"/>
        <v>46351</v>
      </c>
      <c r="C209" t="s">
        <v>752</v>
      </c>
      <c r="D209" s="1">
        <v>0</v>
      </c>
      <c r="E209" t="s">
        <v>90</v>
      </c>
      <c r="F209" t="s">
        <v>564</v>
      </c>
      <c r="G209" t="s">
        <v>81</v>
      </c>
      <c r="H209">
        <v>18</v>
      </c>
      <c r="I209">
        <v>1.8</v>
      </c>
      <c r="J209" t="s">
        <v>178</v>
      </c>
      <c r="K209">
        <v>197</v>
      </c>
      <c r="L209">
        <v>120</v>
      </c>
      <c r="M209" t="s">
        <v>550</v>
      </c>
      <c r="N209" t="s">
        <v>48</v>
      </c>
      <c r="O209">
        <v>5</v>
      </c>
      <c r="P209" t="s">
        <v>35</v>
      </c>
      <c r="Q209">
        <v>49</v>
      </c>
    </row>
    <row r="210" spans="1:17" x14ac:dyDescent="0.25">
      <c r="A210" t="s">
        <v>302</v>
      </c>
      <c r="B210" s="2">
        <f t="shared" ca="1" si="3"/>
        <v>46084</v>
      </c>
      <c r="C210" t="s">
        <v>753</v>
      </c>
      <c r="D210" s="1">
        <v>0</v>
      </c>
      <c r="E210" t="s">
        <v>31</v>
      </c>
      <c r="F210" t="s">
        <v>58</v>
      </c>
      <c r="G210" t="s">
        <v>29</v>
      </c>
      <c r="H210">
        <v>63</v>
      </c>
      <c r="I210">
        <v>1.9</v>
      </c>
      <c r="J210" t="s">
        <v>588</v>
      </c>
      <c r="K210">
        <v>1950</v>
      </c>
      <c r="L210">
        <v>120</v>
      </c>
      <c r="M210" t="s">
        <v>24</v>
      </c>
      <c r="N210" t="s">
        <v>25</v>
      </c>
      <c r="O210">
        <v>7</v>
      </c>
      <c r="P210" t="s">
        <v>18</v>
      </c>
      <c r="Q210">
        <v>48</v>
      </c>
    </row>
    <row r="211" spans="1:17" x14ac:dyDescent="0.25">
      <c r="A211" t="s">
        <v>303</v>
      </c>
      <c r="B211" s="2">
        <f t="shared" ca="1" si="3"/>
        <v>46209</v>
      </c>
      <c r="C211" t="s">
        <v>676</v>
      </c>
      <c r="D211" s="1">
        <v>0.80625000000000002</v>
      </c>
      <c r="E211" t="s">
        <v>66</v>
      </c>
      <c r="F211" t="s">
        <v>43</v>
      </c>
      <c r="G211" t="s">
        <v>78</v>
      </c>
      <c r="H211">
        <v>22</v>
      </c>
      <c r="I211">
        <v>2.5</v>
      </c>
      <c r="J211" t="s">
        <v>304</v>
      </c>
      <c r="K211">
        <v>1811</v>
      </c>
      <c r="L211">
        <v>75</v>
      </c>
      <c r="M211" t="s">
        <v>566</v>
      </c>
      <c r="N211" t="s">
        <v>25</v>
      </c>
      <c r="O211">
        <v>7</v>
      </c>
      <c r="P211" t="s">
        <v>41</v>
      </c>
      <c r="Q211">
        <v>41</v>
      </c>
    </row>
    <row r="212" spans="1:17" x14ac:dyDescent="0.25">
      <c r="A212" t="s">
        <v>305</v>
      </c>
      <c r="B212" s="2">
        <f t="shared" ca="1" si="3"/>
        <v>46386</v>
      </c>
      <c r="C212" t="s">
        <v>744</v>
      </c>
      <c r="D212" s="1">
        <v>0</v>
      </c>
      <c r="E212" t="s">
        <v>20</v>
      </c>
      <c r="F212" t="s">
        <v>16</v>
      </c>
      <c r="G212" t="s">
        <v>33</v>
      </c>
      <c r="H212">
        <v>22</v>
      </c>
      <c r="I212">
        <v>4.5</v>
      </c>
      <c r="J212" t="s">
        <v>729</v>
      </c>
      <c r="K212">
        <v>1229</v>
      </c>
      <c r="L212">
        <v>100</v>
      </c>
      <c r="M212" t="s">
        <v>550</v>
      </c>
      <c r="N212" t="s">
        <v>25</v>
      </c>
      <c r="O212">
        <v>6</v>
      </c>
      <c r="P212" t="s">
        <v>68</v>
      </c>
      <c r="Q212">
        <v>152</v>
      </c>
    </row>
    <row r="213" spans="1:17" x14ac:dyDescent="0.25">
      <c r="A213" t="s">
        <v>306</v>
      </c>
      <c r="B213" s="2">
        <f t="shared" ca="1" si="3"/>
        <v>46106</v>
      </c>
      <c r="C213" t="s">
        <v>754</v>
      </c>
      <c r="D213" s="1">
        <v>0.20694444444444443</v>
      </c>
      <c r="E213" t="s">
        <v>577</v>
      </c>
      <c r="F213" t="s">
        <v>32</v>
      </c>
      <c r="G213" t="s">
        <v>22</v>
      </c>
      <c r="H213">
        <v>58</v>
      </c>
      <c r="I213">
        <v>1.6</v>
      </c>
      <c r="J213" t="s">
        <v>581</v>
      </c>
      <c r="K213">
        <v>830</v>
      </c>
      <c r="L213">
        <v>120</v>
      </c>
      <c r="M213" t="s">
        <v>55</v>
      </c>
      <c r="N213" t="s">
        <v>25</v>
      </c>
      <c r="O213">
        <v>5</v>
      </c>
      <c r="P213" t="s">
        <v>30</v>
      </c>
      <c r="Q213">
        <v>79</v>
      </c>
    </row>
    <row r="214" spans="1:17" x14ac:dyDescent="0.25">
      <c r="A214" t="s">
        <v>307</v>
      </c>
      <c r="B214" s="2">
        <f t="shared" ca="1" si="3"/>
        <v>46381</v>
      </c>
      <c r="C214" t="s">
        <v>649</v>
      </c>
      <c r="D214" s="1">
        <v>0</v>
      </c>
      <c r="E214" t="s">
        <v>97</v>
      </c>
      <c r="F214" t="s">
        <v>116</v>
      </c>
      <c r="G214" t="s">
        <v>29</v>
      </c>
      <c r="H214">
        <v>65</v>
      </c>
      <c r="I214">
        <v>1.1000000000000001</v>
      </c>
      <c r="J214" t="s">
        <v>588</v>
      </c>
      <c r="K214">
        <v>1309</v>
      </c>
      <c r="L214">
        <v>150</v>
      </c>
      <c r="M214" t="s">
        <v>566</v>
      </c>
      <c r="N214" t="s">
        <v>34</v>
      </c>
      <c r="O214">
        <v>1</v>
      </c>
      <c r="P214" t="s">
        <v>30</v>
      </c>
      <c r="Q214">
        <v>150</v>
      </c>
    </row>
    <row r="215" spans="1:17" x14ac:dyDescent="0.25">
      <c r="A215" t="s">
        <v>308</v>
      </c>
      <c r="B215" s="2">
        <f t="shared" ca="1" si="3"/>
        <v>46210</v>
      </c>
      <c r="C215" t="s">
        <v>696</v>
      </c>
      <c r="D215" s="1">
        <v>0</v>
      </c>
      <c r="E215" t="s">
        <v>97</v>
      </c>
      <c r="F215" t="s">
        <v>43</v>
      </c>
      <c r="G215" t="s">
        <v>54</v>
      </c>
      <c r="H215">
        <v>39</v>
      </c>
      <c r="I215">
        <v>1.7</v>
      </c>
      <c r="J215" t="s">
        <v>755</v>
      </c>
      <c r="K215">
        <v>1436</v>
      </c>
      <c r="L215">
        <v>75</v>
      </c>
      <c r="M215" t="s">
        <v>24</v>
      </c>
      <c r="N215" t="s">
        <v>25</v>
      </c>
      <c r="O215">
        <v>2</v>
      </c>
      <c r="P215" t="s">
        <v>18</v>
      </c>
      <c r="Q215">
        <v>228</v>
      </c>
    </row>
    <row r="216" spans="1:17" x14ac:dyDescent="0.25">
      <c r="A216" t="s">
        <v>309</v>
      </c>
      <c r="B216" s="2">
        <f t="shared" ca="1" si="3"/>
        <v>46287</v>
      </c>
      <c r="C216" t="s">
        <v>726</v>
      </c>
      <c r="D216" s="1">
        <v>0.14166666666666666</v>
      </c>
      <c r="E216" t="s">
        <v>31</v>
      </c>
      <c r="F216" t="s">
        <v>58</v>
      </c>
      <c r="G216" t="s">
        <v>78</v>
      </c>
      <c r="H216">
        <v>47</v>
      </c>
      <c r="I216">
        <v>4.3</v>
      </c>
      <c r="J216" t="s">
        <v>645</v>
      </c>
      <c r="K216">
        <v>138</v>
      </c>
      <c r="L216">
        <v>0.2</v>
      </c>
      <c r="M216" t="s">
        <v>60</v>
      </c>
      <c r="N216" t="s">
        <v>551</v>
      </c>
      <c r="O216">
        <v>0</v>
      </c>
      <c r="P216" t="s">
        <v>18</v>
      </c>
      <c r="Q216">
        <v>190</v>
      </c>
    </row>
    <row r="217" spans="1:17" x14ac:dyDescent="0.25">
      <c r="A217" t="s">
        <v>310</v>
      </c>
      <c r="B217" s="2">
        <f t="shared" ca="1" si="3"/>
        <v>46180</v>
      </c>
      <c r="C217" t="s">
        <v>693</v>
      </c>
      <c r="D217" s="1">
        <v>0</v>
      </c>
      <c r="E217" t="s">
        <v>57</v>
      </c>
      <c r="F217" t="s">
        <v>116</v>
      </c>
      <c r="G217" t="s">
        <v>29</v>
      </c>
      <c r="H217">
        <v>63</v>
      </c>
      <c r="I217">
        <v>3</v>
      </c>
      <c r="J217" t="s">
        <v>645</v>
      </c>
      <c r="K217">
        <v>2126</v>
      </c>
      <c r="L217">
        <v>0.6</v>
      </c>
      <c r="M217" t="s">
        <v>55</v>
      </c>
      <c r="N217" t="s">
        <v>564</v>
      </c>
      <c r="O217">
        <v>3</v>
      </c>
      <c r="P217" t="s">
        <v>18</v>
      </c>
      <c r="Q217">
        <v>241</v>
      </c>
    </row>
    <row r="218" spans="1:17" x14ac:dyDescent="0.25">
      <c r="A218" t="s">
        <v>556</v>
      </c>
      <c r="B218" s="2">
        <f t="shared" ca="1" si="3"/>
        <v>46296</v>
      </c>
      <c r="C218" t="s">
        <v>674</v>
      </c>
      <c r="D218" s="1">
        <v>0</v>
      </c>
      <c r="E218" t="s">
        <v>90</v>
      </c>
      <c r="F218" t="s">
        <v>43</v>
      </c>
      <c r="G218" t="s">
        <v>44</v>
      </c>
      <c r="H218">
        <v>58</v>
      </c>
      <c r="I218">
        <v>2.5</v>
      </c>
      <c r="J218" t="s">
        <v>748</v>
      </c>
      <c r="K218">
        <v>384</v>
      </c>
      <c r="L218">
        <v>0.15</v>
      </c>
      <c r="M218" t="s">
        <v>60</v>
      </c>
      <c r="N218" t="s">
        <v>48</v>
      </c>
      <c r="O218">
        <v>1</v>
      </c>
      <c r="P218" t="s">
        <v>35</v>
      </c>
      <c r="Q218">
        <v>55</v>
      </c>
    </row>
    <row r="219" spans="1:17" x14ac:dyDescent="0.25">
      <c r="A219" t="s">
        <v>311</v>
      </c>
      <c r="B219" s="2">
        <f t="shared" ca="1" si="3"/>
        <v>46115</v>
      </c>
      <c r="C219" t="s">
        <v>756</v>
      </c>
      <c r="D219" s="1">
        <v>0</v>
      </c>
      <c r="E219" t="s">
        <v>36</v>
      </c>
      <c r="F219" t="s">
        <v>75</v>
      </c>
      <c r="G219" t="s">
        <v>312</v>
      </c>
      <c r="H219">
        <v>25</v>
      </c>
      <c r="I219">
        <v>1.1000000000000001</v>
      </c>
      <c r="J219" t="s">
        <v>320</v>
      </c>
      <c r="K219">
        <v>1338</v>
      </c>
      <c r="L219">
        <v>0</v>
      </c>
      <c r="M219" t="s">
        <v>564</v>
      </c>
      <c r="N219" t="s">
        <v>34</v>
      </c>
      <c r="O219">
        <v>5</v>
      </c>
      <c r="P219" t="s">
        <v>68</v>
      </c>
      <c r="Q219">
        <v>35</v>
      </c>
    </row>
    <row r="220" spans="1:17" x14ac:dyDescent="0.25">
      <c r="A220" t="s">
        <v>313</v>
      </c>
      <c r="B220" s="2">
        <f t="shared" ca="1" si="3"/>
        <v>46345</v>
      </c>
      <c r="C220" t="s">
        <v>757</v>
      </c>
      <c r="D220" s="1">
        <v>0</v>
      </c>
      <c r="E220" t="s">
        <v>57</v>
      </c>
      <c r="F220" t="s">
        <v>43</v>
      </c>
      <c r="G220" t="s">
        <v>63</v>
      </c>
      <c r="H220">
        <v>46</v>
      </c>
      <c r="I220">
        <v>4</v>
      </c>
      <c r="J220" t="s">
        <v>748</v>
      </c>
      <c r="K220">
        <v>1565</v>
      </c>
      <c r="L220">
        <v>75</v>
      </c>
      <c r="M220" t="s">
        <v>24</v>
      </c>
      <c r="N220" t="s">
        <v>25</v>
      </c>
      <c r="O220">
        <v>9</v>
      </c>
      <c r="P220" t="s">
        <v>68</v>
      </c>
      <c r="Q220">
        <v>187</v>
      </c>
    </row>
    <row r="221" spans="1:17" x14ac:dyDescent="0.25">
      <c r="A221" t="s">
        <v>314</v>
      </c>
      <c r="B221" s="2">
        <f t="shared" ca="1" si="3"/>
        <v>46160</v>
      </c>
      <c r="C221" t="s">
        <v>629</v>
      </c>
      <c r="D221" s="1">
        <v>0</v>
      </c>
      <c r="E221" t="s">
        <v>569</v>
      </c>
      <c r="F221" t="s">
        <v>32</v>
      </c>
      <c r="G221" t="s">
        <v>22</v>
      </c>
      <c r="H221">
        <v>24</v>
      </c>
      <c r="I221">
        <v>3.9</v>
      </c>
      <c r="J221" t="s">
        <v>758</v>
      </c>
      <c r="K221">
        <v>1486</v>
      </c>
      <c r="L221">
        <v>100</v>
      </c>
      <c r="M221" t="s">
        <v>60</v>
      </c>
      <c r="N221" t="s">
        <v>25</v>
      </c>
      <c r="O221">
        <v>2</v>
      </c>
      <c r="P221" t="s">
        <v>35</v>
      </c>
      <c r="Q221">
        <v>46</v>
      </c>
    </row>
    <row r="222" spans="1:17" x14ac:dyDescent="0.25">
      <c r="A222" t="s">
        <v>315</v>
      </c>
      <c r="B222" s="2">
        <f t="shared" ca="1" si="3"/>
        <v>46315</v>
      </c>
      <c r="C222" t="s">
        <v>578</v>
      </c>
      <c r="D222" s="1">
        <v>0</v>
      </c>
      <c r="E222" t="s">
        <v>20</v>
      </c>
      <c r="F222" t="s">
        <v>70</v>
      </c>
      <c r="G222" t="s">
        <v>40</v>
      </c>
      <c r="H222">
        <v>35</v>
      </c>
      <c r="I222">
        <v>2.4</v>
      </c>
      <c r="J222" t="s">
        <v>316</v>
      </c>
      <c r="K222">
        <v>865</v>
      </c>
      <c r="L222">
        <v>0.5</v>
      </c>
      <c r="M222" t="s">
        <v>566</v>
      </c>
      <c r="N222" t="s">
        <v>48</v>
      </c>
      <c r="O222">
        <v>1</v>
      </c>
      <c r="P222" t="s">
        <v>30</v>
      </c>
      <c r="Q222">
        <v>147</v>
      </c>
    </row>
    <row r="223" spans="1:17" x14ac:dyDescent="0.25">
      <c r="A223" t="s">
        <v>317</v>
      </c>
      <c r="B223" s="2">
        <f t="shared" ca="1" si="3"/>
        <v>46123</v>
      </c>
      <c r="C223" t="s">
        <v>759</v>
      </c>
      <c r="D223" s="1">
        <v>0</v>
      </c>
      <c r="E223" t="s">
        <v>27</v>
      </c>
      <c r="F223" t="s">
        <v>43</v>
      </c>
      <c r="G223" t="s">
        <v>44</v>
      </c>
      <c r="H223">
        <v>26</v>
      </c>
      <c r="I223">
        <v>1.6</v>
      </c>
      <c r="J223" t="s">
        <v>727</v>
      </c>
      <c r="K223">
        <v>1636</v>
      </c>
      <c r="L223">
        <v>50</v>
      </c>
      <c r="M223" t="s">
        <v>83</v>
      </c>
      <c r="N223" t="s">
        <v>25</v>
      </c>
      <c r="O223">
        <v>2</v>
      </c>
      <c r="P223" t="s">
        <v>68</v>
      </c>
      <c r="Q223">
        <v>138</v>
      </c>
    </row>
    <row r="224" spans="1:17" x14ac:dyDescent="0.25">
      <c r="A224" t="s">
        <v>318</v>
      </c>
      <c r="B224" s="2">
        <f t="shared" ca="1" si="3"/>
        <v>46387</v>
      </c>
      <c r="C224" t="s">
        <v>757</v>
      </c>
      <c r="D224" s="1">
        <v>0</v>
      </c>
      <c r="E224" t="s">
        <v>90</v>
      </c>
      <c r="F224" t="s">
        <v>47</v>
      </c>
      <c r="G224" t="s">
        <v>50</v>
      </c>
      <c r="H224">
        <v>50</v>
      </c>
      <c r="I224">
        <v>1.5</v>
      </c>
      <c r="J224" t="s">
        <v>584</v>
      </c>
      <c r="K224">
        <v>2441</v>
      </c>
      <c r="L224">
        <v>100</v>
      </c>
      <c r="M224" t="s">
        <v>55</v>
      </c>
      <c r="N224" t="s">
        <v>25</v>
      </c>
      <c r="O224">
        <v>2</v>
      </c>
      <c r="P224" t="s">
        <v>564</v>
      </c>
      <c r="Q224">
        <v>72</v>
      </c>
    </row>
    <row r="225" spans="1:17" x14ac:dyDescent="0.25">
      <c r="A225" t="s">
        <v>319</v>
      </c>
      <c r="B225" s="2">
        <f t="shared" ca="1" si="3"/>
        <v>46271</v>
      </c>
      <c r="C225" t="s">
        <v>760</v>
      </c>
      <c r="D225" s="1">
        <v>0.24305555555555555</v>
      </c>
      <c r="E225" t="s">
        <v>577</v>
      </c>
      <c r="F225" t="s">
        <v>39</v>
      </c>
      <c r="G225" t="s">
        <v>81</v>
      </c>
      <c r="H225">
        <v>28</v>
      </c>
      <c r="I225">
        <v>4.5999999999999996</v>
      </c>
      <c r="J225" t="s">
        <v>320</v>
      </c>
      <c r="K225">
        <v>1705</v>
      </c>
      <c r="L225">
        <v>0</v>
      </c>
      <c r="M225" t="s">
        <v>60</v>
      </c>
      <c r="N225" t="s">
        <v>25</v>
      </c>
      <c r="O225">
        <v>8</v>
      </c>
      <c r="P225" t="s">
        <v>30</v>
      </c>
      <c r="Q225">
        <v>74</v>
      </c>
    </row>
    <row r="226" spans="1:17" x14ac:dyDescent="0.25">
      <c r="A226" t="s">
        <v>321</v>
      </c>
      <c r="B226" s="2">
        <f t="shared" ca="1" si="3"/>
        <v>46100</v>
      </c>
      <c r="C226" t="s">
        <v>761</v>
      </c>
      <c r="D226" s="1">
        <v>0.23749999999999999</v>
      </c>
      <c r="E226" t="s">
        <v>548</v>
      </c>
      <c r="F226" t="s">
        <v>32</v>
      </c>
      <c r="G226" t="s">
        <v>50</v>
      </c>
      <c r="H226">
        <v>51</v>
      </c>
      <c r="I226">
        <v>4.4000000000000004</v>
      </c>
      <c r="J226" t="s">
        <v>652</v>
      </c>
      <c r="K226">
        <v>388</v>
      </c>
      <c r="L226">
        <v>0</v>
      </c>
      <c r="M226" t="s">
        <v>55</v>
      </c>
      <c r="N226" t="s">
        <v>551</v>
      </c>
      <c r="O226">
        <v>2</v>
      </c>
      <c r="P226" t="s">
        <v>30</v>
      </c>
      <c r="Q226">
        <v>44</v>
      </c>
    </row>
    <row r="227" spans="1:17" x14ac:dyDescent="0.25">
      <c r="A227" t="s">
        <v>322</v>
      </c>
      <c r="B227" s="2">
        <f t="shared" ca="1" si="3"/>
        <v>46383</v>
      </c>
      <c r="C227" t="s">
        <v>756</v>
      </c>
      <c r="D227" s="1">
        <v>0</v>
      </c>
      <c r="E227" t="s">
        <v>90</v>
      </c>
      <c r="F227" t="s">
        <v>43</v>
      </c>
      <c r="G227" t="s">
        <v>17</v>
      </c>
      <c r="H227">
        <v>54</v>
      </c>
      <c r="I227">
        <v>4.2</v>
      </c>
      <c r="J227" t="s">
        <v>555</v>
      </c>
      <c r="K227">
        <v>1307</v>
      </c>
      <c r="L227">
        <v>50</v>
      </c>
      <c r="M227" t="s">
        <v>83</v>
      </c>
      <c r="N227" t="s">
        <v>48</v>
      </c>
      <c r="O227">
        <v>8</v>
      </c>
      <c r="P227" t="s">
        <v>18</v>
      </c>
      <c r="Q227">
        <v>39</v>
      </c>
    </row>
    <row r="228" spans="1:17" x14ac:dyDescent="0.25">
      <c r="A228" t="s">
        <v>323</v>
      </c>
      <c r="B228" s="2">
        <f t="shared" ca="1" si="3"/>
        <v>46045</v>
      </c>
      <c r="C228" t="s">
        <v>762</v>
      </c>
      <c r="D228" s="1">
        <v>0</v>
      </c>
      <c r="E228" t="s">
        <v>57</v>
      </c>
      <c r="F228" t="s">
        <v>32</v>
      </c>
      <c r="G228" t="s">
        <v>44</v>
      </c>
      <c r="H228">
        <v>23</v>
      </c>
      <c r="I228">
        <v>3.5</v>
      </c>
      <c r="J228" t="s">
        <v>565</v>
      </c>
      <c r="K228">
        <v>1501</v>
      </c>
      <c r="L228">
        <v>120</v>
      </c>
      <c r="M228" t="s">
        <v>60</v>
      </c>
      <c r="N228" t="s">
        <v>25</v>
      </c>
      <c r="O228">
        <v>1</v>
      </c>
      <c r="P228" t="s">
        <v>18</v>
      </c>
      <c r="Q228">
        <v>134</v>
      </c>
    </row>
    <row r="229" spans="1:17" x14ac:dyDescent="0.25">
      <c r="A229" t="s">
        <v>324</v>
      </c>
      <c r="B229" s="2">
        <f t="shared" ca="1" si="3"/>
        <v>46122</v>
      </c>
      <c r="C229" t="s">
        <v>763</v>
      </c>
      <c r="D229" s="1">
        <v>0</v>
      </c>
      <c r="E229" t="s">
        <v>548</v>
      </c>
      <c r="F229" t="s">
        <v>47</v>
      </c>
      <c r="G229" t="s">
        <v>29</v>
      </c>
      <c r="H229">
        <v>37</v>
      </c>
      <c r="I229">
        <v>4.7</v>
      </c>
      <c r="J229" t="s">
        <v>764</v>
      </c>
      <c r="K229">
        <v>500</v>
      </c>
      <c r="L229">
        <v>0</v>
      </c>
      <c r="M229" t="s">
        <v>83</v>
      </c>
      <c r="N229" t="s">
        <v>25</v>
      </c>
      <c r="O229">
        <v>7</v>
      </c>
      <c r="P229" t="s">
        <v>35</v>
      </c>
      <c r="Q229">
        <v>198</v>
      </c>
    </row>
    <row r="230" spans="1:17" x14ac:dyDescent="0.25">
      <c r="A230" t="s">
        <v>325</v>
      </c>
      <c r="B230" s="2">
        <f t="shared" ca="1" si="3"/>
        <v>46301</v>
      </c>
      <c r="C230" t="s">
        <v>765</v>
      </c>
      <c r="D230" s="1">
        <v>0</v>
      </c>
      <c r="E230" t="s">
        <v>109</v>
      </c>
      <c r="F230" t="s">
        <v>39</v>
      </c>
      <c r="G230" t="s">
        <v>54</v>
      </c>
      <c r="H230">
        <v>60</v>
      </c>
      <c r="I230">
        <v>2.5</v>
      </c>
      <c r="J230" t="s">
        <v>734</v>
      </c>
      <c r="K230">
        <v>1112</v>
      </c>
      <c r="L230">
        <v>0</v>
      </c>
      <c r="M230" t="s">
        <v>566</v>
      </c>
      <c r="N230" t="s">
        <v>25</v>
      </c>
      <c r="O230">
        <v>1</v>
      </c>
      <c r="P230" t="s">
        <v>68</v>
      </c>
      <c r="Q230">
        <v>159</v>
      </c>
    </row>
    <row r="231" spans="1:17" x14ac:dyDescent="0.25">
      <c r="A231" t="s">
        <v>326</v>
      </c>
      <c r="B231" s="2">
        <f t="shared" ca="1" si="3"/>
        <v>46295</v>
      </c>
      <c r="C231" t="s">
        <v>618</v>
      </c>
      <c r="D231" s="1">
        <v>0</v>
      </c>
      <c r="E231" t="s">
        <v>27</v>
      </c>
      <c r="F231" t="s">
        <v>116</v>
      </c>
      <c r="G231" t="s">
        <v>81</v>
      </c>
      <c r="H231">
        <v>59</v>
      </c>
      <c r="I231">
        <v>4.9000000000000004</v>
      </c>
      <c r="J231" t="s">
        <v>658</v>
      </c>
      <c r="K231">
        <v>1491</v>
      </c>
      <c r="L231">
        <v>120</v>
      </c>
      <c r="M231" t="s">
        <v>60</v>
      </c>
      <c r="N231" t="s">
        <v>48</v>
      </c>
      <c r="O231">
        <v>1</v>
      </c>
      <c r="P231" t="s">
        <v>553</v>
      </c>
      <c r="Q231">
        <v>45</v>
      </c>
    </row>
    <row r="232" spans="1:17" x14ac:dyDescent="0.25">
      <c r="A232" t="s">
        <v>327</v>
      </c>
      <c r="B232" s="2">
        <f t="shared" ca="1" si="3"/>
        <v>46192</v>
      </c>
      <c r="C232" t="s">
        <v>766</v>
      </c>
      <c r="D232" s="1">
        <v>0.51111111111111107</v>
      </c>
      <c r="E232" t="s">
        <v>97</v>
      </c>
      <c r="F232" t="s">
        <v>70</v>
      </c>
      <c r="G232" t="s">
        <v>54</v>
      </c>
      <c r="H232">
        <v>22</v>
      </c>
      <c r="I232">
        <v>3.5</v>
      </c>
      <c r="J232" t="s">
        <v>581</v>
      </c>
      <c r="K232">
        <v>423</v>
      </c>
      <c r="L232">
        <v>0.5</v>
      </c>
      <c r="M232" t="s">
        <v>571</v>
      </c>
      <c r="N232" t="s">
        <v>48</v>
      </c>
      <c r="O232">
        <v>2</v>
      </c>
      <c r="P232" t="s">
        <v>30</v>
      </c>
      <c r="Q232">
        <v>110</v>
      </c>
    </row>
    <row r="233" spans="1:17" x14ac:dyDescent="0.25">
      <c r="A233" t="s">
        <v>328</v>
      </c>
      <c r="B233" s="2">
        <f t="shared" ca="1" si="3"/>
        <v>46062</v>
      </c>
      <c r="C233" t="s">
        <v>767</v>
      </c>
      <c r="D233" s="1">
        <v>0</v>
      </c>
      <c r="E233" t="s">
        <v>564</v>
      </c>
      <c r="F233" t="s">
        <v>564</v>
      </c>
      <c r="G233" t="s">
        <v>22</v>
      </c>
      <c r="H233">
        <v>53</v>
      </c>
      <c r="I233">
        <v>2.5</v>
      </c>
      <c r="J233" t="s">
        <v>604</v>
      </c>
      <c r="K233">
        <v>1143</v>
      </c>
      <c r="L233">
        <v>0.5</v>
      </c>
      <c r="M233" t="s">
        <v>550</v>
      </c>
      <c r="N233" t="s">
        <v>34</v>
      </c>
      <c r="O233">
        <v>2</v>
      </c>
      <c r="P233" t="s">
        <v>564</v>
      </c>
      <c r="Q233">
        <v>56</v>
      </c>
    </row>
    <row r="234" spans="1:17" x14ac:dyDescent="0.25">
      <c r="A234" t="s">
        <v>329</v>
      </c>
      <c r="B234" s="2">
        <f t="shared" ca="1" si="3"/>
        <v>46197</v>
      </c>
      <c r="C234" t="s">
        <v>552</v>
      </c>
      <c r="D234" s="1">
        <v>0</v>
      </c>
      <c r="E234" t="s">
        <v>53</v>
      </c>
      <c r="F234" t="s">
        <v>39</v>
      </c>
      <c r="G234" t="s">
        <v>22</v>
      </c>
      <c r="H234">
        <v>60</v>
      </c>
      <c r="I234">
        <v>2</v>
      </c>
      <c r="J234" t="s">
        <v>742</v>
      </c>
      <c r="K234">
        <v>1799</v>
      </c>
      <c r="L234">
        <v>50</v>
      </c>
      <c r="M234" t="s">
        <v>566</v>
      </c>
      <c r="N234" t="s">
        <v>48</v>
      </c>
      <c r="O234">
        <v>6</v>
      </c>
      <c r="P234" t="s">
        <v>553</v>
      </c>
      <c r="Q234">
        <v>34</v>
      </c>
    </row>
    <row r="235" spans="1:17" x14ac:dyDescent="0.25">
      <c r="A235" t="s">
        <v>330</v>
      </c>
      <c r="B235" s="2">
        <f t="shared" ca="1" si="3"/>
        <v>46294</v>
      </c>
      <c r="C235" t="s">
        <v>768</v>
      </c>
      <c r="D235" s="1">
        <v>0</v>
      </c>
      <c r="E235" t="s">
        <v>97</v>
      </c>
      <c r="F235" t="s">
        <v>116</v>
      </c>
      <c r="G235" t="s">
        <v>33</v>
      </c>
      <c r="H235">
        <v>36</v>
      </c>
      <c r="I235">
        <v>4.8</v>
      </c>
      <c r="J235" t="s">
        <v>769</v>
      </c>
      <c r="K235">
        <v>507</v>
      </c>
      <c r="L235">
        <v>50</v>
      </c>
      <c r="M235" t="s">
        <v>55</v>
      </c>
      <c r="N235" t="s">
        <v>48</v>
      </c>
      <c r="O235">
        <v>6</v>
      </c>
      <c r="P235" t="s">
        <v>41</v>
      </c>
      <c r="Q235">
        <v>39</v>
      </c>
    </row>
    <row r="236" spans="1:17" x14ac:dyDescent="0.25">
      <c r="A236" t="s">
        <v>331</v>
      </c>
      <c r="B236" s="2">
        <f t="shared" ca="1" si="3"/>
        <v>46384</v>
      </c>
      <c r="C236" t="s">
        <v>770</v>
      </c>
      <c r="D236" s="1">
        <v>0</v>
      </c>
      <c r="E236" t="s">
        <v>97</v>
      </c>
      <c r="F236" t="s">
        <v>16</v>
      </c>
      <c r="G236" t="s">
        <v>54</v>
      </c>
      <c r="H236">
        <v>23</v>
      </c>
      <c r="I236">
        <v>3.4</v>
      </c>
      <c r="J236" t="s">
        <v>597</v>
      </c>
      <c r="K236">
        <v>1168</v>
      </c>
      <c r="L236">
        <v>75</v>
      </c>
      <c r="M236" t="s">
        <v>566</v>
      </c>
      <c r="N236" t="s">
        <v>25</v>
      </c>
      <c r="O236">
        <v>3</v>
      </c>
      <c r="P236" t="s">
        <v>553</v>
      </c>
      <c r="Q236">
        <v>25</v>
      </c>
    </row>
    <row r="237" spans="1:17" x14ac:dyDescent="0.25">
      <c r="A237" t="s">
        <v>332</v>
      </c>
      <c r="B237" s="2">
        <f t="shared" ca="1" si="3"/>
        <v>46131</v>
      </c>
      <c r="D237" s="1">
        <v>0</v>
      </c>
      <c r="E237" t="s">
        <v>577</v>
      </c>
      <c r="F237" t="s">
        <v>75</v>
      </c>
      <c r="G237" t="s">
        <v>22</v>
      </c>
      <c r="H237">
        <v>22</v>
      </c>
      <c r="I237">
        <v>4.5</v>
      </c>
      <c r="J237" t="s">
        <v>333</v>
      </c>
      <c r="K237">
        <v>1565</v>
      </c>
      <c r="L237">
        <v>150</v>
      </c>
      <c r="M237" t="s">
        <v>60</v>
      </c>
      <c r="N237" t="s">
        <v>34</v>
      </c>
      <c r="O237">
        <v>10</v>
      </c>
      <c r="P237" t="s">
        <v>18</v>
      </c>
      <c r="Q237">
        <v>23</v>
      </c>
    </row>
    <row r="238" spans="1:17" x14ac:dyDescent="0.25">
      <c r="A238" t="s">
        <v>334</v>
      </c>
      <c r="B238" s="2">
        <f t="shared" ca="1" si="3"/>
        <v>46044</v>
      </c>
      <c r="C238" t="s">
        <v>771</v>
      </c>
      <c r="D238" s="1">
        <v>0</v>
      </c>
      <c r="E238" t="s">
        <v>57</v>
      </c>
      <c r="F238" t="s">
        <v>58</v>
      </c>
      <c r="G238" t="s">
        <v>22</v>
      </c>
      <c r="H238">
        <v>52</v>
      </c>
      <c r="I238">
        <v>4.4000000000000004</v>
      </c>
      <c r="J238" t="s">
        <v>590</v>
      </c>
      <c r="K238">
        <v>1565</v>
      </c>
      <c r="L238">
        <v>75</v>
      </c>
      <c r="M238" t="s">
        <v>60</v>
      </c>
      <c r="N238" t="s">
        <v>48</v>
      </c>
      <c r="O238">
        <v>8</v>
      </c>
      <c r="P238" t="s">
        <v>68</v>
      </c>
      <c r="Q238">
        <v>0</v>
      </c>
    </row>
    <row r="239" spans="1:17" x14ac:dyDescent="0.25">
      <c r="A239" t="s">
        <v>335</v>
      </c>
      <c r="B239" s="2">
        <f t="shared" ca="1" si="3"/>
        <v>46120</v>
      </c>
      <c r="C239" t="s">
        <v>772</v>
      </c>
      <c r="D239" s="1">
        <v>0</v>
      </c>
      <c r="E239" t="s">
        <v>577</v>
      </c>
      <c r="F239" t="s">
        <v>116</v>
      </c>
      <c r="G239" t="s">
        <v>22</v>
      </c>
      <c r="H239">
        <v>34</v>
      </c>
      <c r="I239">
        <v>2.4</v>
      </c>
      <c r="J239" t="s">
        <v>224</v>
      </c>
      <c r="K239">
        <v>1122</v>
      </c>
      <c r="L239">
        <v>150</v>
      </c>
      <c r="M239" t="s">
        <v>571</v>
      </c>
      <c r="N239" t="s">
        <v>25</v>
      </c>
      <c r="O239">
        <v>8</v>
      </c>
      <c r="P239" t="s">
        <v>553</v>
      </c>
    </row>
    <row r="240" spans="1:17" x14ac:dyDescent="0.25">
      <c r="A240" t="s">
        <v>336</v>
      </c>
      <c r="B240" s="2">
        <f t="shared" ca="1" si="3"/>
        <v>46325</v>
      </c>
      <c r="C240" t="s">
        <v>773</v>
      </c>
      <c r="D240" s="1">
        <v>0</v>
      </c>
      <c r="E240" t="s">
        <v>57</v>
      </c>
      <c r="F240" t="s">
        <v>75</v>
      </c>
      <c r="G240" t="s">
        <v>63</v>
      </c>
      <c r="H240">
        <v>40</v>
      </c>
      <c r="I240">
        <v>4.5999999999999996</v>
      </c>
      <c r="J240" t="s">
        <v>703</v>
      </c>
      <c r="K240">
        <v>809</v>
      </c>
      <c r="L240">
        <v>0.15</v>
      </c>
      <c r="M240" t="s">
        <v>24</v>
      </c>
      <c r="N240" t="s">
        <v>585</v>
      </c>
      <c r="O240">
        <v>8</v>
      </c>
      <c r="P240" t="s">
        <v>35</v>
      </c>
      <c r="Q240">
        <v>158</v>
      </c>
    </row>
    <row r="241" spans="1:17" x14ac:dyDescent="0.25">
      <c r="A241" t="s">
        <v>337</v>
      </c>
      <c r="B241" s="2">
        <f t="shared" ca="1" si="3"/>
        <v>46166</v>
      </c>
      <c r="C241" t="s">
        <v>774</v>
      </c>
      <c r="D241" s="1">
        <v>0.76458333333333328</v>
      </c>
      <c r="E241" t="s">
        <v>36</v>
      </c>
      <c r="F241" t="s">
        <v>116</v>
      </c>
      <c r="G241" t="s">
        <v>54</v>
      </c>
      <c r="H241">
        <v>46</v>
      </c>
      <c r="I241">
        <v>3</v>
      </c>
      <c r="J241" t="s">
        <v>338</v>
      </c>
      <c r="K241">
        <v>2484</v>
      </c>
      <c r="L241">
        <v>0.2</v>
      </c>
      <c r="M241" t="s">
        <v>550</v>
      </c>
      <c r="N241" t="s">
        <v>34</v>
      </c>
      <c r="O241">
        <v>9</v>
      </c>
      <c r="P241" t="s">
        <v>553</v>
      </c>
      <c r="Q241">
        <v>24</v>
      </c>
    </row>
    <row r="242" spans="1:17" x14ac:dyDescent="0.25">
      <c r="A242" t="s">
        <v>339</v>
      </c>
      <c r="B242" s="2">
        <f t="shared" ca="1" si="3"/>
        <v>46053</v>
      </c>
      <c r="C242" t="s">
        <v>775</v>
      </c>
      <c r="D242" s="1">
        <v>0</v>
      </c>
      <c r="E242" t="s">
        <v>31</v>
      </c>
      <c r="F242" t="s">
        <v>16</v>
      </c>
      <c r="G242" t="s">
        <v>22</v>
      </c>
      <c r="H242">
        <v>64</v>
      </c>
      <c r="I242">
        <v>1.5</v>
      </c>
      <c r="J242" t="s">
        <v>617</v>
      </c>
      <c r="K242">
        <v>2383</v>
      </c>
      <c r="L242">
        <v>0</v>
      </c>
      <c r="M242" t="s">
        <v>566</v>
      </c>
      <c r="N242" t="s">
        <v>34</v>
      </c>
      <c r="O242">
        <v>10</v>
      </c>
      <c r="P242" t="s">
        <v>30</v>
      </c>
      <c r="Q242">
        <v>137</v>
      </c>
    </row>
    <row r="243" spans="1:17" x14ac:dyDescent="0.25">
      <c r="A243" t="s">
        <v>340</v>
      </c>
      <c r="B243" s="2">
        <f t="shared" ca="1" si="3"/>
        <v>46192</v>
      </c>
      <c r="C243" t="s">
        <v>776</v>
      </c>
      <c r="D243" s="1">
        <v>0</v>
      </c>
      <c r="E243" t="s">
        <v>90</v>
      </c>
      <c r="F243" t="s">
        <v>75</v>
      </c>
      <c r="G243" t="s">
        <v>44</v>
      </c>
      <c r="H243">
        <v>47</v>
      </c>
      <c r="I243">
        <v>3.6</v>
      </c>
      <c r="J243" t="s">
        <v>645</v>
      </c>
      <c r="K243">
        <v>1797</v>
      </c>
      <c r="L243">
        <v>100</v>
      </c>
      <c r="M243" t="s">
        <v>83</v>
      </c>
      <c r="N243" t="s">
        <v>25</v>
      </c>
      <c r="O243">
        <v>9</v>
      </c>
      <c r="P243" t="s">
        <v>68</v>
      </c>
      <c r="Q243">
        <v>49</v>
      </c>
    </row>
    <row r="244" spans="1:17" x14ac:dyDescent="0.25">
      <c r="A244" t="s">
        <v>341</v>
      </c>
      <c r="B244" s="2">
        <f t="shared" ca="1" si="3"/>
        <v>46203</v>
      </c>
      <c r="C244" t="s">
        <v>777</v>
      </c>
      <c r="D244" s="1">
        <v>0.69027777777777777</v>
      </c>
      <c r="E244" t="s">
        <v>577</v>
      </c>
      <c r="F244" t="s">
        <v>47</v>
      </c>
      <c r="G244" t="s">
        <v>78</v>
      </c>
      <c r="H244">
        <v>19</v>
      </c>
      <c r="I244">
        <v>1.1000000000000001</v>
      </c>
      <c r="J244" t="s">
        <v>570</v>
      </c>
      <c r="K244">
        <v>2291</v>
      </c>
      <c r="L244">
        <v>150</v>
      </c>
      <c r="M244" t="s">
        <v>550</v>
      </c>
      <c r="N244" t="s">
        <v>34</v>
      </c>
      <c r="O244">
        <v>5</v>
      </c>
      <c r="P244" t="s">
        <v>30</v>
      </c>
      <c r="Q244">
        <v>9</v>
      </c>
    </row>
    <row r="245" spans="1:17" x14ac:dyDescent="0.25">
      <c r="A245" t="s">
        <v>219</v>
      </c>
      <c r="B245" s="2">
        <f t="shared" ca="1" si="3"/>
        <v>46228</v>
      </c>
      <c r="C245" t="s">
        <v>660</v>
      </c>
      <c r="D245" s="1">
        <v>0</v>
      </c>
      <c r="E245" t="s">
        <v>57</v>
      </c>
      <c r="F245" t="s">
        <v>16</v>
      </c>
      <c r="G245" t="s">
        <v>81</v>
      </c>
      <c r="H245">
        <v>65</v>
      </c>
      <c r="I245">
        <v>4.4000000000000004</v>
      </c>
      <c r="J245" t="s">
        <v>342</v>
      </c>
      <c r="K245">
        <v>1839</v>
      </c>
      <c r="L245">
        <v>0</v>
      </c>
      <c r="M245" t="s">
        <v>24</v>
      </c>
      <c r="N245" t="s">
        <v>25</v>
      </c>
      <c r="O245">
        <v>5</v>
      </c>
      <c r="P245" t="s">
        <v>68</v>
      </c>
      <c r="Q245">
        <v>20</v>
      </c>
    </row>
    <row r="246" spans="1:17" x14ac:dyDescent="0.25">
      <c r="A246" t="s">
        <v>343</v>
      </c>
      <c r="B246" s="2">
        <f t="shared" ca="1" si="3"/>
        <v>46360</v>
      </c>
      <c r="C246" t="s">
        <v>705</v>
      </c>
      <c r="D246" s="1">
        <v>0</v>
      </c>
      <c r="E246" t="s">
        <v>577</v>
      </c>
      <c r="F246" t="s">
        <v>70</v>
      </c>
      <c r="G246" t="s">
        <v>50</v>
      </c>
      <c r="H246">
        <v>65</v>
      </c>
      <c r="I246">
        <v>4.4000000000000004</v>
      </c>
      <c r="J246" t="s">
        <v>102</v>
      </c>
      <c r="K246">
        <v>1822</v>
      </c>
      <c r="L246">
        <v>0.15</v>
      </c>
      <c r="M246" t="s">
        <v>571</v>
      </c>
      <c r="N246" t="s">
        <v>34</v>
      </c>
      <c r="O246">
        <v>2</v>
      </c>
      <c r="P246" t="s">
        <v>18</v>
      </c>
      <c r="Q246">
        <v>58</v>
      </c>
    </row>
    <row r="247" spans="1:17" x14ac:dyDescent="0.25">
      <c r="A247" t="s">
        <v>344</v>
      </c>
      <c r="B247" s="2">
        <f t="shared" ca="1" si="3"/>
        <v>46246</v>
      </c>
      <c r="C247" t="s">
        <v>778</v>
      </c>
      <c r="D247" s="1">
        <v>0</v>
      </c>
      <c r="E247" t="s">
        <v>57</v>
      </c>
      <c r="F247" t="s">
        <v>43</v>
      </c>
      <c r="G247" t="s">
        <v>63</v>
      </c>
      <c r="H247">
        <v>24</v>
      </c>
      <c r="I247">
        <v>3.1</v>
      </c>
      <c r="J247" t="s">
        <v>584</v>
      </c>
      <c r="K247">
        <v>906</v>
      </c>
      <c r="L247">
        <v>75</v>
      </c>
      <c r="M247" t="s">
        <v>24</v>
      </c>
      <c r="N247" t="s">
        <v>564</v>
      </c>
      <c r="O247">
        <v>4</v>
      </c>
      <c r="P247" t="s">
        <v>18</v>
      </c>
      <c r="Q247">
        <v>33</v>
      </c>
    </row>
    <row r="248" spans="1:17" x14ac:dyDescent="0.25">
      <c r="A248" t="s">
        <v>556</v>
      </c>
      <c r="B248" s="2">
        <f t="shared" ca="1" si="3"/>
        <v>46337</v>
      </c>
      <c r="C248" t="s">
        <v>779</v>
      </c>
      <c r="D248" s="1">
        <v>0</v>
      </c>
      <c r="E248" t="s">
        <v>66</v>
      </c>
      <c r="F248" t="s">
        <v>47</v>
      </c>
      <c r="G248" t="s">
        <v>54</v>
      </c>
      <c r="H248">
        <v>56</v>
      </c>
      <c r="I248">
        <v>4.8</v>
      </c>
      <c r="J248" t="s">
        <v>692</v>
      </c>
      <c r="K248">
        <v>1813</v>
      </c>
      <c r="L248">
        <v>100</v>
      </c>
      <c r="M248" t="s">
        <v>24</v>
      </c>
      <c r="N248" t="s">
        <v>25</v>
      </c>
      <c r="O248">
        <v>8</v>
      </c>
      <c r="P248" t="s">
        <v>553</v>
      </c>
      <c r="Q248">
        <v>124</v>
      </c>
    </row>
    <row r="249" spans="1:17" x14ac:dyDescent="0.25">
      <c r="A249" t="s">
        <v>345</v>
      </c>
      <c r="B249" s="2">
        <f t="shared" ca="1" si="3"/>
        <v>46302</v>
      </c>
      <c r="C249" t="s">
        <v>591</v>
      </c>
      <c r="D249" s="1">
        <v>0</v>
      </c>
      <c r="E249" t="s">
        <v>548</v>
      </c>
      <c r="F249" t="s">
        <v>70</v>
      </c>
      <c r="G249" t="s">
        <v>33</v>
      </c>
      <c r="H249">
        <v>28</v>
      </c>
      <c r="I249">
        <v>3.3</v>
      </c>
      <c r="J249" t="s">
        <v>555</v>
      </c>
      <c r="K249">
        <v>2358</v>
      </c>
      <c r="L249">
        <v>150</v>
      </c>
      <c r="M249" t="s">
        <v>550</v>
      </c>
      <c r="N249" t="s">
        <v>48</v>
      </c>
      <c r="O249">
        <v>4</v>
      </c>
      <c r="P249" t="s">
        <v>553</v>
      </c>
      <c r="Q249">
        <v>166</v>
      </c>
    </row>
    <row r="250" spans="1:17" x14ac:dyDescent="0.25">
      <c r="A250" t="s">
        <v>556</v>
      </c>
      <c r="B250" s="2">
        <f t="shared" ca="1" si="3"/>
        <v>46293</v>
      </c>
      <c r="C250" t="s">
        <v>732</v>
      </c>
      <c r="D250" s="1">
        <v>0</v>
      </c>
      <c r="E250" t="s">
        <v>577</v>
      </c>
      <c r="F250" t="s">
        <v>75</v>
      </c>
      <c r="G250" t="s">
        <v>29</v>
      </c>
      <c r="H250">
        <v>18</v>
      </c>
      <c r="I250">
        <v>2.5</v>
      </c>
      <c r="J250" t="s">
        <v>191</v>
      </c>
      <c r="K250">
        <v>2365</v>
      </c>
      <c r="L250">
        <v>50</v>
      </c>
      <c r="M250" t="s">
        <v>24</v>
      </c>
      <c r="N250" t="s">
        <v>48</v>
      </c>
      <c r="O250">
        <v>4</v>
      </c>
      <c r="P250" t="s">
        <v>30</v>
      </c>
      <c r="Q250">
        <v>243</v>
      </c>
    </row>
    <row r="251" spans="1:17" x14ac:dyDescent="0.25">
      <c r="A251" t="s">
        <v>346</v>
      </c>
      <c r="B251" s="2">
        <f t="shared" ca="1" si="3"/>
        <v>46079</v>
      </c>
      <c r="C251" t="s">
        <v>772</v>
      </c>
      <c r="D251" s="1">
        <v>0</v>
      </c>
      <c r="E251" t="s">
        <v>90</v>
      </c>
      <c r="F251" t="s">
        <v>116</v>
      </c>
      <c r="G251" t="s">
        <v>44</v>
      </c>
      <c r="H251">
        <v>62</v>
      </c>
      <c r="I251">
        <v>3.2</v>
      </c>
      <c r="J251" t="s">
        <v>780</v>
      </c>
      <c r="K251">
        <v>336</v>
      </c>
      <c r="L251">
        <v>0.5</v>
      </c>
      <c r="M251" t="s">
        <v>564</v>
      </c>
      <c r="N251" t="s">
        <v>25</v>
      </c>
      <c r="O251">
        <v>8</v>
      </c>
      <c r="P251" t="s">
        <v>41</v>
      </c>
      <c r="Q251">
        <v>137</v>
      </c>
    </row>
    <row r="252" spans="1:17" x14ac:dyDescent="0.25">
      <c r="A252" t="s">
        <v>347</v>
      </c>
      <c r="B252" s="2">
        <f t="shared" ca="1" si="3"/>
        <v>46361</v>
      </c>
      <c r="C252" t="s">
        <v>781</v>
      </c>
      <c r="D252" s="1">
        <v>0</v>
      </c>
      <c r="E252" t="s">
        <v>66</v>
      </c>
      <c r="F252" t="s">
        <v>43</v>
      </c>
      <c r="G252" t="s">
        <v>54</v>
      </c>
      <c r="H252">
        <v>43</v>
      </c>
      <c r="I252">
        <v>2</v>
      </c>
      <c r="J252" t="s">
        <v>661</v>
      </c>
      <c r="K252">
        <v>1268</v>
      </c>
      <c r="L252">
        <v>0</v>
      </c>
      <c r="M252" t="s">
        <v>55</v>
      </c>
      <c r="N252" t="s">
        <v>25</v>
      </c>
      <c r="O252">
        <v>10</v>
      </c>
      <c r="P252" t="s">
        <v>18</v>
      </c>
      <c r="Q252">
        <v>19</v>
      </c>
    </row>
    <row r="253" spans="1:17" x14ac:dyDescent="0.25">
      <c r="A253" t="s">
        <v>348</v>
      </c>
      <c r="B253" s="2">
        <f t="shared" ca="1" si="3"/>
        <v>46133</v>
      </c>
      <c r="C253" t="s">
        <v>560</v>
      </c>
      <c r="D253" s="1">
        <v>0</v>
      </c>
      <c r="E253" t="s">
        <v>577</v>
      </c>
      <c r="F253" t="s">
        <v>39</v>
      </c>
      <c r="G253" t="s">
        <v>33</v>
      </c>
      <c r="H253">
        <v>29</v>
      </c>
      <c r="I253">
        <v>1.8</v>
      </c>
      <c r="J253" t="s">
        <v>67</v>
      </c>
      <c r="K253">
        <v>487</v>
      </c>
      <c r="L253">
        <v>0</v>
      </c>
      <c r="M253" t="s">
        <v>566</v>
      </c>
      <c r="N253" t="s">
        <v>25</v>
      </c>
      <c r="O253">
        <v>8</v>
      </c>
      <c r="P253" t="s">
        <v>553</v>
      </c>
      <c r="Q253">
        <v>48</v>
      </c>
    </row>
    <row r="254" spans="1:17" x14ac:dyDescent="0.25">
      <c r="A254" t="s">
        <v>349</v>
      </c>
      <c r="B254" s="2">
        <f t="shared" ca="1" si="3"/>
        <v>46212</v>
      </c>
      <c r="C254" t="s">
        <v>782</v>
      </c>
      <c r="D254" s="1">
        <v>0</v>
      </c>
      <c r="E254" t="s">
        <v>27</v>
      </c>
      <c r="F254" t="s">
        <v>564</v>
      </c>
      <c r="G254" t="s">
        <v>63</v>
      </c>
      <c r="H254">
        <v>18</v>
      </c>
      <c r="I254">
        <v>4</v>
      </c>
      <c r="J254" t="s">
        <v>672</v>
      </c>
      <c r="K254">
        <v>449</v>
      </c>
      <c r="L254">
        <v>0.5</v>
      </c>
      <c r="M254" t="s">
        <v>550</v>
      </c>
      <c r="N254" t="s">
        <v>48</v>
      </c>
      <c r="O254">
        <v>5</v>
      </c>
      <c r="P254" t="s">
        <v>35</v>
      </c>
      <c r="Q254">
        <v>91</v>
      </c>
    </row>
    <row r="255" spans="1:17" x14ac:dyDescent="0.25">
      <c r="A255" t="s">
        <v>350</v>
      </c>
      <c r="B255" s="2">
        <f t="shared" ca="1" si="3"/>
        <v>46074</v>
      </c>
      <c r="C255" t="s">
        <v>605</v>
      </c>
      <c r="D255" s="1">
        <v>0.14374999999999999</v>
      </c>
      <c r="E255" t="s">
        <v>57</v>
      </c>
      <c r="F255" t="s">
        <v>116</v>
      </c>
      <c r="G255" t="s">
        <v>351</v>
      </c>
      <c r="H255">
        <v>58</v>
      </c>
      <c r="I255">
        <v>4.2</v>
      </c>
      <c r="J255" t="s">
        <v>751</v>
      </c>
      <c r="K255">
        <v>1007</v>
      </c>
      <c r="L255">
        <v>0.6</v>
      </c>
      <c r="M255" t="s">
        <v>60</v>
      </c>
      <c r="N255" t="s">
        <v>25</v>
      </c>
      <c r="O255">
        <v>0</v>
      </c>
      <c r="P255" t="s">
        <v>553</v>
      </c>
      <c r="Q255">
        <v>188</v>
      </c>
    </row>
    <row r="256" spans="1:17" x14ac:dyDescent="0.25">
      <c r="A256" t="s">
        <v>352</v>
      </c>
      <c r="B256" s="2">
        <f t="shared" ca="1" si="3"/>
        <v>46380</v>
      </c>
      <c r="C256" t="s">
        <v>783</v>
      </c>
      <c r="D256" s="1">
        <v>0</v>
      </c>
      <c r="E256" t="s">
        <v>66</v>
      </c>
      <c r="F256" t="s">
        <v>32</v>
      </c>
      <c r="G256" t="s">
        <v>33</v>
      </c>
      <c r="H256">
        <v>18</v>
      </c>
      <c r="I256">
        <v>3.5</v>
      </c>
      <c r="J256" t="s">
        <v>633</v>
      </c>
      <c r="K256">
        <v>1862</v>
      </c>
      <c r="L256">
        <v>0.15</v>
      </c>
      <c r="M256" t="s">
        <v>550</v>
      </c>
      <c r="N256" t="s">
        <v>25</v>
      </c>
      <c r="O256">
        <v>10</v>
      </c>
      <c r="P256" t="s">
        <v>30</v>
      </c>
      <c r="Q256">
        <v>228</v>
      </c>
    </row>
    <row r="257" spans="1:17" x14ac:dyDescent="0.25">
      <c r="A257" t="s">
        <v>353</v>
      </c>
      <c r="B257" s="2">
        <f t="shared" ca="1" si="3"/>
        <v>46031</v>
      </c>
      <c r="C257" t="s">
        <v>607</v>
      </c>
      <c r="D257" s="1">
        <v>0</v>
      </c>
      <c r="E257" t="s">
        <v>57</v>
      </c>
      <c r="F257" t="s">
        <v>21</v>
      </c>
      <c r="G257" t="s">
        <v>22</v>
      </c>
      <c r="H257">
        <v>64</v>
      </c>
      <c r="I257">
        <v>4.3</v>
      </c>
      <c r="J257" t="s">
        <v>570</v>
      </c>
      <c r="K257">
        <v>1409</v>
      </c>
      <c r="L257">
        <v>75</v>
      </c>
      <c r="M257" t="s">
        <v>60</v>
      </c>
      <c r="N257" t="s">
        <v>25</v>
      </c>
      <c r="O257">
        <v>5</v>
      </c>
      <c r="P257" t="s">
        <v>564</v>
      </c>
      <c r="Q257">
        <v>201</v>
      </c>
    </row>
    <row r="258" spans="1:17" x14ac:dyDescent="0.25">
      <c r="A258" t="s">
        <v>354</v>
      </c>
      <c r="B258" s="2">
        <f t="shared" ref="B258:B321" ca="1" si="4">RANDBETWEEN(DATE(2026,1,1),DATE(2026,12,31))</f>
        <v>46358</v>
      </c>
      <c r="C258" t="s">
        <v>603</v>
      </c>
      <c r="D258" s="1">
        <v>0</v>
      </c>
      <c r="E258" t="s">
        <v>31</v>
      </c>
      <c r="F258" t="s">
        <v>16</v>
      </c>
      <c r="G258" t="s">
        <v>63</v>
      </c>
      <c r="H258">
        <v>53</v>
      </c>
      <c r="I258">
        <v>5</v>
      </c>
      <c r="J258" t="s">
        <v>604</v>
      </c>
      <c r="K258">
        <v>1021</v>
      </c>
      <c r="L258">
        <v>0.5</v>
      </c>
      <c r="M258" t="s">
        <v>55</v>
      </c>
      <c r="N258" t="s">
        <v>34</v>
      </c>
      <c r="O258">
        <v>9</v>
      </c>
      <c r="P258" t="s">
        <v>35</v>
      </c>
      <c r="Q258">
        <v>217</v>
      </c>
    </row>
    <row r="259" spans="1:17" x14ac:dyDescent="0.25">
      <c r="A259" t="s">
        <v>356</v>
      </c>
      <c r="B259" s="2">
        <f t="shared" ca="1" si="4"/>
        <v>46150</v>
      </c>
      <c r="C259" t="s">
        <v>625</v>
      </c>
      <c r="D259" s="1">
        <v>0</v>
      </c>
      <c r="E259" t="s">
        <v>53</v>
      </c>
      <c r="F259" t="s">
        <v>39</v>
      </c>
      <c r="G259" t="s">
        <v>29</v>
      </c>
      <c r="H259">
        <v>33</v>
      </c>
      <c r="I259">
        <v>2.8</v>
      </c>
      <c r="J259" t="s">
        <v>304</v>
      </c>
      <c r="K259">
        <v>2435</v>
      </c>
      <c r="L259">
        <v>0.6</v>
      </c>
      <c r="M259" t="s">
        <v>60</v>
      </c>
      <c r="N259" t="s">
        <v>564</v>
      </c>
      <c r="O259">
        <v>0</v>
      </c>
      <c r="P259" t="s">
        <v>553</v>
      </c>
      <c r="Q259">
        <v>75</v>
      </c>
    </row>
    <row r="260" spans="1:17" x14ac:dyDescent="0.25">
      <c r="A260" t="s">
        <v>357</v>
      </c>
      <c r="B260" s="2">
        <f t="shared" ca="1" si="4"/>
        <v>46158</v>
      </c>
      <c r="C260" t="s">
        <v>784</v>
      </c>
      <c r="D260" s="1">
        <v>0</v>
      </c>
      <c r="E260" t="s">
        <v>97</v>
      </c>
      <c r="F260" t="s">
        <v>21</v>
      </c>
      <c r="G260" t="s">
        <v>44</v>
      </c>
      <c r="H260">
        <v>50</v>
      </c>
      <c r="I260">
        <v>2.8</v>
      </c>
      <c r="J260" t="s">
        <v>748</v>
      </c>
      <c r="K260">
        <v>467</v>
      </c>
      <c r="L260">
        <v>0</v>
      </c>
      <c r="M260" t="s">
        <v>24</v>
      </c>
      <c r="N260" t="s">
        <v>34</v>
      </c>
      <c r="O260">
        <v>2</v>
      </c>
      <c r="P260" t="s">
        <v>35</v>
      </c>
      <c r="Q260">
        <v>1</v>
      </c>
    </row>
    <row r="261" spans="1:17" x14ac:dyDescent="0.25">
      <c r="A261" t="s">
        <v>358</v>
      </c>
      <c r="B261" s="2">
        <f t="shared" ca="1" si="4"/>
        <v>46341</v>
      </c>
      <c r="C261" t="s">
        <v>756</v>
      </c>
      <c r="D261" s="1">
        <v>0</v>
      </c>
      <c r="E261" t="s">
        <v>564</v>
      </c>
      <c r="F261" t="s">
        <v>39</v>
      </c>
      <c r="G261" t="s">
        <v>50</v>
      </c>
      <c r="H261">
        <v>54</v>
      </c>
      <c r="I261">
        <v>2.9</v>
      </c>
      <c r="J261" t="s">
        <v>626</v>
      </c>
      <c r="K261">
        <v>488</v>
      </c>
      <c r="L261">
        <v>0.6</v>
      </c>
      <c r="M261" t="s">
        <v>60</v>
      </c>
      <c r="N261" t="s">
        <v>34</v>
      </c>
      <c r="O261">
        <v>0</v>
      </c>
      <c r="P261" t="s">
        <v>68</v>
      </c>
      <c r="Q261">
        <v>249</v>
      </c>
    </row>
    <row r="262" spans="1:17" x14ac:dyDescent="0.25">
      <c r="A262" t="s">
        <v>359</v>
      </c>
      <c r="B262" s="2">
        <f t="shared" ca="1" si="4"/>
        <v>46368</v>
      </c>
      <c r="C262" t="s">
        <v>603</v>
      </c>
      <c r="D262" s="1">
        <v>0</v>
      </c>
      <c r="E262" t="s">
        <v>31</v>
      </c>
      <c r="F262" t="s">
        <v>39</v>
      </c>
      <c r="G262" t="s">
        <v>564</v>
      </c>
      <c r="H262">
        <v>39</v>
      </c>
      <c r="I262">
        <v>1.8</v>
      </c>
      <c r="J262" t="s">
        <v>264</v>
      </c>
      <c r="K262">
        <v>1972</v>
      </c>
      <c r="L262">
        <v>75</v>
      </c>
      <c r="M262" t="s">
        <v>566</v>
      </c>
      <c r="N262" t="s">
        <v>25</v>
      </c>
      <c r="O262">
        <v>1</v>
      </c>
      <c r="P262" t="s">
        <v>35</v>
      </c>
      <c r="Q262">
        <v>87</v>
      </c>
    </row>
    <row r="263" spans="1:17" x14ac:dyDescent="0.25">
      <c r="A263" t="s">
        <v>360</v>
      </c>
      <c r="B263" s="2">
        <f t="shared" ca="1" si="4"/>
        <v>46105</v>
      </c>
      <c r="C263" t="s">
        <v>567</v>
      </c>
      <c r="D263" s="1">
        <v>0</v>
      </c>
      <c r="E263" t="s">
        <v>36</v>
      </c>
      <c r="F263" t="s">
        <v>39</v>
      </c>
      <c r="G263" t="s">
        <v>54</v>
      </c>
      <c r="H263">
        <v>65</v>
      </c>
      <c r="I263">
        <v>4.3</v>
      </c>
      <c r="J263" t="s">
        <v>361</v>
      </c>
      <c r="K263">
        <v>435</v>
      </c>
      <c r="L263">
        <v>0.15</v>
      </c>
      <c r="M263" t="s">
        <v>83</v>
      </c>
      <c r="N263" t="s">
        <v>25</v>
      </c>
      <c r="O263">
        <v>2</v>
      </c>
      <c r="P263" t="s">
        <v>35</v>
      </c>
      <c r="Q263">
        <v>99</v>
      </c>
    </row>
    <row r="264" spans="1:17" x14ac:dyDescent="0.25">
      <c r="A264" t="s">
        <v>362</v>
      </c>
      <c r="B264" s="2">
        <f t="shared" ca="1" si="4"/>
        <v>46122</v>
      </c>
      <c r="C264" t="s">
        <v>785</v>
      </c>
      <c r="D264" s="1">
        <v>0</v>
      </c>
      <c r="E264" t="s">
        <v>548</v>
      </c>
      <c r="F264" t="s">
        <v>116</v>
      </c>
      <c r="G264" t="s">
        <v>44</v>
      </c>
      <c r="H264">
        <v>50</v>
      </c>
      <c r="I264">
        <v>3.6</v>
      </c>
      <c r="J264" t="s">
        <v>565</v>
      </c>
      <c r="K264">
        <v>932</v>
      </c>
      <c r="L264">
        <v>150</v>
      </c>
      <c r="M264" t="s">
        <v>566</v>
      </c>
      <c r="N264" t="s">
        <v>25</v>
      </c>
      <c r="O264">
        <v>3</v>
      </c>
      <c r="P264" t="s">
        <v>30</v>
      </c>
      <c r="Q264">
        <v>21</v>
      </c>
    </row>
    <row r="265" spans="1:17" x14ac:dyDescent="0.25">
      <c r="A265" t="s">
        <v>363</v>
      </c>
      <c r="B265" s="2">
        <f t="shared" ca="1" si="4"/>
        <v>46241</v>
      </c>
      <c r="C265" t="s">
        <v>567</v>
      </c>
      <c r="D265" s="1">
        <v>0</v>
      </c>
      <c r="E265" t="s">
        <v>548</v>
      </c>
      <c r="F265" t="s">
        <v>70</v>
      </c>
      <c r="G265" t="s">
        <v>22</v>
      </c>
      <c r="H265">
        <v>28</v>
      </c>
      <c r="I265">
        <v>3.4</v>
      </c>
      <c r="J265" t="s">
        <v>102</v>
      </c>
      <c r="K265">
        <v>2455</v>
      </c>
      <c r="L265">
        <v>150</v>
      </c>
      <c r="M265" t="s">
        <v>60</v>
      </c>
      <c r="N265" t="s">
        <v>48</v>
      </c>
      <c r="O265">
        <v>6</v>
      </c>
      <c r="P265" t="s">
        <v>35</v>
      </c>
    </row>
    <row r="266" spans="1:17" x14ac:dyDescent="0.25">
      <c r="A266" t="s">
        <v>364</v>
      </c>
      <c r="B266" s="2">
        <f t="shared" ca="1" si="4"/>
        <v>46202</v>
      </c>
      <c r="C266" t="s">
        <v>786</v>
      </c>
      <c r="D266" s="1">
        <v>0.50277777777777777</v>
      </c>
      <c r="E266" t="s">
        <v>109</v>
      </c>
      <c r="F266" t="s">
        <v>47</v>
      </c>
      <c r="G266" t="s">
        <v>564</v>
      </c>
      <c r="H266">
        <v>42</v>
      </c>
      <c r="I266">
        <v>3.2</v>
      </c>
      <c r="J266" t="s">
        <v>133</v>
      </c>
      <c r="K266">
        <v>1590</v>
      </c>
      <c r="L266">
        <v>0.1</v>
      </c>
      <c r="M266" t="s">
        <v>55</v>
      </c>
      <c r="N266" t="s">
        <v>25</v>
      </c>
      <c r="O266">
        <v>7</v>
      </c>
      <c r="P266" t="s">
        <v>553</v>
      </c>
      <c r="Q266">
        <v>2</v>
      </c>
    </row>
    <row r="267" spans="1:17" x14ac:dyDescent="0.25">
      <c r="A267" t="s">
        <v>365</v>
      </c>
      <c r="B267" s="2">
        <f t="shared" ca="1" si="4"/>
        <v>46315</v>
      </c>
      <c r="C267" t="s">
        <v>787</v>
      </c>
      <c r="D267" s="1">
        <v>0</v>
      </c>
      <c r="E267" t="s">
        <v>31</v>
      </c>
      <c r="F267" t="s">
        <v>75</v>
      </c>
      <c r="G267" t="s">
        <v>29</v>
      </c>
      <c r="H267">
        <v>46</v>
      </c>
      <c r="I267">
        <v>3.3</v>
      </c>
      <c r="J267" t="s">
        <v>769</v>
      </c>
      <c r="K267">
        <v>1445</v>
      </c>
      <c r="L267">
        <v>50</v>
      </c>
      <c r="M267" t="s">
        <v>550</v>
      </c>
      <c r="N267" t="s">
        <v>48</v>
      </c>
      <c r="O267">
        <v>3</v>
      </c>
      <c r="P267" t="s">
        <v>68</v>
      </c>
      <c r="Q267">
        <v>30</v>
      </c>
    </row>
    <row r="268" spans="1:17" x14ac:dyDescent="0.25">
      <c r="A268" t="s">
        <v>366</v>
      </c>
      <c r="B268" s="2">
        <f t="shared" ca="1" si="4"/>
        <v>46361</v>
      </c>
      <c r="C268" t="s">
        <v>788</v>
      </c>
      <c r="D268" s="1">
        <v>0</v>
      </c>
      <c r="E268" t="s">
        <v>90</v>
      </c>
      <c r="F268" t="s">
        <v>70</v>
      </c>
      <c r="G268" t="s">
        <v>312</v>
      </c>
      <c r="H268">
        <v>38</v>
      </c>
      <c r="I268">
        <v>3</v>
      </c>
      <c r="J268" t="s">
        <v>597</v>
      </c>
      <c r="K268">
        <v>1868</v>
      </c>
      <c r="L268">
        <v>0</v>
      </c>
      <c r="M268" t="s">
        <v>83</v>
      </c>
      <c r="N268" t="s">
        <v>25</v>
      </c>
      <c r="O268">
        <v>2</v>
      </c>
      <c r="P268" t="s">
        <v>553</v>
      </c>
      <c r="Q268">
        <v>69</v>
      </c>
    </row>
    <row r="269" spans="1:17" x14ac:dyDescent="0.25">
      <c r="A269" t="s">
        <v>367</v>
      </c>
      <c r="B269" s="2">
        <f t="shared" ca="1" si="4"/>
        <v>46355</v>
      </c>
      <c r="C269" t="s">
        <v>789</v>
      </c>
      <c r="D269" s="1">
        <v>0.25833333333333336</v>
      </c>
      <c r="E269" t="s">
        <v>577</v>
      </c>
      <c r="F269" t="s">
        <v>16</v>
      </c>
      <c r="G269" t="s">
        <v>564</v>
      </c>
      <c r="H269">
        <v>45</v>
      </c>
      <c r="I269">
        <v>4.4000000000000004</v>
      </c>
      <c r="J269" t="s">
        <v>623</v>
      </c>
      <c r="K269">
        <v>1387</v>
      </c>
      <c r="L269">
        <v>0.6</v>
      </c>
      <c r="M269" t="s">
        <v>60</v>
      </c>
      <c r="N269" t="s">
        <v>34</v>
      </c>
      <c r="O269">
        <v>1</v>
      </c>
      <c r="P269" t="s">
        <v>41</v>
      </c>
      <c r="Q269">
        <v>177</v>
      </c>
    </row>
    <row r="270" spans="1:17" x14ac:dyDescent="0.25">
      <c r="A270" t="s">
        <v>368</v>
      </c>
      <c r="B270" s="2">
        <f t="shared" ca="1" si="4"/>
        <v>46187</v>
      </c>
      <c r="C270" t="s">
        <v>790</v>
      </c>
      <c r="D270" s="1">
        <v>0.32708333333333334</v>
      </c>
      <c r="E270" t="s">
        <v>53</v>
      </c>
      <c r="F270" t="s">
        <v>47</v>
      </c>
      <c r="G270" t="s">
        <v>54</v>
      </c>
      <c r="H270">
        <v>65</v>
      </c>
      <c r="I270">
        <v>1.2</v>
      </c>
      <c r="J270" t="s">
        <v>764</v>
      </c>
      <c r="K270">
        <v>609</v>
      </c>
      <c r="L270">
        <v>0</v>
      </c>
      <c r="M270" t="s">
        <v>55</v>
      </c>
      <c r="N270" t="s">
        <v>34</v>
      </c>
      <c r="O270">
        <v>10</v>
      </c>
      <c r="P270" t="s">
        <v>68</v>
      </c>
      <c r="Q270">
        <v>17</v>
      </c>
    </row>
    <row r="271" spans="1:17" x14ac:dyDescent="0.25">
      <c r="A271" t="s">
        <v>369</v>
      </c>
      <c r="B271" s="2">
        <f t="shared" ca="1" si="4"/>
        <v>46142</v>
      </c>
      <c r="C271" t="s">
        <v>791</v>
      </c>
      <c r="D271" s="1">
        <v>0</v>
      </c>
      <c r="E271" t="s">
        <v>564</v>
      </c>
      <c r="F271" t="s">
        <v>58</v>
      </c>
      <c r="G271" t="s">
        <v>50</v>
      </c>
      <c r="H271">
        <v>59</v>
      </c>
      <c r="I271">
        <v>5</v>
      </c>
      <c r="J271" t="s">
        <v>64</v>
      </c>
      <c r="K271">
        <v>2048</v>
      </c>
      <c r="L271">
        <v>0</v>
      </c>
      <c r="M271" t="s">
        <v>60</v>
      </c>
      <c r="N271" t="s">
        <v>34</v>
      </c>
      <c r="O271">
        <v>8</v>
      </c>
      <c r="P271" t="s">
        <v>18</v>
      </c>
      <c r="Q271">
        <v>206</v>
      </c>
    </row>
    <row r="272" spans="1:17" x14ac:dyDescent="0.25">
      <c r="A272" t="s">
        <v>370</v>
      </c>
      <c r="B272" s="2">
        <f t="shared" ca="1" si="4"/>
        <v>46134</v>
      </c>
      <c r="C272" t="s">
        <v>792</v>
      </c>
      <c r="D272" s="1">
        <v>0</v>
      </c>
      <c r="E272" t="s">
        <v>31</v>
      </c>
      <c r="F272" t="s">
        <v>75</v>
      </c>
      <c r="G272" t="s">
        <v>22</v>
      </c>
      <c r="H272">
        <v>38</v>
      </c>
      <c r="I272">
        <v>2.5</v>
      </c>
      <c r="J272" t="s">
        <v>320</v>
      </c>
      <c r="K272">
        <v>188</v>
      </c>
      <c r="L272">
        <v>50</v>
      </c>
      <c r="M272" t="s">
        <v>566</v>
      </c>
      <c r="N272" t="s">
        <v>25</v>
      </c>
      <c r="O272">
        <v>4</v>
      </c>
      <c r="P272" t="s">
        <v>18</v>
      </c>
      <c r="Q272">
        <v>240</v>
      </c>
    </row>
    <row r="273" spans="1:17" x14ac:dyDescent="0.25">
      <c r="A273" t="s">
        <v>371</v>
      </c>
      <c r="B273" s="2">
        <f t="shared" ca="1" si="4"/>
        <v>46094</v>
      </c>
      <c r="C273" t="s">
        <v>687</v>
      </c>
      <c r="D273" s="1">
        <v>0</v>
      </c>
      <c r="E273" t="s">
        <v>564</v>
      </c>
      <c r="F273" t="s">
        <v>21</v>
      </c>
      <c r="G273" t="s">
        <v>17</v>
      </c>
      <c r="H273">
        <v>65</v>
      </c>
      <c r="I273">
        <v>3.3</v>
      </c>
      <c r="J273" t="s">
        <v>342</v>
      </c>
      <c r="K273">
        <v>429</v>
      </c>
      <c r="L273">
        <v>0.1</v>
      </c>
      <c r="M273" t="s">
        <v>24</v>
      </c>
      <c r="N273" t="s">
        <v>25</v>
      </c>
      <c r="O273">
        <v>5</v>
      </c>
      <c r="P273" t="s">
        <v>68</v>
      </c>
      <c r="Q273">
        <v>115</v>
      </c>
    </row>
    <row r="274" spans="1:17" x14ac:dyDescent="0.25">
      <c r="A274" t="s">
        <v>372</v>
      </c>
      <c r="B274" s="2">
        <f t="shared" ca="1" si="4"/>
        <v>46028</v>
      </c>
      <c r="C274" t="s">
        <v>591</v>
      </c>
      <c r="D274" s="1">
        <v>0</v>
      </c>
      <c r="E274" t="s">
        <v>90</v>
      </c>
      <c r="F274" t="s">
        <v>58</v>
      </c>
      <c r="G274" t="s">
        <v>373</v>
      </c>
      <c r="H274">
        <v>38</v>
      </c>
      <c r="I274">
        <v>2.5</v>
      </c>
      <c r="J274" t="s">
        <v>729</v>
      </c>
      <c r="K274">
        <v>567</v>
      </c>
      <c r="L274">
        <v>100</v>
      </c>
      <c r="M274" t="s">
        <v>566</v>
      </c>
      <c r="N274" t="s">
        <v>25</v>
      </c>
      <c r="O274">
        <v>6</v>
      </c>
      <c r="P274" t="s">
        <v>68</v>
      </c>
      <c r="Q274">
        <v>33</v>
      </c>
    </row>
    <row r="275" spans="1:17" x14ac:dyDescent="0.25">
      <c r="A275" t="s">
        <v>374</v>
      </c>
      <c r="B275" s="2">
        <f t="shared" ca="1" si="4"/>
        <v>46104</v>
      </c>
      <c r="C275" t="s">
        <v>793</v>
      </c>
      <c r="D275" s="1">
        <v>0</v>
      </c>
      <c r="E275" t="s">
        <v>794</v>
      </c>
      <c r="F275" t="s">
        <v>70</v>
      </c>
      <c r="G275" t="s">
        <v>78</v>
      </c>
      <c r="H275">
        <v>46</v>
      </c>
      <c r="I275">
        <v>4.9000000000000004</v>
      </c>
      <c r="J275" t="s">
        <v>277</v>
      </c>
      <c r="K275">
        <v>2433</v>
      </c>
      <c r="L275">
        <v>120</v>
      </c>
      <c r="M275" t="s">
        <v>55</v>
      </c>
      <c r="N275" t="s">
        <v>34</v>
      </c>
      <c r="O275">
        <v>3</v>
      </c>
      <c r="P275" t="s">
        <v>41</v>
      </c>
      <c r="Q275">
        <v>184</v>
      </c>
    </row>
    <row r="276" spans="1:17" x14ac:dyDescent="0.25">
      <c r="A276" t="s">
        <v>375</v>
      </c>
      <c r="B276" s="2">
        <f t="shared" ca="1" si="4"/>
        <v>46067</v>
      </c>
      <c r="C276" t="s">
        <v>795</v>
      </c>
      <c r="D276" s="1">
        <v>0</v>
      </c>
      <c r="E276" t="s">
        <v>548</v>
      </c>
      <c r="F276" t="s">
        <v>39</v>
      </c>
      <c r="G276" t="s">
        <v>22</v>
      </c>
      <c r="H276">
        <v>51</v>
      </c>
      <c r="I276">
        <v>4.5999999999999996</v>
      </c>
      <c r="J276" t="s">
        <v>663</v>
      </c>
      <c r="K276">
        <v>1837</v>
      </c>
      <c r="L276">
        <v>0</v>
      </c>
      <c r="M276" t="s">
        <v>24</v>
      </c>
      <c r="N276" t="s">
        <v>25</v>
      </c>
      <c r="O276">
        <v>3</v>
      </c>
      <c r="P276" t="s">
        <v>30</v>
      </c>
      <c r="Q276">
        <v>241</v>
      </c>
    </row>
    <row r="277" spans="1:17" x14ac:dyDescent="0.25">
      <c r="A277" t="s">
        <v>376</v>
      </c>
      <c r="B277" s="2">
        <f t="shared" ca="1" si="4"/>
        <v>46376</v>
      </c>
      <c r="C277" t="s">
        <v>792</v>
      </c>
      <c r="D277" s="1">
        <v>0</v>
      </c>
      <c r="E277" t="s">
        <v>97</v>
      </c>
      <c r="F277" t="s">
        <v>43</v>
      </c>
      <c r="G277" t="s">
        <v>63</v>
      </c>
      <c r="H277">
        <v>38</v>
      </c>
      <c r="I277">
        <v>2.5</v>
      </c>
      <c r="J277" t="s">
        <v>377</v>
      </c>
      <c r="K277">
        <v>1368</v>
      </c>
      <c r="L277">
        <v>50</v>
      </c>
      <c r="M277" t="s">
        <v>24</v>
      </c>
      <c r="N277" t="s">
        <v>25</v>
      </c>
      <c r="O277">
        <v>6</v>
      </c>
      <c r="P277" t="s">
        <v>68</v>
      </c>
      <c r="Q277">
        <v>197</v>
      </c>
    </row>
    <row r="278" spans="1:17" x14ac:dyDescent="0.25">
      <c r="A278" t="s">
        <v>378</v>
      </c>
      <c r="B278" s="2">
        <f t="shared" ca="1" si="4"/>
        <v>46089</v>
      </c>
      <c r="C278" t="s">
        <v>796</v>
      </c>
      <c r="D278" s="1">
        <v>0.69236111111111109</v>
      </c>
      <c r="E278" t="s">
        <v>53</v>
      </c>
      <c r="F278" t="s">
        <v>116</v>
      </c>
      <c r="G278" t="s">
        <v>54</v>
      </c>
      <c r="H278">
        <v>35</v>
      </c>
      <c r="I278">
        <v>3.9</v>
      </c>
      <c r="J278" t="s">
        <v>667</v>
      </c>
      <c r="K278">
        <v>903</v>
      </c>
      <c r="L278">
        <v>0.2</v>
      </c>
      <c r="M278" t="s">
        <v>564</v>
      </c>
      <c r="N278" t="s">
        <v>25</v>
      </c>
      <c r="O278">
        <v>5</v>
      </c>
      <c r="P278" t="s">
        <v>18</v>
      </c>
      <c r="Q278">
        <v>81</v>
      </c>
    </row>
    <row r="279" spans="1:17" x14ac:dyDescent="0.25">
      <c r="A279" t="s">
        <v>379</v>
      </c>
      <c r="B279" s="2">
        <f t="shared" ca="1" si="4"/>
        <v>46079</v>
      </c>
      <c r="C279" t="s">
        <v>797</v>
      </c>
      <c r="D279" s="1">
        <v>0</v>
      </c>
      <c r="E279" t="s">
        <v>548</v>
      </c>
      <c r="F279" t="s">
        <v>75</v>
      </c>
      <c r="G279" t="s">
        <v>63</v>
      </c>
      <c r="H279">
        <v>46</v>
      </c>
      <c r="I279">
        <v>3.3</v>
      </c>
      <c r="J279" t="s">
        <v>621</v>
      </c>
      <c r="K279">
        <v>2055</v>
      </c>
      <c r="L279">
        <v>150</v>
      </c>
      <c r="M279" t="s">
        <v>550</v>
      </c>
      <c r="N279" t="s">
        <v>48</v>
      </c>
      <c r="O279">
        <v>8</v>
      </c>
      <c r="P279" t="s">
        <v>68</v>
      </c>
      <c r="Q279">
        <v>36</v>
      </c>
    </row>
    <row r="280" spans="1:17" x14ac:dyDescent="0.25">
      <c r="A280" t="s">
        <v>380</v>
      </c>
      <c r="B280" s="2">
        <f t="shared" ca="1" si="4"/>
        <v>46335</v>
      </c>
      <c r="C280" t="s">
        <v>798</v>
      </c>
      <c r="D280" s="1">
        <v>0.65138888888888891</v>
      </c>
      <c r="E280" t="s">
        <v>90</v>
      </c>
      <c r="F280" t="s">
        <v>70</v>
      </c>
      <c r="G280" t="s">
        <v>29</v>
      </c>
      <c r="H280">
        <v>65</v>
      </c>
      <c r="I280">
        <v>4.9000000000000004</v>
      </c>
      <c r="J280" t="s">
        <v>799</v>
      </c>
      <c r="K280">
        <v>361</v>
      </c>
      <c r="L280">
        <v>75</v>
      </c>
      <c r="M280" t="s">
        <v>83</v>
      </c>
      <c r="N280" t="s">
        <v>48</v>
      </c>
      <c r="O280">
        <v>8</v>
      </c>
      <c r="P280" t="s">
        <v>68</v>
      </c>
      <c r="Q280">
        <v>27</v>
      </c>
    </row>
    <row r="281" spans="1:17" x14ac:dyDescent="0.25">
      <c r="A281" t="s">
        <v>381</v>
      </c>
      <c r="B281" s="2">
        <f t="shared" ca="1" si="4"/>
        <v>46080</v>
      </c>
      <c r="C281" t="s">
        <v>628</v>
      </c>
      <c r="D281" s="1">
        <v>0</v>
      </c>
      <c r="E281" t="s">
        <v>31</v>
      </c>
      <c r="F281" t="s">
        <v>75</v>
      </c>
      <c r="G281" t="s">
        <v>81</v>
      </c>
      <c r="H281">
        <v>42</v>
      </c>
      <c r="I281">
        <v>4.8</v>
      </c>
      <c r="J281" t="s">
        <v>626</v>
      </c>
      <c r="K281">
        <v>1580</v>
      </c>
      <c r="L281">
        <v>0.15</v>
      </c>
      <c r="M281" t="s">
        <v>566</v>
      </c>
      <c r="N281" t="s">
        <v>564</v>
      </c>
      <c r="O281">
        <v>4</v>
      </c>
      <c r="P281" t="s">
        <v>30</v>
      </c>
      <c r="Q281">
        <v>188</v>
      </c>
    </row>
    <row r="282" spans="1:17" x14ac:dyDescent="0.25">
      <c r="A282" t="s">
        <v>382</v>
      </c>
      <c r="B282" s="2">
        <f t="shared" ca="1" si="4"/>
        <v>46248</v>
      </c>
      <c r="C282" t="s">
        <v>710</v>
      </c>
      <c r="D282" s="1">
        <v>0</v>
      </c>
      <c r="E282" t="s">
        <v>57</v>
      </c>
      <c r="F282" t="s">
        <v>70</v>
      </c>
      <c r="G282" t="s">
        <v>44</v>
      </c>
      <c r="H282">
        <v>34</v>
      </c>
      <c r="I282">
        <v>2.5</v>
      </c>
      <c r="J282" t="s">
        <v>609</v>
      </c>
      <c r="K282">
        <v>882</v>
      </c>
      <c r="L282">
        <v>50</v>
      </c>
      <c r="M282" t="s">
        <v>60</v>
      </c>
      <c r="N282" t="s">
        <v>25</v>
      </c>
      <c r="O282">
        <v>9</v>
      </c>
      <c r="P282" t="s">
        <v>553</v>
      </c>
      <c r="Q282">
        <v>186</v>
      </c>
    </row>
    <row r="283" spans="1:17" x14ac:dyDescent="0.25">
      <c r="A283" t="s">
        <v>383</v>
      </c>
      <c r="B283" s="2">
        <f t="shared" ca="1" si="4"/>
        <v>46322</v>
      </c>
      <c r="C283" t="s">
        <v>642</v>
      </c>
      <c r="D283" s="1">
        <v>0</v>
      </c>
      <c r="E283" t="s">
        <v>53</v>
      </c>
      <c r="F283" t="s">
        <v>21</v>
      </c>
      <c r="G283" t="s">
        <v>564</v>
      </c>
      <c r="H283">
        <v>59</v>
      </c>
      <c r="I283">
        <v>2.5</v>
      </c>
      <c r="J283" t="s">
        <v>588</v>
      </c>
      <c r="K283">
        <v>272</v>
      </c>
      <c r="L283">
        <v>75</v>
      </c>
      <c r="M283" t="s">
        <v>83</v>
      </c>
      <c r="N283" t="s">
        <v>25</v>
      </c>
      <c r="O283">
        <v>7</v>
      </c>
      <c r="P283" t="s">
        <v>30</v>
      </c>
      <c r="Q283">
        <v>150</v>
      </c>
    </row>
    <row r="284" spans="1:17" x14ac:dyDescent="0.25">
      <c r="A284" t="s">
        <v>384</v>
      </c>
      <c r="B284" s="2">
        <f t="shared" ca="1" si="4"/>
        <v>46190</v>
      </c>
      <c r="C284" t="s">
        <v>800</v>
      </c>
      <c r="D284" s="1">
        <v>0</v>
      </c>
      <c r="E284" t="s">
        <v>31</v>
      </c>
      <c r="F284" t="s">
        <v>16</v>
      </c>
      <c r="G284" t="s">
        <v>78</v>
      </c>
      <c r="H284">
        <v>33</v>
      </c>
      <c r="I284">
        <v>4.0999999999999996</v>
      </c>
      <c r="J284" t="s">
        <v>658</v>
      </c>
      <c r="K284">
        <v>190</v>
      </c>
      <c r="L284">
        <v>75</v>
      </c>
      <c r="M284" t="s">
        <v>550</v>
      </c>
      <c r="N284" t="s">
        <v>25</v>
      </c>
      <c r="O284">
        <v>6</v>
      </c>
      <c r="P284" t="s">
        <v>30</v>
      </c>
      <c r="Q284">
        <v>153</v>
      </c>
    </row>
    <row r="285" spans="1:17" x14ac:dyDescent="0.25">
      <c r="A285" t="s">
        <v>385</v>
      </c>
      <c r="B285" s="2">
        <f t="shared" ca="1" si="4"/>
        <v>46323</v>
      </c>
      <c r="C285" t="s">
        <v>664</v>
      </c>
      <c r="D285" s="1">
        <v>0</v>
      </c>
      <c r="E285" t="s">
        <v>90</v>
      </c>
      <c r="F285" t="s">
        <v>16</v>
      </c>
      <c r="G285" t="s">
        <v>17</v>
      </c>
      <c r="H285">
        <v>51</v>
      </c>
      <c r="I285">
        <v>2.5</v>
      </c>
      <c r="J285" t="s">
        <v>799</v>
      </c>
      <c r="K285">
        <v>186</v>
      </c>
      <c r="L285">
        <v>0</v>
      </c>
      <c r="M285" t="s">
        <v>55</v>
      </c>
      <c r="N285" t="s">
        <v>34</v>
      </c>
      <c r="O285">
        <v>3</v>
      </c>
      <c r="P285" t="s">
        <v>41</v>
      </c>
      <c r="Q285">
        <v>65</v>
      </c>
    </row>
    <row r="286" spans="1:17" x14ac:dyDescent="0.25">
      <c r="A286" t="s">
        <v>386</v>
      </c>
      <c r="B286" s="2">
        <f t="shared" ca="1" si="4"/>
        <v>46155</v>
      </c>
      <c r="C286" t="s">
        <v>801</v>
      </c>
      <c r="D286" s="1">
        <v>4.3055555555555555E-2</v>
      </c>
      <c r="E286" t="s">
        <v>31</v>
      </c>
      <c r="F286" t="s">
        <v>43</v>
      </c>
      <c r="G286" t="s">
        <v>29</v>
      </c>
      <c r="H286">
        <v>39</v>
      </c>
      <c r="I286">
        <v>4.7</v>
      </c>
      <c r="J286" t="s">
        <v>584</v>
      </c>
      <c r="K286">
        <v>1986</v>
      </c>
      <c r="L286">
        <v>0</v>
      </c>
      <c r="M286" t="s">
        <v>60</v>
      </c>
      <c r="N286" t="s">
        <v>25</v>
      </c>
      <c r="O286">
        <v>8</v>
      </c>
      <c r="P286" t="s">
        <v>553</v>
      </c>
      <c r="Q286">
        <v>47</v>
      </c>
    </row>
    <row r="287" spans="1:17" x14ac:dyDescent="0.25">
      <c r="A287" t="s">
        <v>387</v>
      </c>
      <c r="B287" s="2">
        <f t="shared" ca="1" si="4"/>
        <v>46129</v>
      </c>
      <c r="C287" t="s">
        <v>746</v>
      </c>
      <c r="D287" s="1">
        <v>0</v>
      </c>
      <c r="E287" t="s">
        <v>31</v>
      </c>
      <c r="F287" t="s">
        <v>39</v>
      </c>
      <c r="G287" t="s">
        <v>44</v>
      </c>
      <c r="H287">
        <v>38</v>
      </c>
      <c r="I287">
        <v>3.4</v>
      </c>
      <c r="J287" t="s">
        <v>802</v>
      </c>
      <c r="K287">
        <v>1955</v>
      </c>
      <c r="L287">
        <v>0</v>
      </c>
      <c r="M287" t="s">
        <v>55</v>
      </c>
      <c r="N287" t="s">
        <v>25</v>
      </c>
      <c r="O287">
        <v>9</v>
      </c>
      <c r="P287" t="s">
        <v>564</v>
      </c>
      <c r="Q287">
        <v>20</v>
      </c>
    </row>
    <row r="288" spans="1:17" x14ac:dyDescent="0.25">
      <c r="A288" t="s">
        <v>388</v>
      </c>
      <c r="B288" s="2">
        <f t="shared" ca="1" si="4"/>
        <v>46073</v>
      </c>
      <c r="C288" t="s">
        <v>803</v>
      </c>
      <c r="D288" s="1">
        <v>0.6166666666666667</v>
      </c>
      <c r="E288" t="s">
        <v>31</v>
      </c>
      <c r="F288" t="s">
        <v>47</v>
      </c>
      <c r="G288" t="s">
        <v>50</v>
      </c>
      <c r="H288">
        <v>18</v>
      </c>
      <c r="I288">
        <v>2.5</v>
      </c>
      <c r="J288" t="s">
        <v>669</v>
      </c>
      <c r="K288">
        <v>500</v>
      </c>
      <c r="L288">
        <v>0.2</v>
      </c>
      <c r="M288" t="s">
        <v>55</v>
      </c>
      <c r="N288" t="s">
        <v>25</v>
      </c>
      <c r="O288">
        <v>5</v>
      </c>
      <c r="P288" t="s">
        <v>35</v>
      </c>
      <c r="Q288">
        <v>218</v>
      </c>
    </row>
    <row r="289" spans="1:17" x14ac:dyDescent="0.25">
      <c r="A289" t="s">
        <v>389</v>
      </c>
      <c r="B289" s="2">
        <f t="shared" ca="1" si="4"/>
        <v>46267</v>
      </c>
      <c r="C289" t="s">
        <v>804</v>
      </c>
      <c r="D289" s="1">
        <v>0.58194444444444449</v>
      </c>
      <c r="E289" t="s">
        <v>57</v>
      </c>
      <c r="F289" t="s">
        <v>21</v>
      </c>
      <c r="G289" t="s">
        <v>44</v>
      </c>
      <c r="H289">
        <v>22</v>
      </c>
      <c r="I289">
        <v>1.5</v>
      </c>
      <c r="J289" t="s">
        <v>559</v>
      </c>
      <c r="K289">
        <v>278</v>
      </c>
      <c r="L289">
        <v>0.2</v>
      </c>
      <c r="M289" t="s">
        <v>24</v>
      </c>
      <c r="N289" t="s">
        <v>48</v>
      </c>
      <c r="O289">
        <v>2</v>
      </c>
      <c r="P289" t="s">
        <v>35</v>
      </c>
      <c r="Q289">
        <v>234</v>
      </c>
    </row>
    <row r="290" spans="1:17" x14ac:dyDescent="0.25">
      <c r="A290" t="s">
        <v>390</v>
      </c>
      <c r="B290" s="2">
        <f t="shared" ca="1" si="4"/>
        <v>46291</v>
      </c>
      <c r="C290" t="s">
        <v>699</v>
      </c>
      <c r="D290" s="1">
        <v>0</v>
      </c>
      <c r="E290" t="s">
        <v>548</v>
      </c>
      <c r="F290" t="s">
        <v>75</v>
      </c>
      <c r="G290" t="s">
        <v>29</v>
      </c>
      <c r="H290">
        <v>30</v>
      </c>
      <c r="I290">
        <v>3.9</v>
      </c>
      <c r="J290" t="s">
        <v>320</v>
      </c>
      <c r="K290">
        <v>154</v>
      </c>
      <c r="L290">
        <v>75</v>
      </c>
      <c r="M290" t="s">
        <v>55</v>
      </c>
      <c r="N290" t="s">
        <v>25</v>
      </c>
      <c r="O290">
        <v>4</v>
      </c>
      <c r="P290" t="s">
        <v>30</v>
      </c>
    </row>
    <row r="291" spans="1:17" x14ac:dyDescent="0.25">
      <c r="A291" t="s">
        <v>391</v>
      </c>
      <c r="B291" s="2">
        <f t="shared" ca="1" si="4"/>
        <v>46167</v>
      </c>
      <c r="C291" t="s">
        <v>586</v>
      </c>
      <c r="D291" s="1">
        <v>0</v>
      </c>
      <c r="E291" t="s">
        <v>109</v>
      </c>
      <c r="F291" t="s">
        <v>39</v>
      </c>
      <c r="G291" t="s">
        <v>392</v>
      </c>
      <c r="H291">
        <v>47</v>
      </c>
      <c r="I291">
        <v>4.5</v>
      </c>
      <c r="J291" t="s">
        <v>621</v>
      </c>
      <c r="K291">
        <v>418</v>
      </c>
      <c r="L291">
        <v>0.5</v>
      </c>
      <c r="M291" t="s">
        <v>566</v>
      </c>
      <c r="N291" t="s">
        <v>25</v>
      </c>
      <c r="O291">
        <v>3</v>
      </c>
      <c r="P291" t="s">
        <v>553</v>
      </c>
      <c r="Q291">
        <v>155</v>
      </c>
    </row>
    <row r="292" spans="1:17" x14ac:dyDescent="0.25">
      <c r="A292" t="s">
        <v>393</v>
      </c>
      <c r="B292" s="2">
        <f t="shared" ca="1" si="4"/>
        <v>46064</v>
      </c>
      <c r="C292" t="s">
        <v>805</v>
      </c>
      <c r="D292" s="1">
        <v>0</v>
      </c>
      <c r="E292" t="s">
        <v>66</v>
      </c>
      <c r="F292" t="s">
        <v>47</v>
      </c>
      <c r="G292" t="s">
        <v>54</v>
      </c>
      <c r="H292">
        <v>21</v>
      </c>
      <c r="I292">
        <v>2.4</v>
      </c>
      <c r="J292" t="s">
        <v>584</v>
      </c>
      <c r="K292">
        <v>2350</v>
      </c>
      <c r="L292">
        <v>0</v>
      </c>
      <c r="M292" t="s">
        <v>24</v>
      </c>
      <c r="N292" t="s">
        <v>25</v>
      </c>
      <c r="O292">
        <v>4</v>
      </c>
      <c r="P292" t="s">
        <v>30</v>
      </c>
      <c r="Q292">
        <v>206</v>
      </c>
    </row>
    <row r="293" spans="1:17" x14ac:dyDescent="0.25">
      <c r="A293" t="s">
        <v>394</v>
      </c>
      <c r="B293" s="2">
        <f t="shared" ca="1" si="4"/>
        <v>46161</v>
      </c>
      <c r="C293" t="s">
        <v>806</v>
      </c>
      <c r="D293" s="1">
        <v>0</v>
      </c>
      <c r="E293" t="s">
        <v>90</v>
      </c>
      <c r="F293" t="s">
        <v>16</v>
      </c>
      <c r="G293" t="s">
        <v>78</v>
      </c>
      <c r="H293">
        <v>31</v>
      </c>
      <c r="I293">
        <v>1.3</v>
      </c>
      <c r="J293" t="s">
        <v>741</v>
      </c>
      <c r="K293">
        <v>1509</v>
      </c>
      <c r="L293">
        <v>150</v>
      </c>
      <c r="M293" t="s">
        <v>55</v>
      </c>
      <c r="N293" t="s">
        <v>34</v>
      </c>
      <c r="O293">
        <v>7</v>
      </c>
      <c r="P293" t="s">
        <v>30</v>
      </c>
      <c r="Q293">
        <v>151</v>
      </c>
    </row>
    <row r="294" spans="1:17" x14ac:dyDescent="0.25">
      <c r="A294" t="s">
        <v>395</v>
      </c>
      <c r="B294" s="2">
        <f t="shared" ca="1" si="4"/>
        <v>46293</v>
      </c>
      <c r="C294" t="s">
        <v>745</v>
      </c>
      <c r="D294" s="1">
        <v>0</v>
      </c>
      <c r="E294" t="s">
        <v>31</v>
      </c>
      <c r="F294" t="s">
        <v>39</v>
      </c>
      <c r="G294" t="s">
        <v>54</v>
      </c>
      <c r="H294">
        <v>60</v>
      </c>
      <c r="I294">
        <v>1.3</v>
      </c>
      <c r="J294" t="s">
        <v>604</v>
      </c>
      <c r="K294">
        <v>2195</v>
      </c>
      <c r="L294">
        <v>0</v>
      </c>
      <c r="M294" t="s">
        <v>564</v>
      </c>
      <c r="N294" t="s">
        <v>25</v>
      </c>
      <c r="O294">
        <v>5</v>
      </c>
      <c r="P294" t="s">
        <v>553</v>
      </c>
      <c r="Q294">
        <v>89</v>
      </c>
    </row>
    <row r="295" spans="1:17" x14ac:dyDescent="0.25">
      <c r="A295" t="s">
        <v>396</v>
      </c>
      <c r="B295" s="2">
        <f t="shared" ca="1" si="4"/>
        <v>46223</v>
      </c>
      <c r="C295" t="s">
        <v>680</v>
      </c>
      <c r="D295" s="1">
        <v>0.49236111111111114</v>
      </c>
      <c r="E295" t="s">
        <v>31</v>
      </c>
      <c r="F295" t="s">
        <v>75</v>
      </c>
      <c r="G295" t="s">
        <v>564</v>
      </c>
      <c r="H295">
        <v>24</v>
      </c>
      <c r="I295">
        <v>1.7</v>
      </c>
      <c r="J295" t="s">
        <v>131</v>
      </c>
      <c r="K295">
        <v>2027</v>
      </c>
      <c r="L295">
        <v>0</v>
      </c>
      <c r="M295" t="s">
        <v>564</v>
      </c>
      <c r="N295" t="s">
        <v>48</v>
      </c>
      <c r="O295">
        <v>8</v>
      </c>
      <c r="P295" t="s">
        <v>553</v>
      </c>
      <c r="Q295">
        <v>45</v>
      </c>
    </row>
    <row r="296" spans="1:17" x14ac:dyDescent="0.25">
      <c r="A296" t="s">
        <v>397</v>
      </c>
      <c r="B296" s="2">
        <f t="shared" ca="1" si="4"/>
        <v>46032</v>
      </c>
      <c r="C296" t="s">
        <v>690</v>
      </c>
      <c r="D296" s="1">
        <v>0</v>
      </c>
      <c r="E296" t="s">
        <v>27</v>
      </c>
      <c r="F296" t="s">
        <v>47</v>
      </c>
      <c r="G296" t="s">
        <v>17</v>
      </c>
      <c r="H296">
        <v>63</v>
      </c>
      <c r="I296">
        <v>2.2000000000000002</v>
      </c>
      <c r="J296" t="s">
        <v>632</v>
      </c>
      <c r="K296">
        <v>1173</v>
      </c>
      <c r="L296">
        <v>0</v>
      </c>
      <c r="M296" t="s">
        <v>55</v>
      </c>
      <c r="N296" t="s">
        <v>34</v>
      </c>
      <c r="O296">
        <v>3</v>
      </c>
      <c r="P296" t="s">
        <v>68</v>
      </c>
      <c r="Q296">
        <v>50</v>
      </c>
    </row>
    <row r="297" spans="1:17" x14ac:dyDescent="0.25">
      <c r="A297" t="s">
        <v>398</v>
      </c>
      <c r="B297" s="2">
        <f t="shared" ca="1" si="4"/>
        <v>46142</v>
      </c>
      <c r="C297" t="s">
        <v>807</v>
      </c>
      <c r="D297" s="1">
        <v>0</v>
      </c>
      <c r="E297" t="s">
        <v>20</v>
      </c>
      <c r="F297" t="s">
        <v>43</v>
      </c>
      <c r="G297" t="s">
        <v>54</v>
      </c>
      <c r="H297">
        <v>23</v>
      </c>
      <c r="I297">
        <v>4.5999999999999996</v>
      </c>
      <c r="J297" t="s">
        <v>617</v>
      </c>
      <c r="K297">
        <v>878</v>
      </c>
      <c r="L297">
        <v>150</v>
      </c>
      <c r="M297" t="s">
        <v>24</v>
      </c>
      <c r="N297" t="s">
        <v>48</v>
      </c>
      <c r="O297">
        <v>8</v>
      </c>
      <c r="P297" t="s">
        <v>68</v>
      </c>
      <c r="Q297">
        <v>250</v>
      </c>
    </row>
    <row r="298" spans="1:17" x14ac:dyDescent="0.25">
      <c r="A298" t="s">
        <v>399</v>
      </c>
      <c r="B298" s="2">
        <f t="shared" ca="1" si="4"/>
        <v>46137</v>
      </c>
      <c r="C298" t="s">
        <v>772</v>
      </c>
      <c r="D298" s="1">
        <v>0</v>
      </c>
      <c r="E298" t="s">
        <v>66</v>
      </c>
      <c r="F298" t="s">
        <v>21</v>
      </c>
      <c r="G298" t="s">
        <v>44</v>
      </c>
      <c r="H298">
        <v>58</v>
      </c>
      <c r="I298">
        <v>2.5</v>
      </c>
      <c r="J298" t="s">
        <v>755</v>
      </c>
      <c r="K298">
        <v>479</v>
      </c>
      <c r="L298">
        <v>0.1</v>
      </c>
      <c r="M298" t="s">
        <v>566</v>
      </c>
      <c r="N298" t="s">
        <v>25</v>
      </c>
      <c r="O298">
        <v>9</v>
      </c>
      <c r="P298" t="s">
        <v>68</v>
      </c>
      <c r="Q298">
        <v>159</v>
      </c>
    </row>
    <row r="299" spans="1:17" x14ac:dyDescent="0.25">
      <c r="A299" t="s">
        <v>400</v>
      </c>
      <c r="B299" s="2">
        <f t="shared" ca="1" si="4"/>
        <v>46231</v>
      </c>
      <c r="C299" t="s">
        <v>797</v>
      </c>
      <c r="D299" s="1">
        <v>0</v>
      </c>
      <c r="E299" t="s">
        <v>548</v>
      </c>
      <c r="F299" t="s">
        <v>47</v>
      </c>
      <c r="G299" t="s">
        <v>564</v>
      </c>
      <c r="H299">
        <v>28</v>
      </c>
      <c r="I299">
        <v>2.2000000000000002</v>
      </c>
      <c r="J299" t="s">
        <v>677</v>
      </c>
      <c r="K299">
        <v>1546</v>
      </c>
      <c r="L299">
        <v>0.2</v>
      </c>
      <c r="M299" t="s">
        <v>24</v>
      </c>
      <c r="N299" t="s">
        <v>564</v>
      </c>
      <c r="O299">
        <v>4</v>
      </c>
      <c r="P299" t="s">
        <v>30</v>
      </c>
      <c r="Q299">
        <v>220</v>
      </c>
    </row>
    <row r="300" spans="1:17" x14ac:dyDescent="0.25">
      <c r="A300" t="s">
        <v>401</v>
      </c>
      <c r="B300" s="2">
        <f t="shared" ca="1" si="4"/>
        <v>46204</v>
      </c>
      <c r="C300" t="s">
        <v>736</v>
      </c>
      <c r="D300" s="1">
        <v>0</v>
      </c>
      <c r="E300" t="s">
        <v>97</v>
      </c>
      <c r="F300" t="s">
        <v>116</v>
      </c>
      <c r="G300" t="s">
        <v>22</v>
      </c>
      <c r="H300">
        <v>38</v>
      </c>
      <c r="I300">
        <v>1.4</v>
      </c>
      <c r="J300" t="s">
        <v>623</v>
      </c>
      <c r="K300">
        <v>314</v>
      </c>
      <c r="L300">
        <v>150</v>
      </c>
      <c r="M300" t="s">
        <v>60</v>
      </c>
      <c r="N300" t="s">
        <v>48</v>
      </c>
      <c r="O300">
        <v>8</v>
      </c>
      <c r="P300" t="s">
        <v>30</v>
      </c>
      <c r="Q300">
        <v>38</v>
      </c>
    </row>
    <row r="301" spans="1:17" x14ac:dyDescent="0.25">
      <c r="A301" t="s">
        <v>402</v>
      </c>
      <c r="B301" s="2">
        <f t="shared" ca="1" si="4"/>
        <v>46386</v>
      </c>
      <c r="C301" t="s">
        <v>624</v>
      </c>
      <c r="D301" s="1">
        <v>0</v>
      </c>
      <c r="E301" t="s">
        <v>97</v>
      </c>
      <c r="F301" t="s">
        <v>116</v>
      </c>
      <c r="G301" t="s">
        <v>22</v>
      </c>
      <c r="H301">
        <v>62</v>
      </c>
      <c r="I301">
        <v>1</v>
      </c>
      <c r="J301" t="s">
        <v>588</v>
      </c>
      <c r="K301">
        <v>500</v>
      </c>
      <c r="L301">
        <v>100</v>
      </c>
      <c r="M301" t="s">
        <v>550</v>
      </c>
      <c r="N301" t="s">
        <v>25</v>
      </c>
      <c r="O301">
        <v>6</v>
      </c>
      <c r="P301" t="s">
        <v>18</v>
      </c>
      <c r="Q301">
        <v>15</v>
      </c>
    </row>
    <row r="302" spans="1:17" x14ac:dyDescent="0.25">
      <c r="A302" t="s">
        <v>403</v>
      </c>
      <c r="B302" s="2">
        <f t="shared" ca="1" si="4"/>
        <v>46326</v>
      </c>
      <c r="C302" t="s">
        <v>808</v>
      </c>
      <c r="D302" s="1">
        <v>0.5625</v>
      </c>
      <c r="E302" t="s">
        <v>31</v>
      </c>
      <c r="F302" t="s">
        <v>43</v>
      </c>
      <c r="G302" t="s">
        <v>564</v>
      </c>
      <c r="H302">
        <v>62</v>
      </c>
      <c r="I302">
        <v>1.2</v>
      </c>
      <c r="J302" t="s">
        <v>404</v>
      </c>
      <c r="K302">
        <v>2381</v>
      </c>
      <c r="L302">
        <v>0.2</v>
      </c>
      <c r="M302" t="s">
        <v>60</v>
      </c>
      <c r="N302" t="s">
        <v>25</v>
      </c>
      <c r="O302">
        <v>7</v>
      </c>
      <c r="P302" t="s">
        <v>41</v>
      </c>
      <c r="Q302">
        <v>68</v>
      </c>
    </row>
    <row r="303" spans="1:17" x14ac:dyDescent="0.25">
      <c r="A303" t="s">
        <v>405</v>
      </c>
      <c r="B303" s="2">
        <f t="shared" ca="1" si="4"/>
        <v>46033</v>
      </c>
      <c r="C303" t="s">
        <v>809</v>
      </c>
      <c r="D303" s="1">
        <v>0</v>
      </c>
      <c r="E303" t="s">
        <v>31</v>
      </c>
      <c r="F303" t="s">
        <v>116</v>
      </c>
      <c r="G303" t="s">
        <v>29</v>
      </c>
      <c r="H303">
        <v>34</v>
      </c>
      <c r="I303">
        <v>3.6</v>
      </c>
      <c r="J303" t="s">
        <v>573</v>
      </c>
      <c r="K303">
        <v>1556</v>
      </c>
      <c r="L303">
        <v>100</v>
      </c>
      <c r="M303" t="s">
        <v>55</v>
      </c>
      <c r="N303" t="s">
        <v>25</v>
      </c>
      <c r="O303">
        <v>10</v>
      </c>
      <c r="P303" t="s">
        <v>553</v>
      </c>
      <c r="Q303">
        <v>142</v>
      </c>
    </row>
    <row r="304" spans="1:17" x14ac:dyDescent="0.25">
      <c r="A304" t="s">
        <v>406</v>
      </c>
      <c r="B304" s="2">
        <f t="shared" ca="1" si="4"/>
        <v>46305</v>
      </c>
      <c r="C304" t="s">
        <v>810</v>
      </c>
      <c r="D304" s="1">
        <v>0</v>
      </c>
      <c r="E304" t="s">
        <v>57</v>
      </c>
      <c r="F304" t="s">
        <v>75</v>
      </c>
      <c r="G304" t="s">
        <v>22</v>
      </c>
      <c r="H304">
        <v>48</v>
      </c>
      <c r="I304">
        <v>1.5</v>
      </c>
      <c r="J304" t="s">
        <v>641</v>
      </c>
      <c r="K304">
        <v>2190</v>
      </c>
      <c r="L304">
        <v>75</v>
      </c>
      <c r="M304" t="s">
        <v>550</v>
      </c>
      <c r="N304" t="s">
        <v>34</v>
      </c>
      <c r="O304">
        <v>1</v>
      </c>
      <c r="P304" t="s">
        <v>35</v>
      </c>
    </row>
    <row r="305" spans="1:17" x14ac:dyDescent="0.25">
      <c r="A305" t="s">
        <v>407</v>
      </c>
      <c r="B305" s="2">
        <f t="shared" ca="1" si="4"/>
        <v>46381</v>
      </c>
      <c r="C305" t="s">
        <v>757</v>
      </c>
      <c r="D305" s="1">
        <v>0</v>
      </c>
      <c r="E305" t="s">
        <v>577</v>
      </c>
      <c r="F305" t="s">
        <v>39</v>
      </c>
      <c r="G305" t="s">
        <v>17</v>
      </c>
      <c r="H305">
        <v>58</v>
      </c>
      <c r="I305">
        <v>2.4</v>
      </c>
      <c r="J305" t="s">
        <v>549</v>
      </c>
      <c r="K305">
        <v>2146</v>
      </c>
      <c r="L305">
        <v>50</v>
      </c>
      <c r="M305" t="s">
        <v>24</v>
      </c>
      <c r="N305" t="s">
        <v>25</v>
      </c>
      <c r="O305">
        <v>5</v>
      </c>
      <c r="P305" t="s">
        <v>41</v>
      </c>
      <c r="Q305">
        <v>5</v>
      </c>
    </row>
    <row r="306" spans="1:17" x14ac:dyDescent="0.25">
      <c r="A306" t="s">
        <v>408</v>
      </c>
      <c r="B306" s="2">
        <f t="shared" ca="1" si="4"/>
        <v>46206</v>
      </c>
      <c r="C306" t="s">
        <v>674</v>
      </c>
      <c r="D306" s="1">
        <v>0</v>
      </c>
      <c r="E306" t="s">
        <v>57</v>
      </c>
      <c r="F306" t="s">
        <v>58</v>
      </c>
      <c r="G306" t="s">
        <v>54</v>
      </c>
      <c r="H306">
        <v>50</v>
      </c>
      <c r="I306">
        <v>3</v>
      </c>
      <c r="J306" t="s">
        <v>799</v>
      </c>
      <c r="K306">
        <v>696</v>
      </c>
      <c r="L306">
        <v>120</v>
      </c>
      <c r="M306" t="s">
        <v>24</v>
      </c>
      <c r="N306" t="s">
        <v>25</v>
      </c>
      <c r="O306">
        <v>2</v>
      </c>
      <c r="P306" t="s">
        <v>18</v>
      </c>
      <c r="Q306">
        <v>59</v>
      </c>
    </row>
    <row r="307" spans="1:17" x14ac:dyDescent="0.25">
      <c r="A307" t="s">
        <v>409</v>
      </c>
      <c r="B307" s="2">
        <f t="shared" ca="1" si="4"/>
        <v>46334</v>
      </c>
      <c r="C307" t="s">
        <v>750</v>
      </c>
      <c r="D307" s="1">
        <v>0</v>
      </c>
      <c r="E307" t="s">
        <v>53</v>
      </c>
      <c r="F307" t="s">
        <v>116</v>
      </c>
      <c r="G307" t="s">
        <v>50</v>
      </c>
      <c r="H307">
        <v>52</v>
      </c>
      <c r="I307">
        <v>2.7</v>
      </c>
      <c r="J307" t="s">
        <v>729</v>
      </c>
      <c r="K307">
        <v>2379</v>
      </c>
      <c r="L307">
        <v>100</v>
      </c>
      <c r="M307" t="s">
        <v>550</v>
      </c>
      <c r="N307" t="s">
        <v>48</v>
      </c>
      <c r="O307">
        <v>2</v>
      </c>
      <c r="P307" t="s">
        <v>35</v>
      </c>
      <c r="Q307">
        <v>119</v>
      </c>
    </row>
    <row r="308" spans="1:17" x14ac:dyDescent="0.25">
      <c r="A308" t="s">
        <v>410</v>
      </c>
      <c r="B308" s="2">
        <f t="shared" ca="1" si="4"/>
        <v>46163</v>
      </c>
      <c r="C308" t="s">
        <v>574</v>
      </c>
      <c r="D308" s="1">
        <v>0</v>
      </c>
      <c r="E308" t="s">
        <v>57</v>
      </c>
      <c r="F308" t="s">
        <v>16</v>
      </c>
      <c r="G308" t="s">
        <v>54</v>
      </c>
      <c r="H308">
        <v>64</v>
      </c>
      <c r="I308">
        <v>2.5</v>
      </c>
      <c r="J308" t="s">
        <v>559</v>
      </c>
      <c r="K308">
        <v>534</v>
      </c>
      <c r="L308">
        <v>0</v>
      </c>
      <c r="M308" t="s">
        <v>60</v>
      </c>
      <c r="N308" t="s">
        <v>25</v>
      </c>
      <c r="O308">
        <v>0</v>
      </c>
      <c r="P308" t="s">
        <v>553</v>
      </c>
    </row>
    <row r="309" spans="1:17" x14ac:dyDescent="0.25">
      <c r="A309" t="s">
        <v>411</v>
      </c>
      <c r="B309" s="2">
        <f t="shared" ca="1" si="4"/>
        <v>46067</v>
      </c>
      <c r="C309" t="s">
        <v>811</v>
      </c>
      <c r="D309" s="1">
        <v>0</v>
      </c>
      <c r="E309" t="s">
        <v>577</v>
      </c>
      <c r="F309" t="s">
        <v>116</v>
      </c>
      <c r="G309" t="s">
        <v>29</v>
      </c>
      <c r="H309">
        <v>50</v>
      </c>
      <c r="I309">
        <v>1.5</v>
      </c>
      <c r="J309" t="s">
        <v>555</v>
      </c>
      <c r="K309">
        <v>842</v>
      </c>
      <c r="L309">
        <v>0.15</v>
      </c>
      <c r="M309" t="s">
        <v>566</v>
      </c>
      <c r="N309" t="s">
        <v>25</v>
      </c>
      <c r="O309">
        <v>9</v>
      </c>
      <c r="P309" t="s">
        <v>18</v>
      </c>
      <c r="Q309">
        <v>88</v>
      </c>
    </row>
    <row r="310" spans="1:17" x14ac:dyDescent="0.25">
      <c r="A310" t="s">
        <v>412</v>
      </c>
      <c r="B310" s="2">
        <f t="shared" ca="1" si="4"/>
        <v>46382</v>
      </c>
      <c r="C310" t="s">
        <v>637</v>
      </c>
      <c r="D310" s="1">
        <v>0</v>
      </c>
      <c r="E310" t="s">
        <v>90</v>
      </c>
      <c r="F310" t="s">
        <v>413</v>
      </c>
      <c r="G310" t="s">
        <v>414</v>
      </c>
      <c r="H310">
        <v>56</v>
      </c>
      <c r="I310">
        <v>1.9</v>
      </c>
      <c r="J310" t="s">
        <v>652</v>
      </c>
      <c r="K310">
        <v>1583</v>
      </c>
      <c r="L310">
        <v>150</v>
      </c>
      <c r="M310" t="s">
        <v>24</v>
      </c>
      <c r="N310" t="s">
        <v>812</v>
      </c>
      <c r="O310">
        <v>3</v>
      </c>
      <c r="P310" t="s">
        <v>564</v>
      </c>
      <c r="Q310">
        <v>12</v>
      </c>
    </row>
    <row r="311" spans="1:17" x14ac:dyDescent="0.25">
      <c r="A311" t="s">
        <v>415</v>
      </c>
      <c r="B311" s="2">
        <f t="shared" ca="1" si="4"/>
        <v>46272</v>
      </c>
      <c r="C311" t="s">
        <v>813</v>
      </c>
      <c r="D311" s="1">
        <v>0</v>
      </c>
      <c r="E311" t="s">
        <v>97</v>
      </c>
      <c r="F311" t="s">
        <v>58</v>
      </c>
      <c r="G311" t="s">
        <v>17</v>
      </c>
      <c r="H311">
        <v>48</v>
      </c>
      <c r="I311">
        <v>3.8</v>
      </c>
      <c r="J311" t="s">
        <v>597</v>
      </c>
      <c r="K311">
        <v>719</v>
      </c>
      <c r="L311">
        <v>0.2</v>
      </c>
      <c r="M311" t="s">
        <v>83</v>
      </c>
      <c r="N311" t="s">
        <v>34</v>
      </c>
      <c r="O311">
        <v>6</v>
      </c>
      <c r="P311" t="s">
        <v>41</v>
      </c>
      <c r="Q311">
        <v>117</v>
      </c>
    </row>
    <row r="312" spans="1:17" x14ac:dyDescent="0.25">
      <c r="A312" t="s">
        <v>416</v>
      </c>
      <c r="B312" s="2">
        <f t="shared" ca="1" si="4"/>
        <v>46132</v>
      </c>
      <c r="C312" t="s">
        <v>814</v>
      </c>
      <c r="D312" s="1">
        <v>0</v>
      </c>
      <c r="E312" t="s">
        <v>90</v>
      </c>
      <c r="F312" t="s">
        <v>116</v>
      </c>
      <c r="G312" t="s">
        <v>81</v>
      </c>
      <c r="H312">
        <v>29</v>
      </c>
      <c r="I312">
        <v>4.2</v>
      </c>
      <c r="J312" t="s">
        <v>645</v>
      </c>
      <c r="K312">
        <v>1273</v>
      </c>
      <c r="L312">
        <v>120</v>
      </c>
      <c r="M312" t="s">
        <v>60</v>
      </c>
      <c r="N312" t="s">
        <v>25</v>
      </c>
      <c r="O312">
        <v>0</v>
      </c>
      <c r="P312" t="s">
        <v>30</v>
      </c>
      <c r="Q312">
        <v>83</v>
      </c>
    </row>
    <row r="313" spans="1:17" x14ac:dyDescent="0.25">
      <c r="A313" t="s">
        <v>417</v>
      </c>
      <c r="B313" s="2">
        <f t="shared" ca="1" si="4"/>
        <v>46312</v>
      </c>
      <c r="C313" t="s">
        <v>800</v>
      </c>
      <c r="D313" s="1">
        <v>0</v>
      </c>
      <c r="E313" t="s">
        <v>20</v>
      </c>
      <c r="F313" t="s">
        <v>21</v>
      </c>
      <c r="G313" t="s">
        <v>78</v>
      </c>
      <c r="H313">
        <v>35</v>
      </c>
      <c r="I313">
        <v>3.1</v>
      </c>
      <c r="J313" t="s">
        <v>37</v>
      </c>
      <c r="K313">
        <v>2323</v>
      </c>
      <c r="L313">
        <v>0.6</v>
      </c>
      <c r="M313" t="s">
        <v>564</v>
      </c>
      <c r="N313" t="s">
        <v>48</v>
      </c>
      <c r="O313">
        <v>4</v>
      </c>
      <c r="P313" t="s">
        <v>30</v>
      </c>
      <c r="Q313">
        <v>168</v>
      </c>
    </row>
    <row r="314" spans="1:17" x14ac:dyDescent="0.25">
      <c r="A314" t="s">
        <v>418</v>
      </c>
      <c r="B314" s="2">
        <f t="shared" ca="1" si="4"/>
        <v>46090</v>
      </c>
      <c r="C314" t="s">
        <v>720</v>
      </c>
      <c r="D314" s="1">
        <v>0</v>
      </c>
      <c r="E314" t="s">
        <v>53</v>
      </c>
      <c r="F314" t="s">
        <v>16</v>
      </c>
      <c r="G314" t="s">
        <v>81</v>
      </c>
      <c r="H314">
        <v>33</v>
      </c>
      <c r="I314">
        <v>1.7</v>
      </c>
      <c r="J314" t="s">
        <v>404</v>
      </c>
      <c r="K314">
        <v>500</v>
      </c>
      <c r="L314">
        <v>100</v>
      </c>
      <c r="M314" t="s">
        <v>83</v>
      </c>
      <c r="N314" t="s">
        <v>34</v>
      </c>
      <c r="O314">
        <v>8</v>
      </c>
      <c r="P314" t="s">
        <v>30</v>
      </c>
      <c r="Q314">
        <v>123</v>
      </c>
    </row>
    <row r="315" spans="1:17" x14ac:dyDescent="0.25">
      <c r="A315" t="s">
        <v>419</v>
      </c>
      <c r="B315" s="2">
        <f t="shared" ca="1" si="4"/>
        <v>46312</v>
      </c>
      <c r="C315" t="s">
        <v>815</v>
      </c>
      <c r="D315" s="1">
        <v>0</v>
      </c>
      <c r="E315" t="s">
        <v>31</v>
      </c>
      <c r="F315" t="s">
        <v>58</v>
      </c>
      <c r="G315" t="s">
        <v>78</v>
      </c>
      <c r="H315">
        <v>31</v>
      </c>
      <c r="I315">
        <v>2.4</v>
      </c>
      <c r="J315" t="s">
        <v>626</v>
      </c>
      <c r="K315">
        <v>2258</v>
      </c>
      <c r="L315">
        <v>0</v>
      </c>
      <c r="M315" t="s">
        <v>24</v>
      </c>
      <c r="N315" t="s">
        <v>585</v>
      </c>
      <c r="O315">
        <v>1</v>
      </c>
      <c r="P315" t="s">
        <v>35</v>
      </c>
      <c r="Q315">
        <v>60</v>
      </c>
    </row>
    <row r="316" spans="1:17" x14ac:dyDescent="0.25">
      <c r="A316" t="s">
        <v>420</v>
      </c>
      <c r="B316" s="2">
        <f t="shared" ca="1" si="4"/>
        <v>46284</v>
      </c>
      <c r="C316" t="s">
        <v>816</v>
      </c>
      <c r="D316" s="1">
        <v>0</v>
      </c>
      <c r="E316" t="s">
        <v>53</v>
      </c>
      <c r="F316" t="s">
        <v>16</v>
      </c>
      <c r="G316" t="s">
        <v>78</v>
      </c>
      <c r="H316">
        <v>34</v>
      </c>
      <c r="I316">
        <v>4.7</v>
      </c>
      <c r="J316" t="s">
        <v>626</v>
      </c>
      <c r="K316">
        <v>457</v>
      </c>
      <c r="L316">
        <v>50</v>
      </c>
      <c r="M316" t="s">
        <v>55</v>
      </c>
      <c r="N316" t="s">
        <v>25</v>
      </c>
      <c r="O316">
        <v>3</v>
      </c>
      <c r="P316" t="s">
        <v>68</v>
      </c>
      <c r="Q316">
        <v>215</v>
      </c>
    </row>
    <row r="317" spans="1:17" x14ac:dyDescent="0.25">
      <c r="A317" t="s">
        <v>556</v>
      </c>
      <c r="B317" s="2">
        <f t="shared" ca="1" si="4"/>
        <v>46143</v>
      </c>
      <c r="C317" t="s">
        <v>817</v>
      </c>
      <c r="D317" s="1">
        <v>0.75208333333333333</v>
      </c>
      <c r="E317" t="s">
        <v>90</v>
      </c>
      <c r="F317" t="s">
        <v>21</v>
      </c>
      <c r="G317" t="s">
        <v>63</v>
      </c>
      <c r="H317">
        <v>44</v>
      </c>
      <c r="I317">
        <v>4.4000000000000004</v>
      </c>
      <c r="J317" t="s">
        <v>156</v>
      </c>
      <c r="K317">
        <v>612</v>
      </c>
      <c r="L317">
        <v>0.2</v>
      </c>
      <c r="M317" t="s">
        <v>550</v>
      </c>
      <c r="N317" t="s">
        <v>564</v>
      </c>
      <c r="O317">
        <v>1</v>
      </c>
      <c r="P317" t="s">
        <v>30</v>
      </c>
      <c r="Q317">
        <v>31</v>
      </c>
    </row>
    <row r="318" spans="1:17" x14ac:dyDescent="0.25">
      <c r="A318" t="s">
        <v>421</v>
      </c>
      <c r="B318" s="2">
        <f t="shared" ca="1" si="4"/>
        <v>46243</v>
      </c>
      <c r="C318" t="s">
        <v>636</v>
      </c>
      <c r="D318" s="1">
        <v>0</v>
      </c>
      <c r="E318" t="s">
        <v>564</v>
      </c>
      <c r="F318" t="s">
        <v>47</v>
      </c>
      <c r="G318" t="s">
        <v>54</v>
      </c>
      <c r="H318">
        <v>33</v>
      </c>
      <c r="I318">
        <v>4.5999999999999996</v>
      </c>
      <c r="J318" t="s">
        <v>626</v>
      </c>
      <c r="K318">
        <v>1010</v>
      </c>
      <c r="L318">
        <v>150</v>
      </c>
      <c r="M318" t="s">
        <v>566</v>
      </c>
      <c r="N318" t="s">
        <v>25</v>
      </c>
      <c r="O318">
        <v>8</v>
      </c>
      <c r="P318" t="s">
        <v>18</v>
      </c>
      <c r="Q318">
        <v>224</v>
      </c>
    </row>
    <row r="319" spans="1:17" x14ac:dyDescent="0.25">
      <c r="A319" t="s">
        <v>422</v>
      </c>
      <c r="B319" s="2">
        <f t="shared" ca="1" si="4"/>
        <v>46201</v>
      </c>
      <c r="C319" t="s">
        <v>771</v>
      </c>
      <c r="D319" s="1">
        <v>0</v>
      </c>
      <c r="E319" t="s">
        <v>36</v>
      </c>
      <c r="F319" t="s">
        <v>32</v>
      </c>
      <c r="G319" t="s">
        <v>81</v>
      </c>
      <c r="H319">
        <v>49</v>
      </c>
      <c r="I319">
        <v>3.1</v>
      </c>
      <c r="J319" t="s">
        <v>751</v>
      </c>
      <c r="K319">
        <v>280</v>
      </c>
      <c r="L319">
        <v>100</v>
      </c>
      <c r="M319" t="s">
        <v>60</v>
      </c>
      <c r="N319" t="s">
        <v>48</v>
      </c>
      <c r="O319">
        <v>10</v>
      </c>
      <c r="P319" t="s">
        <v>35</v>
      </c>
    </row>
    <row r="320" spans="1:17" x14ac:dyDescent="0.25">
      <c r="A320" t="s">
        <v>423</v>
      </c>
      <c r="B320" s="2">
        <f t="shared" ca="1" si="4"/>
        <v>46024</v>
      </c>
      <c r="C320" t="s">
        <v>818</v>
      </c>
      <c r="D320" s="1">
        <v>0.59375</v>
      </c>
      <c r="E320" t="s">
        <v>109</v>
      </c>
      <c r="F320" t="s">
        <v>75</v>
      </c>
      <c r="G320" t="s">
        <v>54</v>
      </c>
      <c r="H320">
        <v>61</v>
      </c>
      <c r="I320">
        <v>1.3</v>
      </c>
      <c r="J320" t="s">
        <v>661</v>
      </c>
      <c r="K320">
        <v>1588</v>
      </c>
      <c r="L320">
        <v>75</v>
      </c>
      <c r="M320" t="s">
        <v>83</v>
      </c>
      <c r="N320" t="s">
        <v>48</v>
      </c>
      <c r="O320">
        <v>10</v>
      </c>
      <c r="P320" t="s">
        <v>41</v>
      </c>
      <c r="Q320">
        <v>177</v>
      </c>
    </row>
    <row r="321" spans="1:17" x14ac:dyDescent="0.25">
      <c r="A321" t="s">
        <v>424</v>
      </c>
      <c r="B321" s="2">
        <f t="shared" ca="1" si="4"/>
        <v>46219</v>
      </c>
      <c r="C321" t="s">
        <v>708</v>
      </c>
      <c r="D321" s="1">
        <v>0</v>
      </c>
      <c r="E321" t="s">
        <v>20</v>
      </c>
      <c r="F321" t="s">
        <v>43</v>
      </c>
      <c r="G321" t="s">
        <v>17</v>
      </c>
      <c r="H321">
        <v>27</v>
      </c>
      <c r="I321">
        <v>3.8</v>
      </c>
      <c r="J321" t="s">
        <v>727</v>
      </c>
      <c r="K321">
        <v>1887</v>
      </c>
      <c r="L321">
        <v>0.1</v>
      </c>
      <c r="M321" t="s">
        <v>55</v>
      </c>
      <c r="N321" t="s">
        <v>25</v>
      </c>
      <c r="O321">
        <v>7</v>
      </c>
      <c r="P321" t="s">
        <v>35</v>
      </c>
      <c r="Q321">
        <v>70</v>
      </c>
    </row>
    <row r="322" spans="1:17" x14ac:dyDescent="0.25">
      <c r="A322" t="s">
        <v>425</v>
      </c>
      <c r="B322" s="2">
        <f t="shared" ref="B322:B385" ca="1" si="5">RANDBETWEEN(DATE(2026,1,1),DATE(2026,12,31))</f>
        <v>46365</v>
      </c>
      <c r="C322" t="s">
        <v>714</v>
      </c>
      <c r="D322" s="1">
        <v>0</v>
      </c>
      <c r="E322" t="s">
        <v>57</v>
      </c>
      <c r="F322" t="s">
        <v>32</v>
      </c>
      <c r="G322" t="s">
        <v>426</v>
      </c>
      <c r="H322">
        <v>45</v>
      </c>
      <c r="I322">
        <v>1.4</v>
      </c>
      <c r="J322" t="s">
        <v>619</v>
      </c>
      <c r="K322">
        <v>500</v>
      </c>
      <c r="L322">
        <v>0.15</v>
      </c>
      <c r="M322" t="s">
        <v>60</v>
      </c>
      <c r="N322" t="s">
        <v>48</v>
      </c>
      <c r="O322">
        <v>5</v>
      </c>
      <c r="P322" t="s">
        <v>68</v>
      </c>
    </row>
    <row r="323" spans="1:17" x14ac:dyDescent="0.25">
      <c r="A323" t="s">
        <v>556</v>
      </c>
      <c r="B323" s="2">
        <f t="shared" ca="1" si="5"/>
        <v>46273</v>
      </c>
      <c r="C323" t="s">
        <v>819</v>
      </c>
      <c r="D323" s="1">
        <v>0</v>
      </c>
      <c r="E323" t="s">
        <v>66</v>
      </c>
      <c r="F323" t="s">
        <v>116</v>
      </c>
      <c r="G323" t="s">
        <v>63</v>
      </c>
      <c r="H323">
        <v>49</v>
      </c>
      <c r="I323">
        <v>3.8</v>
      </c>
      <c r="J323" t="s">
        <v>320</v>
      </c>
      <c r="K323">
        <v>2148</v>
      </c>
      <c r="L323">
        <v>100</v>
      </c>
      <c r="M323" t="s">
        <v>60</v>
      </c>
      <c r="N323" t="s">
        <v>25</v>
      </c>
      <c r="O323">
        <v>5</v>
      </c>
      <c r="P323" t="s">
        <v>553</v>
      </c>
      <c r="Q323">
        <v>31</v>
      </c>
    </row>
    <row r="324" spans="1:17" x14ac:dyDescent="0.25">
      <c r="A324" t="s">
        <v>427</v>
      </c>
      <c r="B324" s="2">
        <f t="shared" ca="1" si="5"/>
        <v>46047</v>
      </c>
      <c r="C324" t="s">
        <v>659</v>
      </c>
      <c r="D324" s="1">
        <v>0</v>
      </c>
      <c r="E324" t="s">
        <v>66</v>
      </c>
      <c r="F324" t="s">
        <v>32</v>
      </c>
      <c r="G324" t="s">
        <v>78</v>
      </c>
      <c r="H324">
        <v>37</v>
      </c>
      <c r="I324">
        <v>1.8</v>
      </c>
      <c r="J324" t="s">
        <v>650</v>
      </c>
      <c r="K324">
        <v>987</v>
      </c>
      <c r="L324">
        <v>0.1</v>
      </c>
      <c r="M324" t="s">
        <v>550</v>
      </c>
      <c r="N324" t="s">
        <v>25</v>
      </c>
      <c r="O324">
        <v>6</v>
      </c>
      <c r="P324" t="s">
        <v>35</v>
      </c>
      <c r="Q324">
        <v>239</v>
      </c>
    </row>
    <row r="325" spans="1:17" x14ac:dyDescent="0.25">
      <c r="A325" t="s">
        <v>428</v>
      </c>
      <c r="B325" s="2">
        <f t="shared" ca="1" si="5"/>
        <v>46347</v>
      </c>
      <c r="C325" t="s">
        <v>706</v>
      </c>
      <c r="D325" s="1">
        <v>0</v>
      </c>
      <c r="E325" t="s">
        <v>564</v>
      </c>
      <c r="F325" t="s">
        <v>564</v>
      </c>
      <c r="G325" t="s">
        <v>63</v>
      </c>
      <c r="H325">
        <v>47</v>
      </c>
      <c r="I325">
        <v>3.4</v>
      </c>
      <c r="J325" t="s">
        <v>333</v>
      </c>
      <c r="K325">
        <v>2107</v>
      </c>
      <c r="L325">
        <v>0.1</v>
      </c>
      <c r="M325" t="s">
        <v>55</v>
      </c>
      <c r="N325" t="s">
        <v>551</v>
      </c>
      <c r="O325">
        <v>1</v>
      </c>
      <c r="P325" t="s">
        <v>564</v>
      </c>
      <c r="Q325">
        <v>55</v>
      </c>
    </row>
    <row r="326" spans="1:17" x14ac:dyDescent="0.25">
      <c r="A326" t="s">
        <v>429</v>
      </c>
      <c r="B326" s="2">
        <f t="shared" ca="1" si="5"/>
        <v>46094</v>
      </c>
      <c r="C326" t="s">
        <v>807</v>
      </c>
      <c r="D326" s="1">
        <v>0</v>
      </c>
      <c r="E326" t="s">
        <v>109</v>
      </c>
      <c r="F326" t="s">
        <v>47</v>
      </c>
      <c r="G326" t="s">
        <v>81</v>
      </c>
      <c r="H326">
        <v>52</v>
      </c>
      <c r="I326">
        <v>1.5</v>
      </c>
      <c r="J326" t="s">
        <v>692</v>
      </c>
      <c r="K326">
        <v>1989</v>
      </c>
      <c r="L326">
        <v>0</v>
      </c>
      <c r="M326" t="s">
        <v>55</v>
      </c>
      <c r="N326" t="s">
        <v>25</v>
      </c>
      <c r="O326">
        <v>2</v>
      </c>
      <c r="P326" t="s">
        <v>18</v>
      </c>
      <c r="Q326">
        <v>92</v>
      </c>
    </row>
    <row r="327" spans="1:17" x14ac:dyDescent="0.25">
      <c r="A327" t="s">
        <v>430</v>
      </c>
      <c r="B327" s="2">
        <f t="shared" ca="1" si="5"/>
        <v>46029</v>
      </c>
      <c r="C327" t="s">
        <v>820</v>
      </c>
      <c r="D327" s="1">
        <v>0.78402777777777777</v>
      </c>
      <c r="E327" t="s">
        <v>577</v>
      </c>
      <c r="F327" t="s">
        <v>47</v>
      </c>
      <c r="G327" t="s">
        <v>78</v>
      </c>
      <c r="H327">
        <v>34</v>
      </c>
      <c r="I327">
        <v>5</v>
      </c>
      <c r="J327" t="s">
        <v>727</v>
      </c>
      <c r="K327">
        <v>2456</v>
      </c>
      <c r="L327">
        <v>0.5</v>
      </c>
      <c r="M327" t="s">
        <v>60</v>
      </c>
      <c r="N327" t="s">
        <v>48</v>
      </c>
      <c r="O327">
        <v>9</v>
      </c>
      <c r="P327" t="s">
        <v>41</v>
      </c>
      <c r="Q327">
        <v>43</v>
      </c>
    </row>
    <row r="328" spans="1:17" x14ac:dyDescent="0.25">
      <c r="A328" t="s">
        <v>431</v>
      </c>
      <c r="B328" s="2">
        <f t="shared" ca="1" si="5"/>
        <v>46370</v>
      </c>
      <c r="C328" t="s">
        <v>766</v>
      </c>
      <c r="D328" s="1">
        <v>0</v>
      </c>
      <c r="E328" t="s">
        <v>97</v>
      </c>
      <c r="F328" t="s">
        <v>70</v>
      </c>
      <c r="G328" t="s">
        <v>17</v>
      </c>
      <c r="H328">
        <v>60</v>
      </c>
      <c r="I328">
        <v>4.5999999999999996</v>
      </c>
      <c r="J328" t="s">
        <v>613</v>
      </c>
      <c r="K328">
        <v>862</v>
      </c>
      <c r="L328">
        <v>0</v>
      </c>
      <c r="M328" t="s">
        <v>60</v>
      </c>
      <c r="N328" t="s">
        <v>564</v>
      </c>
      <c r="O328">
        <v>1</v>
      </c>
      <c r="P328" t="s">
        <v>35</v>
      </c>
      <c r="Q328">
        <v>45</v>
      </c>
    </row>
    <row r="329" spans="1:17" x14ac:dyDescent="0.25">
      <c r="A329" t="s">
        <v>432</v>
      </c>
      <c r="B329" s="2">
        <f t="shared" ca="1" si="5"/>
        <v>46298</v>
      </c>
      <c r="C329" t="s">
        <v>554</v>
      </c>
      <c r="D329" s="1">
        <v>0</v>
      </c>
      <c r="E329" t="s">
        <v>109</v>
      </c>
      <c r="F329" t="s">
        <v>16</v>
      </c>
      <c r="G329" t="s">
        <v>17</v>
      </c>
      <c r="H329">
        <v>54</v>
      </c>
      <c r="I329">
        <v>4.0999999999999996</v>
      </c>
      <c r="J329" t="s">
        <v>229</v>
      </c>
      <c r="K329">
        <v>686</v>
      </c>
      <c r="L329">
        <v>100</v>
      </c>
      <c r="M329" t="s">
        <v>55</v>
      </c>
      <c r="N329" t="s">
        <v>25</v>
      </c>
      <c r="O329">
        <v>10</v>
      </c>
      <c r="P329" t="s">
        <v>18</v>
      </c>
    </row>
    <row r="330" spans="1:17" x14ac:dyDescent="0.25">
      <c r="A330" t="s">
        <v>433</v>
      </c>
      <c r="B330" s="2">
        <f t="shared" ca="1" si="5"/>
        <v>46300</v>
      </c>
      <c r="C330" t="s">
        <v>821</v>
      </c>
      <c r="D330" s="1">
        <v>0.35972222222222222</v>
      </c>
      <c r="E330" t="s">
        <v>97</v>
      </c>
      <c r="F330" t="s">
        <v>39</v>
      </c>
      <c r="G330" t="s">
        <v>33</v>
      </c>
      <c r="H330">
        <v>25</v>
      </c>
      <c r="I330">
        <v>3.6</v>
      </c>
      <c r="J330" t="s">
        <v>555</v>
      </c>
      <c r="K330">
        <v>1104</v>
      </c>
      <c r="L330">
        <v>50</v>
      </c>
      <c r="M330" t="s">
        <v>24</v>
      </c>
      <c r="N330" t="s">
        <v>25</v>
      </c>
      <c r="O330">
        <v>4</v>
      </c>
      <c r="P330" t="s">
        <v>553</v>
      </c>
      <c r="Q330">
        <v>18</v>
      </c>
    </row>
    <row r="331" spans="1:17" x14ac:dyDescent="0.25">
      <c r="A331" t="s">
        <v>434</v>
      </c>
      <c r="B331" s="2">
        <f t="shared" ca="1" si="5"/>
        <v>46344</v>
      </c>
      <c r="C331" t="s">
        <v>714</v>
      </c>
      <c r="D331" s="1">
        <v>0</v>
      </c>
      <c r="E331" t="s">
        <v>564</v>
      </c>
      <c r="F331" t="s">
        <v>21</v>
      </c>
      <c r="G331" t="s">
        <v>54</v>
      </c>
      <c r="H331">
        <v>36</v>
      </c>
      <c r="I331">
        <v>2.7</v>
      </c>
      <c r="J331" t="s">
        <v>320</v>
      </c>
      <c r="K331">
        <v>1990</v>
      </c>
      <c r="L331">
        <v>75</v>
      </c>
      <c r="M331" t="s">
        <v>60</v>
      </c>
      <c r="N331" t="s">
        <v>48</v>
      </c>
      <c r="O331">
        <v>8</v>
      </c>
      <c r="P331" t="s">
        <v>30</v>
      </c>
      <c r="Q331">
        <v>178</v>
      </c>
    </row>
    <row r="332" spans="1:17" x14ac:dyDescent="0.25">
      <c r="A332" t="s">
        <v>435</v>
      </c>
      <c r="B332" s="2">
        <f t="shared" ca="1" si="5"/>
        <v>46127</v>
      </c>
      <c r="C332" t="s">
        <v>820</v>
      </c>
      <c r="D332" s="1">
        <v>0.72430555555555554</v>
      </c>
      <c r="E332" t="s">
        <v>109</v>
      </c>
      <c r="F332" t="s">
        <v>43</v>
      </c>
      <c r="G332" t="s">
        <v>564</v>
      </c>
      <c r="H332">
        <v>24</v>
      </c>
      <c r="I332">
        <v>2.1</v>
      </c>
      <c r="J332" t="s">
        <v>658</v>
      </c>
      <c r="K332">
        <v>1614</v>
      </c>
      <c r="L332">
        <v>0</v>
      </c>
      <c r="M332" t="s">
        <v>550</v>
      </c>
      <c r="N332" t="s">
        <v>25</v>
      </c>
      <c r="O332">
        <v>5</v>
      </c>
      <c r="P332" t="s">
        <v>553</v>
      </c>
      <c r="Q332">
        <v>186</v>
      </c>
    </row>
    <row r="333" spans="1:17" x14ac:dyDescent="0.25">
      <c r="A333" t="s">
        <v>436</v>
      </c>
      <c r="B333" s="2">
        <f t="shared" ca="1" si="5"/>
        <v>46026</v>
      </c>
      <c r="C333" t="s">
        <v>610</v>
      </c>
      <c r="D333" s="1">
        <v>0</v>
      </c>
      <c r="E333" t="s">
        <v>548</v>
      </c>
      <c r="F333" t="s">
        <v>32</v>
      </c>
      <c r="G333" t="s">
        <v>54</v>
      </c>
      <c r="H333">
        <v>54</v>
      </c>
      <c r="I333">
        <v>1.9</v>
      </c>
      <c r="J333" t="s">
        <v>694</v>
      </c>
      <c r="K333">
        <v>1232</v>
      </c>
      <c r="L333">
        <v>0</v>
      </c>
      <c r="M333" t="s">
        <v>24</v>
      </c>
      <c r="N333" t="s">
        <v>34</v>
      </c>
      <c r="O333">
        <v>5</v>
      </c>
      <c r="P333" t="s">
        <v>18</v>
      </c>
      <c r="Q333">
        <v>247</v>
      </c>
    </row>
    <row r="334" spans="1:17" x14ac:dyDescent="0.25">
      <c r="A334" t="s">
        <v>437</v>
      </c>
      <c r="B334" s="2">
        <f t="shared" ca="1" si="5"/>
        <v>46155</v>
      </c>
      <c r="C334" t="s">
        <v>822</v>
      </c>
      <c r="D334" s="1">
        <v>0</v>
      </c>
      <c r="E334" t="s">
        <v>97</v>
      </c>
      <c r="F334" t="s">
        <v>47</v>
      </c>
      <c r="G334" t="s">
        <v>33</v>
      </c>
      <c r="H334">
        <v>39</v>
      </c>
      <c r="I334">
        <v>3</v>
      </c>
      <c r="J334" t="s">
        <v>131</v>
      </c>
      <c r="K334">
        <v>781</v>
      </c>
      <c r="L334">
        <v>0.2</v>
      </c>
      <c r="M334" t="s">
        <v>566</v>
      </c>
      <c r="N334" t="s">
        <v>564</v>
      </c>
      <c r="O334">
        <v>3</v>
      </c>
      <c r="P334" t="s">
        <v>30</v>
      </c>
      <c r="Q334">
        <v>21</v>
      </c>
    </row>
    <row r="335" spans="1:17" x14ac:dyDescent="0.25">
      <c r="A335" t="s">
        <v>438</v>
      </c>
      <c r="B335" s="2">
        <f t="shared" ca="1" si="5"/>
        <v>46174</v>
      </c>
      <c r="C335" t="s">
        <v>823</v>
      </c>
      <c r="D335" s="1">
        <v>0</v>
      </c>
      <c r="E335" t="s">
        <v>97</v>
      </c>
      <c r="F335" t="s">
        <v>43</v>
      </c>
      <c r="G335" t="s">
        <v>355</v>
      </c>
      <c r="H335">
        <v>18</v>
      </c>
      <c r="I335">
        <v>4.4000000000000004</v>
      </c>
      <c r="J335" t="s">
        <v>581</v>
      </c>
      <c r="K335">
        <v>1939</v>
      </c>
      <c r="L335">
        <v>0.1</v>
      </c>
      <c r="M335" t="s">
        <v>566</v>
      </c>
      <c r="N335" t="s">
        <v>25</v>
      </c>
      <c r="O335">
        <v>10</v>
      </c>
      <c r="P335" t="s">
        <v>41</v>
      </c>
      <c r="Q335">
        <v>28</v>
      </c>
    </row>
    <row r="336" spans="1:17" x14ac:dyDescent="0.25">
      <c r="A336" t="s">
        <v>439</v>
      </c>
      <c r="B336" s="2">
        <f t="shared" ca="1" si="5"/>
        <v>46234</v>
      </c>
      <c r="C336" t="s">
        <v>811</v>
      </c>
      <c r="D336" s="1">
        <v>0</v>
      </c>
      <c r="E336" t="s">
        <v>66</v>
      </c>
      <c r="F336" t="s">
        <v>16</v>
      </c>
      <c r="G336" t="s">
        <v>54</v>
      </c>
      <c r="H336">
        <v>21</v>
      </c>
      <c r="I336">
        <v>3.8</v>
      </c>
      <c r="J336" t="s">
        <v>669</v>
      </c>
      <c r="K336">
        <v>1453</v>
      </c>
      <c r="L336">
        <v>150</v>
      </c>
      <c r="M336" t="s">
        <v>24</v>
      </c>
      <c r="N336" t="s">
        <v>34</v>
      </c>
      <c r="O336">
        <v>10</v>
      </c>
      <c r="P336" t="s">
        <v>41</v>
      </c>
      <c r="Q336">
        <v>102</v>
      </c>
    </row>
    <row r="337" spans="1:17" x14ac:dyDescent="0.25">
      <c r="A337" t="s">
        <v>440</v>
      </c>
      <c r="B337" s="2">
        <f t="shared" ca="1" si="5"/>
        <v>46228</v>
      </c>
      <c r="C337" t="s">
        <v>688</v>
      </c>
      <c r="D337" s="1">
        <v>0</v>
      </c>
      <c r="E337" t="s">
        <v>564</v>
      </c>
      <c r="F337" t="s">
        <v>21</v>
      </c>
      <c r="G337" t="s">
        <v>441</v>
      </c>
      <c r="H337">
        <v>22</v>
      </c>
      <c r="I337">
        <v>3.5</v>
      </c>
      <c r="J337" t="s">
        <v>82</v>
      </c>
      <c r="K337">
        <v>886</v>
      </c>
      <c r="L337">
        <v>0.2</v>
      </c>
      <c r="M337" t="s">
        <v>564</v>
      </c>
      <c r="N337" t="s">
        <v>25</v>
      </c>
      <c r="O337">
        <v>1</v>
      </c>
      <c r="P337" t="s">
        <v>18</v>
      </c>
      <c r="Q337">
        <v>187</v>
      </c>
    </row>
    <row r="338" spans="1:17" x14ac:dyDescent="0.25">
      <c r="A338" t="s">
        <v>442</v>
      </c>
      <c r="B338" s="2">
        <f t="shared" ca="1" si="5"/>
        <v>46133</v>
      </c>
      <c r="C338" t="s">
        <v>547</v>
      </c>
      <c r="D338" s="1">
        <v>0</v>
      </c>
      <c r="E338" t="s">
        <v>577</v>
      </c>
      <c r="F338" t="s">
        <v>58</v>
      </c>
      <c r="G338" t="s">
        <v>81</v>
      </c>
      <c r="H338">
        <v>18</v>
      </c>
      <c r="I338">
        <v>1.7</v>
      </c>
      <c r="J338" t="s">
        <v>613</v>
      </c>
      <c r="K338">
        <v>500</v>
      </c>
      <c r="L338">
        <v>100</v>
      </c>
      <c r="M338" t="s">
        <v>55</v>
      </c>
      <c r="N338" t="s">
        <v>25</v>
      </c>
      <c r="O338">
        <v>0</v>
      </c>
      <c r="P338" t="s">
        <v>41</v>
      </c>
      <c r="Q338">
        <v>203</v>
      </c>
    </row>
    <row r="339" spans="1:17" x14ac:dyDescent="0.25">
      <c r="A339" t="s">
        <v>443</v>
      </c>
      <c r="B339" s="2">
        <f t="shared" ca="1" si="5"/>
        <v>46201</v>
      </c>
      <c r="C339" t="s">
        <v>655</v>
      </c>
      <c r="D339" s="1">
        <v>0</v>
      </c>
      <c r="E339" t="s">
        <v>20</v>
      </c>
      <c r="F339" t="s">
        <v>16</v>
      </c>
      <c r="G339" t="s">
        <v>29</v>
      </c>
      <c r="H339">
        <v>30</v>
      </c>
      <c r="I339">
        <v>4.0999999999999996</v>
      </c>
      <c r="J339" t="s">
        <v>597</v>
      </c>
      <c r="K339">
        <v>1071</v>
      </c>
      <c r="L339">
        <v>50</v>
      </c>
      <c r="M339" t="s">
        <v>24</v>
      </c>
      <c r="N339" t="s">
        <v>25</v>
      </c>
      <c r="O339">
        <v>7</v>
      </c>
      <c r="P339" t="s">
        <v>68</v>
      </c>
      <c r="Q339">
        <v>59</v>
      </c>
    </row>
    <row r="340" spans="1:17" x14ac:dyDescent="0.25">
      <c r="A340" t="s">
        <v>444</v>
      </c>
      <c r="B340" s="2">
        <f t="shared" ca="1" si="5"/>
        <v>46229</v>
      </c>
      <c r="C340" t="s">
        <v>795</v>
      </c>
      <c r="D340" s="1">
        <v>0</v>
      </c>
      <c r="E340" t="s">
        <v>20</v>
      </c>
      <c r="F340" t="s">
        <v>58</v>
      </c>
      <c r="G340" t="s">
        <v>50</v>
      </c>
      <c r="H340">
        <v>29</v>
      </c>
      <c r="I340">
        <v>1.9</v>
      </c>
      <c r="J340" t="s">
        <v>661</v>
      </c>
      <c r="K340">
        <v>1413</v>
      </c>
      <c r="L340">
        <v>0.1</v>
      </c>
      <c r="M340" t="s">
        <v>24</v>
      </c>
      <c r="N340" t="s">
        <v>48</v>
      </c>
      <c r="O340">
        <v>9</v>
      </c>
      <c r="P340" t="s">
        <v>41</v>
      </c>
      <c r="Q340">
        <v>5</v>
      </c>
    </row>
    <row r="341" spans="1:17" x14ac:dyDescent="0.25">
      <c r="A341" t="s">
        <v>445</v>
      </c>
      <c r="B341" s="2">
        <f t="shared" ca="1" si="5"/>
        <v>46080</v>
      </c>
      <c r="C341" t="s">
        <v>824</v>
      </c>
      <c r="D341" s="1">
        <v>0</v>
      </c>
      <c r="E341" t="s">
        <v>20</v>
      </c>
      <c r="F341" t="s">
        <v>16</v>
      </c>
      <c r="G341" t="s">
        <v>33</v>
      </c>
      <c r="H341">
        <v>40</v>
      </c>
      <c r="I341">
        <v>3.1</v>
      </c>
      <c r="J341" t="s">
        <v>677</v>
      </c>
      <c r="K341">
        <v>1059</v>
      </c>
      <c r="L341">
        <v>0.1</v>
      </c>
      <c r="M341" t="s">
        <v>550</v>
      </c>
      <c r="N341" t="s">
        <v>25</v>
      </c>
      <c r="O341">
        <v>10</v>
      </c>
      <c r="P341" t="s">
        <v>18</v>
      </c>
      <c r="Q341">
        <v>8</v>
      </c>
    </row>
    <row r="342" spans="1:17" x14ac:dyDescent="0.25">
      <c r="A342" t="s">
        <v>446</v>
      </c>
      <c r="B342" s="2">
        <f t="shared" ca="1" si="5"/>
        <v>46036</v>
      </c>
      <c r="C342" t="s">
        <v>786</v>
      </c>
      <c r="D342" s="1">
        <v>4.9305555555555554E-2</v>
      </c>
      <c r="E342" t="s">
        <v>548</v>
      </c>
      <c r="F342" t="s">
        <v>32</v>
      </c>
      <c r="G342" t="s">
        <v>44</v>
      </c>
      <c r="H342">
        <v>18</v>
      </c>
      <c r="I342">
        <v>1.8</v>
      </c>
      <c r="J342" t="s">
        <v>320</v>
      </c>
      <c r="K342">
        <v>2049</v>
      </c>
      <c r="L342">
        <v>0.5</v>
      </c>
      <c r="M342" t="s">
        <v>550</v>
      </c>
      <c r="N342" t="s">
        <v>25</v>
      </c>
      <c r="O342">
        <v>8</v>
      </c>
      <c r="P342" t="s">
        <v>68</v>
      </c>
      <c r="Q342">
        <v>117</v>
      </c>
    </row>
    <row r="343" spans="1:17" x14ac:dyDescent="0.25">
      <c r="A343" t="s">
        <v>447</v>
      </c>
      <c r="B343" s="2">
        <f t="shared" ca="1" si="5"/>
        <v>46297</v>
      </c>
      <c r="C343" t="s">
        <v>605</v>
      </c>
      <c r="D343" s="1">
        <v>0</v>
      </c>
      <c r="E343" t="s">
        <v>577</v>
      </c>
      <c r="F343" t="s">
        <v>116</v>
      </c>
      <c r="G343" t="s">
        <v>63</v>
      </c>
      <c r="H343">
        <v>48</v>
      </c>
      <c r="I343">
        <v>1.1000000000000001</v>
      </c>
      <c r="J343" t="s">
        <v>224</v>
      </c>
      <c r="K343">
        <v>583</v>
      </c>
      <c r="L343">
        <v>0.15</v>
      </c>
      <c r="M343" t="s">
        <v>83</v>
      </c>
      <c r="N343" t="s">
        <v>48</v>
      </c>
      <c r="O343">
        <v>1</v>
      </c>
      <c r="P343" t="s">
        <v>553</v>
      </c>
      <c r="Q343">
        <v>37</v>
      </c>
    </row>
    <row r="344" spans="1:17" x14ac:dyDescent="0.25">
      <c r="A344" t="s">
        <v>448</v>
      </c>
      <c r="B344" s="2">
        <f t="shared" ca="1" si="5"/>
        <v>46146</v>
      </c>
      <c r="D344" s="1">
        <v>0</v>
      </c>
      <c r="E344" t="s">
        <v>577</v>
      </c>
      <c r="F344" t="s">
        <v>16</v>
      </c>
      <c r="G344" t="s">
        <v>449</v>
      </c>
      <c r="H344">
        <v>21</v>
      </c>
      <c r="I344">
        <v>1.8</v>
      </c>
      <c r="J344" t="s">
        <v>617</v>
      </c>
      <c r="K344">
        <v>2067</v>
      </c>
      <c r="L344">
        <v>0.5</v>
      </c>
      <c r="M344" t="s">
        <v>550</v>
      </c>
      <c r="N344" t="s">
        <v>34</v>
      </c>
      <c r="O344">
        <v>1</v>
      </c>
      <c r="P344" t="s">
        <v>35</v>
      </c>
      <c r="Q344">
        <v>109</v>
      </c>
    </row>
    <row r="345" spans="1:17" x14ac:dyDescent="0.25">
      <c r="A345" t="s">
        <v>450</v>
      </c>
      <c r="B345" s="2">
        <f t="shared" ca="1" si="5"/>
        <v>46341</v>
      </c>
      <c r="C345" t="s">
        <v>592</v>
      </c>
      <c r="D345" s="1">
        <v>0</v>
      </c>
      <c r="E345" t="s">
        <v>97</v>
      </c>
      <c r="F345" t="s">
        <v>16</v>
      </c>
      <c r="G345" t="s">
        <v>17</v>
      </c>
      <c r="H345">
        <v>60</v>
      </c>
      <c r="I345">
        <v>3.9</v>
      </c>
      <c r="J345" t="s">
        <v>727</v>
      </c>
      <c r="K345">
        <v>230</v>
      </c>
      <c r="L345">
        <v>0.1</v>
      </c>
      <c r="M345" t="s">
        <v>550</v>
      </c>
      <c r="N345" t="s">
        <v>585</v>
      </c>
      <c r="O345">
        <v>10</v>
      </c>
      <c r="P345" t="s">
        <v>553</v>
      </c>
      <c r="Q345">
        <v>109</v>
      </c>
    </row>
    <row r="346" spans="1:17" x14ac:dyDescent="0.25">
      <c r="A346" t="s">
        <v>451</v>
      </c>
      <c r="B346" s="2">
        <f t="shared" ca="1" si="5"/>
        <v>46271</v>
      </c>
      <c r="C346" t="s">
        <v>791</v>
      </c>
      <c r="D346" s="1">
        <v>0</v>
      </c>
      <c r="E346" t="s">
        <v>57</v>
      </c>
      <c r="F346" t="s">
        <v>116</v>
      </c>
      <c r="G346" t="s">
        <v>81</v>
      </c>
      <c r="H346">
        <v>61</v>
      </c>
      <c r="I346">
        <v>4.9000000000000004</v>
      </c>
      <c r="J346" t="s">
        <v>626</v>
      </c>
      <c r="K346">
        <v>466</v>
      </c>
      <c r="L346">
        <v>150</v>
      </c>
      <c r="M346" t="s">
        <v>83</v>
      </c>
      <c r="N346" t="s">
        <v>25</v>
      </c>
      <c r="O346">
        <v>4</v>
      </c>
      <c r="P346" t="s">
        <v>30</v>
      </c>
      <c r="Q346">
        <v>197</v>
      </c>
    </row>
    <row r="347" spans="1:17" x14ac:dyDescent="0.25">
      <c r="A347" t="s">
        <v>452</v>
      </c>
      <c r="B347" s="2">
        <f t="shared" ca="1" si="5"/>
        <v>46122</v>
      </c>
      <c r="C347" t="s">
        <v>671</v>
      </c>
      <c r="D347" s="1">
        <v>0</v>
      </c>
      <c r="E347" t="s">
        <v>31</v>
      </c>
      <c r="F347" t="s">
        <v>16</v>
      </c>
      <c r="G347" t="s">
        <v>78</v>
      </c>
      <c r="H347">
        <v>29</v>
      </c>
      <c r="I347">
        <v>2.2000000000000002</v>
      </c>
      <c r="J347" t="s">
        <v>672</v>
      </c>
      <c r="K347">
        <v>1358</v>
      </c>
      <c r="L347">
        <v>120</v>
      </c>
      <c r="M347" t="s">
        <v>60</v>
      </c>
      <c r="N347" t="s">
        <v>25</v>
      </c>
      <c r="O347">
        <v>1</v>
      </c>
      <c r="P347" t="s">
        <v>68</v>
      </c>
      <c r="Q347">
        <v>41</v>
      </c>
    </row>
    <row r="348" spans="1:17" x14ac:dyDescent="0.25">
      <c r="A348" t="s">
        <v>453</v>
      </c>
      <c r="B348" s="2">
        <f t="shared" ca="1" si="5"/>
        <v>46253</v>
      </c>
      <c r="C348" t="s">
        <v>813</v>
      </c>
      <c r="D348" s="1">
        <v>0</v>
      </c>
      <c r="E348" t="s">
        <v>109</v>
      </c>
      <c r="F348" t="s">
        <v>43</v>
      </c>
      <c r="G348" t="s">
        <v>268</v>
      </c>
      <c r="H348">
        <v>18</v>
      </c>
      <c r="I348">
        <v>2.7</v>
      </c>
      <c r="J348" t="s">
        <v>588</v>
      </c>
      <c r="K348">
        <v>1944</v>
      </c>
      <c r="L348">
        <v>0.2</v>
      </c>
      <c r="M348" t="s">
        <v>550</v>
      </c>
      <c r="N348" t="s">
        <v>25</v>
      </c>
      <c r="O348">
        <v>9</v>
      </c>
      <c r="P348" t="s">
        <v>68</v>
      </c>
      <c r="Q348">
        <v>70</v>
      </c>
    </row>
    <row r="349" spans="1:17" x14ac:dyDescent="0.25">
      <c r="A349" t="s">
        <v>454</v>
      </c>
      <c r="B349" s="2">
        <f t="shared" ca="1" si="5"/>
        <v>46135</v>
      </c>
      <c r="C349" t="s">
        <v>708</v>
      </c>
      <c r="D349" s="1">
        <v>0</v>
      </c>
      <c r="E349" t="s">
        <v>66</v>
      </c>
      <c r="F349" t="s">
        <v>21</v>
      </c>
      <c r="G349" t="s">
        <v>44</v>
      </c>
      <c r="H349">
        <v>23</v>
      </c>
      <c r="I349">
        <v>3</v>
      </c>
      <c r="J349" t="s">
        <v>675</v>
      </c>
      <c r="K349">
        <v>2316</v>
      </c>
      <c r="L349">
        <v>120</v>
      </c>
      <c r="M349" t="s">
        <v>24</v>
      </c>
      <c r="N349" t="s">
        <v>25</v>
      </c>
      <c r="O349">
        <v>2</v>
      </c>
      <c r="P349" t="s">
        <v>30</v>
      </c>
      <c r="Q349">
        <v>51</v>
      </c>
    </row>
    <row r="350" spans="1:17" x14ac:dyDescent="0.25">
      <c r="A350" t="s">
        <v>455</v>
      </c>
      <c r="B350" s="2">
        <f t="shared" ca="1" si="5"/>
        <v>46179</v>
      </c>
      <c r="C350" t="s">
        <v>825</v>
      </c>
      <c r="D350" s="1">
        <v>0</v>
      </c>
      <c r="E350" t="s">
        <v>733</v>
      </c>
      <c r="F350" t="s">
        <v>39</v>
      </c>
      <c r="G350" t="s">
        <v>564</v>
      </c>
      <c r="H350">
        <v>45</v>
      </c>
      <c r="I350">
        <v>3.1</v>
      </c>
      <c r="J350" t="s">
        <v>604</v>
      </c>
      <c r="K350">
        <v>1233</v>
      </c>
      <c r="L350">
        <v>100</v>
      </c>
      <c r="M350" t="s">
        <v>550</v>
      </c>
      <c r="N350" t="s">
        <v>25</v>
      </c>
      <c r="O350">
        <v>3</v>
      </c>
      <c r="P350" t="s">
        <v>41</v>
      </c>
      <c r="Q350">
        <v>51</v>
      </c>
    </row>
    <row r="351" spans="1:17" x14ac:dyDescent="0.25">
      <c r="A351" t="s">
        <v>456</v>
      </c>
      <c r="B351" s="2">
        <f t="shared" ca="1" si="5"/>
        <v>46354</v>
      </c>
      <c r="C351" t="s">
        <v>732</v>
      </c>
      <c r="D351" s="1">
        <v>0</v>
      </c>
      <c r="E351" t="s">
        <v>53</v>
      </c>
      <c r="F351" t="s">
        <v>70</v>
      </c>
      <c r="G351" t="s">
        <v>54</v>
      </c>
      <c r="H351">
        <v>18</v>
      </c>
      <c r="I351">
        <v>1.4</v>
      </c>
      <c r="J351" t="s">
        <v>658</v>
      </c>
      <c r="K351">
        <v>364</v>
      </c>
      <c r="L351">
        <v>100</v>
      </c>
      <c r="M351" t="s">
        <v>55</v>
      </c>
      <c r="N351" t="s">
        <v>25</v>
      </c>
      <c r="O351">
        <v>4</v>
      </c>
      <c r="P351" t="s">
        <v>41</v>
      </c>
      <c r="Q351">
        <v>90</v>
      </c>
    </row>
    <row r="352" spans="1:17" x14ac:dyDescent="0.25">
      <c r="A352" t="s">
        <v>457</v>
      </c>
      <c r="B352" s="2">
        <f t="shared" ca="1" si="5"/>
        <v>46062</v>
      </c>
      <c r="C352" t="s">
        <v>768</v>
      </c>
      <c r="D352" s="1">
        <v>0</v>
      </c>
      <c r="E352" t="s">
        <v>66</v>
      </c>
      <c r="F352" t="s">
        <v>116</v>
      </c>
      <c r="G352" t="s">
        <v>78</v>
      </c>
      <c r="H352">
        <v>33</v>
      </c>
      <c r="I352">
        <v>3.1</v>
      </c>
      <c r="J352" t="s">
        <v>555</v>
      </c>
      <c r="K352">
        <v>500</v>
      </c>
      <c r="L352">
        <v>0</v>
      </c>
      <c r="M352" t="s">
        <v>24</v>
      </c>
      <c r="N352" t="s">
        <v>48</v>
      </c>
      <c r="O352">
        <v>6</v>
      </c>
      <c r="P352" t="s">
        <v>18</v>
      </c>
      <c r="Q352">
        <v>68</v>
      </c>
    </row>
    <row r="353" spans="1:17" x14ac:dyDescent="0.25">
      <c r="A353" t="s">
        <v>458</v>
      </c>
      <c r="B353" s="2">
        <f t="shared" ca="1" si="5"/>
        <v>46302</v>
      </c>
      <c r="C353" t="s">
        <v>674</v>
      </c>
      <c r="D353" s="1">
        <v>0</v>
      </c>
      <c r="E353" t="s">
        <v>109</v>
      </c>
      <c r="F353" t="s">
        <v>21</v>
      </c>
      <c r="G353" t="s">
        <v>17</v>
      </c>
      <c r="H353">
        <v>36</v>
      </c>
      <c r="I353">
        <v>4.5</v>
      </c>
      <c r="J353" t="s">
        <v>604</v>
      </c>
      <c r="K353">
        <v>500</v>
      </c>
      <c r="L353">
        <v>0.1</v>
      </c>
      <c r="M353" t="s">
        <v>83</v>
      </c>
      <c r="N353" t="s">
        <v>25</v>
      </c>
      <c r="O353">
        <v>9</v>
      </c>
      <c r="P353" t="s">
        <v>68</v>
      </c>
      <c r="Q353">
        <v>120</v>
      </c>
    </row>
    <row r="354" spans="1:17" x14ac:dyDescent="0.25">
      <c r="A354" t="s">
        <v>459</v>
      </c>
      <c r="B354" s="2">
        <f t="shared" ca="1" si="5"/>
        <v>46355</v>
      </c>
      <c r="C354" t="s">
        <v>616</v>
      </c>
      <c r="D354" s="1">
        <v>0</v>
      </c>
      <c r="E354" t="s">
        <v>577</v>
      </c>
      <c r="F354" t="s">
        <v>16</v>
      </c>
      <c r="G354" t="s">
        <v>29</v>
      </c>
      <c r="H354">
        <v>52</v>
      </c>
      <c r="I354">
        <v>3.6</v>
      </c>
      <c r="J354" t="s">
        <v>320</v>
      </c>
      <c r="K354">
        <v>1585</v>
      </c>
      <c r="L354">
        <v>120</v>
      </c>
      <c r="M354" t="s">
        <v>550</v>
      </c>
      <c r="N354" t="s">
        <v>25</v>
      </c>
      <c r="O354">
        <v>10</v>
      </c>
      <c r="P354" t="s">
        <v>41</v>
      </c>
      <c r="Q354">
        <v>157</v>
      </c>
    </row>
    <row r="355" spans="1:17" x14ac:dyDescent="0.25">
      <c r="A355" t="s">
        <v>460</v>
      </c>
      <c r="B355" s="2">
        <f t="shared" ca="1" si="5"/>
        <v>46281</v>
      </c>
      <c r="C355" t="s">
        <v>578</v>
      </c>
      <c r="D355" s="1">
        <v>0</v>
      </c>
      <c r="E355" t="s">
        <v>564</v>
      </c>
      <c r="F355" t="s">
        <v>70</v>
      </c>
      <c r="G355" t="s">
        <v>29</v>
      </c>
      <c r="H355">
        <v>19</v>
      </c>
      <c r="I355">
        <v>4.5</v>
      </c>
      <c r="J355" t="s">
        <v>584</v>
      </c>
      <c r="K355">
        <v>1027</v>
      </c>
      <c r="L355">
        <v>120</v>
      </c>
      <c r="M355" t="s">
        <v>564</v>
      </c>
      <c r="N355" t="s">
        <v>25</v>
      </c>
      <c r="O355">
        <v>6</v>
      </c>
      <c r="P355" t="s">
        <v>68</v>
      </c>
      <c r="Q355">
        <v>93</v>
      </c>
    </row>
    <row r="356" spans="1:17" x14ac:dyDescent="0.25">
      <c r="A356" t="s">
        <v>461</v>
      </c>
      <c r="B356" s="2">
        <f t="shared" ca="1" si="5"/>
        <v>46358</v>
      </c>
      <c r="C356" t="s">
        <v>710</v>
      </c>
      <c r="D356" s="1">
        <v>0</v>
      </c>
      <c r="E356" t="s">
        <v>53</v>
      </c>
      <c r="F356" t="s">
        <v>43</v>
      </c>
      <c r="G356" t="s">
        <v>22</v>
      </c>
      <c r="H356">
        <v>43</v>
      </c>
      <c r="I356">
        <v>1.3</v>
      </c>
      <c r="J356" t="s">
        <v>623</v>
      </c>
      <c r="K356">
        <v>564</v>
      </c>
      <c r="L356">
        <v>100</v>
      </c>
      <c r="M356" t="s">
        <v>55</v>
      </c>
      <c r="N356" t="s">
        <v>25</v>
      </c>
      <c r="O356">
        <v>4</v>
      </c>
      <c r="P356" t="s">
        <v>68</v>
      </c>
      <c r="Q356">
        <v>42</v>
      </c>
    </row>
    <row r="357" spans="1:17" x14ac:dyDescent="0.25">
      <c r="A357" t="s">
        <v>462</v>
      </c>
      <c r="B357" s="2">
        <f t="shared" ca="1" si="5"/>
        <v>46089</v>
      </c>
      <c r="C357" t="s">
        <v>629</v>
      </c>
      <c r="D357" s="1">
        <v>0</v>
      </c>
      <c r="E357" t="s">
        <v>53</v>
      </c>
      <c r="F357" t="s">
        <v>47</v>
      </c>
      <c r="G357" t="s">
        <v>33</v>
      </c>
      <c r="H357">
        <v>59</v>
      </c>
      <c r="I357">
        <v>2.1</v>
      </c>
      <c r="J357" t="s">
        <v>617</v>
      </c>
      <c r="K357">
        <v>204</v>
      </c>
      <c r="L357">
        <v>120</v>
      </c>
      <c r="M357" t="s">
        <v>83</v>
      </c>
      <c r="N357" t="s">
        <v>25</v>
      </c>
      <c r="O357">
        <v>8</v>
      </c>
      <c r="P357" t="s">
        <v>18</v>
      </c>
      <c r="Q357">
        <v>199</v>
      </c>
    </row>
    <row r="358" spans="1:17" x14ac:dyDescent="0.25">
      <c r="A358" t="s">
        <v>463</v>
      </c>
      <c r="B358" s="2">
        <f t="shared" ca="1" si="5"/>
        <v>46093</v>
      </c>
      <c r="C358" t="s">
        <v>719</v>
      </c>
      <c r="D358" s="1">
        <v>0</v>
      </c>
      <c r="E358" t="s">
        <v>31</v>
      </c>
      <c r="F358" t="s">
        <v>32</v>
      </c>
      <c r="G358" t="s">
        <v>54</v>
      </c>
      <c r="H358">
        <v>63</v>
      </c>
      <c r="I358">
        <v>2.2999999999999998</v>
      </c>
      <c r="J358" t="s">
        <v>692</v>
      </c>
      <c r="K358">
        <v>1408</v>
      </c>
      <c r="L358">
        <v>75</v>
      </c>
      <c r="M358" t="s">
        <v>60</v>
      </c>
      <c r="N358" t="s">
        <v>25</v>
      </c>
      <c r="O358">
        <v>2</v>
      </c>
      <c r="P358" t="s">
        <v>553</v>
      </c>
      <c r="Q358">
        <v>35</v>
      </c>
    </row>
    <row r="359" spans="1:17" x14ac:dyDescent="0.25">
      <c r="A359" t="s">
        <v>464</v>
      </c>
      <c r="B359" s="2">
        <f t="shared" ca="1" si="5"/>
        <v>46380</v>
      </c>
      <c r="C359" t="s">
        <v>826</v>
      </c>
      <c r="D359" s="1">
        <v>0.52916666666666667</v>
      </c>
      <c r="E359" t="s">
        <v>97</v>
      </c>
      <c r="F359" t="s">
        <v>75</v>
      </c>
      <c r="G359" t="s">
        <v>33</v>
      </c>
      <c r="H359">
        <v>45</v>
      </c>
      <c r="I359">
        <v>1.7</v>
      </c>
      <c r="J359" t="s">
        <v>377</v>
      </c>
      <c r="K359">
        <v>797</v>
      </c>
      <c r="L359">
        <v>100</v>
      </c>
      <c r="M359" t="s">
        <v>83</v>
      </c>
      <c r="N359" t="s">
        <v>34</v>
      </c>
      <c r="O359">
        <v>5</v>
      </c>
      <c r="P359" t="s">
        <v>553</v>
      </c>
      <c r="Q359">
        <v>37</v>
      </c>
    </row>
    <row r="360" spans="1:17" x14ac:dyDescent="0.25">
      <c r="A360" t="s">
        <v>465</v>
      </c>
      <c r="B360" s="2">
        <f t="shared" ca="1" si="5"/>
        <v>46324</v>
      </c>
      <c r="C360" t="s">
        <v>759</v>
      </c>
      <c r="D360" s="1">
        <v>0</v>
      </c>
      <c r="E360" t="s">
        <v>548</v>
      </c>
      <c r="F360" t="s">
        <v>75</v>
      </c>
      <c r="G360" t="s">
        <v>22</v>
      </c>
      <c r="H360">
        <v>57</v>
      </c>
      <c r="I360">
        <v>2.5</v>
      </c>
      <c r="J360" t="s">
        <v>320</v>
      </c>
      <c r="K360">
        <v>334</v>
      </c>
      <c r="L360">
        <v>0.15</v>
      </c>
      <c r="M360" t="s">
        <v>571</v>
      </c>
      <c r="N360" t="s">
        <v>34</v>
      </c>
      <c r="O360">
        <v>8</v>
      </c>
      <c r="P360" t="s">
        <v>30</v>
      </c>
      <c r="Q360">
        <v>78</v>
      </c>
    </row>
    <row r="361" spans="1:17" x14ac:dyDescent="0.25">
      <c r="A361" t="s">
        <v>466</v>
      </c>
      <c r="B361" s="2">
        <f t="shared" ca="1" si="5"/>
        <v>46208</v>
      </c>
      <c r="C361" t="s">
        <v>587</v>
      </c>
      <c r="D361" s="1">
        <v>0</v>
      </c>
      <c r="E361" t="s">
        <v>57</v>
      </c>
      <c r="F361" t="s">
        <v>39</v>
      </c>
      <c r="G361" t="s">
        <v>54</v>
      </c>
      <c r="H361">
        <v>21</v>
      </c>
      <c r="I361">
        <v>1.7</v>
      </c>
      <c r="J361" t="s">
        <v>677</v>
      </c>
      <c r="K361">
        <v>1656</v>
      </c>
      <c r="L361">
        <v>50</v>
      </c>
      <c r="M361" t="s">
        <v>55</v>
      </c>
      <c r="N361" t="s">
        <v>25</v>
      </c>
      <c r="O361">
        <v>1</v>
      </c>
      <c r="P361" t="s">
        <v>68</v>
      </c>
      <c r="Q361">
        <v>235</v>
      </c>
    </row>
    <row r="362" spans="1:17" x14ac:dyDescent="0.25">
      <c r="A362" t="s">
        <v>467</v>
      </c>
      <c r="B362" s="2">
        <f t="shared" ca="1" si="5"/>
        <v>46118</v>
      </c>
      <c r="C362" t="s">
        <v>796</v>
      </c>
      <c r="D362" s="1">
        <v>0.14305555555555555</v>
      </c>
      <c r="E362" t="s">
        <v>577</v>
      </c>
      <c r="F362" t="s">
        <v>70</v>
      </c>
      <c r="G362" t="s">
        <v>50</v>
      </c>
      <c r="H362">
        <v>31</v>
      </c>
      <c r="I362">
        <v>4.8</v>
      </c>
      <c r="J362" t="s">
        <v>677</v>
      </c>
      <c r="K362">
        <v>1284</v>
      </c>
      <c r="L362">
        <v>100</v>
      </c>
      <c r="M362" t="s">
        <v>55</v>
      </c>
      <c r="N362" t="s">
        <v>25</v>
      </c>
      <c r="O362">
        <v>8</v>
      </c>
      <c r="P362" t="s">
        <v>41</v>
      </c>
      <c r="Q362">
        <v>215</v>
      </c>
    </row>
    <row r="363" spans="1:17" x14ac:dyDescent="0.25">
      <c r="A363" t="s">
        <v>468</v>
      </c>
      <c r="B363" s="2">
        <f t="shared" ca="1" si="5"/>
        <v>46315</v>
      </c>
      <c r="C363" t="s">
        <v>644</v>
      </c>
      <c r="D363" s="1">
        <v>0</v>
      </c>
      <c r="E363" t="s">
        <v>66</v>
      </c>
      <c r="F363" t="s">
        <v>116</v>
      </c>
      <c r="G363" t="s">
        <v>78</v>
      </c>
      <c r="H363">
        <v>53</v>
      </c>
      <c r="I363">
        <v>3.1</v>
      </c>
      <c r="J363" t="s">
        <v>469</v>
      </c>
      <c r="K363">
        <v>2053</v>
      </c>
      <c r="L363">
        <v>0</v>
      </c>
      <c r="M363" t="s">
        <v>60</v>
      </c>
      <c r="N363" t="s">
        <v>812</v>
      </c>
      <c r="O363">
        <v>9</v>
      </c>
      <c r="P363" t="s">
        <v>35</v>
      </c>
      <c r="Q363">
        <v>212</v>
      </c>
    </row>
    <row r="364" spans="1:17" x14ac:dyDescent="0.25">
      <c r="A364" t="s">
        <v>556</v>
      </c>
      <c r="B364" s="2">
        <f t="shared" ca="1" si="5"/>
        <v>46362</v>
      </c>
      <c r="C364" t="s">
        <v>827</v>
      </c>
      <c r="D364" s="1">
        <v>0</v>
      </c>
      <c r="E364" t="s">
        <v>90</v>
      </c>
      <c r="F364" t="s">
        <v>16</v>
      </c>
      <c r="G364" t="s">
        <v>63</v>
      </c>
      <c r="H364">
        <v>58</v>
      </c>
      <c r="I364">
        <v>1.6</v>
      </c>
      <c r="J364" t="s">
        <v>222</v>
      </c>
      <c r="K364">
        <v>2183</v>
      </c>
      <c r="L364">
        <v>100</v>
      </c>
      <c r="M364" t="s">
        <v>566</v>
      </c>
      <c r="N364" t="s">
        <v>25</v>
      </c>
      <c r="O364">
        <v>3</v>
      </c>
      <c r="P364" t="s">
        <v>18</v>
      </c>
      <c r="Q364">
        <v>67</v>
      </c>
    </row>
    <row r="365" spans="1:17" x14ac:dyDescent="0.25">
      <c r="A365" t="s">
        <v>470</v>
      </c>
      <c r="B365" s="2">
        <f t="shared" ca="1" si="5"/>
        <v>46299</v>
      </c>
      <c r="C365" t="s">
        <v>697</v>
      </c>
      <c r="D365" s="1">
        <v>0</v>
      </c>
      <c r="E365" t="s">
        <v>53</v>
      </c>
      <c r="F365" t="s">
        <v>47</v>
      </c>
      <c r="G365" t="s">
        <v>29</v>
      </c>
      <c r="H365">
        <v>24</v>
      </c>
      <c r="I365">
        <v>4.0999999999999996</v>
      </c>
      <c r="J365" t="s">
        <v>471</v>
      </c>
      <c r="K365">
        <v>797</v>
      </c>
      <c r="L365">
        <v>150</v>
      </c>
      <c r="M365" t="s">
        <v>83</v>
      </c>
      <c r="N365" t="s">
        <v>48</v>
      </c>
      <c r="O365">
        <v>3</v>
      </c>
      <c r="P365" t="s">
        <v>18</v>
      </c>
      <c r="Q365">
        <v>151</v>
      </c>
    </row>
    <row r="366" spans="1:17" x14ac:dyDescent="0.25">
      <c r="A366" t="s">
        <v>472</v>
      </c>
      <c r="B366" s="2">
        <f t="shared" ca="1" si="5"/>
        <v>46367</v>
      </c>
      <c r="D366" s="1">
        <v>0</v>
      </c>
      <c r="E366" t="s">
        <v>53</v>
      </c>
      <c r="F366" t="s">
        <v>116</v>
      </c>
      <c r="G366" t="s">
        <v>78</v>
      </c>
      <c r="H366">
        <v>40</v>
      </c>
      <c r="I366">
        <v>3.2</v>
      </c>
      <c r="J366" t="s">
        <v>604</v>
      </c>
      <c r="K366">
        <v>500</v>
      </c>
      <c r="L366">
        <v>150</v>
      </c>
      <c r="M366" t="s">
        <v>564</v>
      </c>
      <c r="N366" t="s">
        <v>25</v>
      </c>
      <c r="O366">
        <v>3</v>
      </c>
      <c r="P366" t="s">
        <v>35</v>
      </c>
      <c r="Q366">
        <v>60</v>
      </c>
    </row>
    <row r="367" spans="1:17" x14ac:dyDescent="0.25">
      <c r="A367" t="s">
        <v>473</v>
      </c>
      <c r="B367" s="2">
        <f t="shared" ca="1" si="5"/>
        <v>46217</v>
      </c>
      <c r="C367" t="s">
        <v>554</v>
      </c>
      <c r="D367" s="1">
        <v>0</v>
      </c>
      <c r="E367" t="s">
        <v>647</v>
      </c>
      <c r="F367" t="s">
        <v>16</v>
      </c>
      <c r="G367" t="s">
        <v>17</v>
      </c>
      <c r="H367">
        <v>44</v>
      </c>
      <c r="I367">
        <v>1.4</v>
      </c>
      <c r="J367" t="s">
        <v>617</v>
      </c>
      <c r="K367">
        <v>1284</v>
      </c>
      <c r="L367">
        <v>0</v>
      </c>
      <c r="M367" t="s">
        <v>550</v>
      </c>
      <c r="N367" t="s">
        <v>25</v>
      </c>
      <c r="O367">
        <v>2</v>
      </c>
      <c r="P367" t="s">
        <v>68</v>
      </c>
    </row>
    <row r="368" spans="1:17" x14ac:dyDescent="0.25">
      <c r="A368" t="s">
        <v>474</v>
      </c>
      <c r="B368" s="2">
        <f t="shared" ca="1" si="5"/>
        <v>46027</v>
      </c>
      <c r="C368" t="s">
        <v>698</v>
      </c>
      <c r="D368" s="1">
        <v>0</v>
      </c>
      <c r="E368" t="s">
        <v>36</v>
      </c>
      <c r="F368" t="s">
        <v>21</v>
      </c>
      <c r="G368" t="s">
        <v>564</v>
      </c>
      <c r="H368">
        <v>29</v>
      </c>
      <c r="I368">
        <v>4.4000000000000004</v>
      </c>
      <c r="J368" t="s">
        <v>573</v>
      </c>
      <c r="K368">
        <v>1134</v>
      </c>
      <c r="L368">
        <v>0.1</v>
      </c>
      <c r="M368" t="s">
        <v>55</v>
      </c>
      <c r="N368" t="s">
        <v>34</v>
      </c>
      <c r="O368">
        <v>10</v>
      </c>
      <c r="P368" t="s">
        <v>35</v>
      </c>
      <c r="Q368">
        <v>230</v>
      </c>
    </row>
    <row r="369" spans="1:17" x14ac:dyDescent="0.25">
      <c r="A369" t="s">
        <v>475</v>
      </c>
      <c r="B369" s="2">
        <f t="shared" ca="1" si="5"/>
        <v>46249</v>
      </c>
      <c r="C369" t="s">
        <v>649</v>
      </c>
      <c r="D369" s="1">
        <v>0</v>
      </c>
      <c r="E369" t="s">
        <v>97</v>
      </c>
      <c r="F369" t="s">
        <v>564</v>
      </c>
      <c r="G369" t="s">
        <v>81</v>
      </c>
      <c r="H369">
        <v>55</v>
      </c>
      <c r="I369">
        <v>2.5</v>
      </c>
      <c r="J369" t="s">
        <v>222</v>
      </c>
      <c r="K369">
        <v>240</v>
      </c>
      <c r="L369">
        <v>0</v>
      </c>
      <c r="M369" t="s">
        <v>564</v>
      </c>
      <c r="N369" t="s">
        <v>48</v>
      </c>
      <c r="O369">
        <v>2</v>
      </c>
      <c r="P369" t="s">
        <v>553</v>
      </c>
      <c r="Q369">
        <v>153</v>
      </c>
    </row>
    <row r="370" spans="1:17" x14ac:dyDescent="0.25">
      <c r="A370" t="s">
        <v>476</v>
      </c>
      <c r="B370" s="2">
        <f t="shared" ca="1" si="5"/>
        <v>46093</v>
      </c>
      <c r="C370" t="s">
        <v>797</v>
      </c>
      <c r="D370" s="1">
        <v>0</v>
      </c>
      <c r="E370" t="s">
        <v>564</v>
      </c>
      <c r="F370" t="s">
        <v>116</v>
      </c>
      <c r="G370" t="s">
        <v>63</v>
      </c>
      <c r="H370">
        <v>43</v>
      </c>
      <c r="I370">
        <v>3.1</v>
      </c>
      <c r="J370" t="s">
        <v>575</v>
      </c>
      <c r="K370">
        <v>1662</v>
      </c>
      <c r="L370">
        <v>150</v>
      </c>
      <c r="M370" t="s">
        <v>550</v>
      </c>
      <c r="N370" t="s">
        <v>48</v>
      </c>
      <c r="O370">
        <v>3</v>
      </c>
      <c r="P370" t="s">
        <v>30</v>
      </c>
      <c r="Q370">
        <v>80</v>
      </c>
    </row>
    <row r="371" spans="1:17" x14ac:dyDescent="0.25">
      <c r="A371" t="s">
        <v>477</v>
      </c>
      <c r="B371" s="2">
        <f t="shared" ca="1" si="5"/>
        <v>46379</v>
      </c>
      <c r="C371" t="s">
        <v>806</v>
      </c>
      <c r="D371" s="1">
        <v>0</v>
      </c>
      <c r="E371" t="s">
        <v>53</v>
      </c>
      <c r="F371" t="s">
        <v>116</v>
      </c>
      <c r="G371" t="s">
        <v>33</v>
      </c>
      <c r="H371">
        <v>60</v>
      </c>
      <c r="I371">
        <v>1.9</v>
      </c>
      <c r="J371" t="s">
        <v>478</v>
      </c>
      <c r="K371">
        <v>2071</v>
      </c>
      <c r="L371">
        <v>0.1</v>
      </c>
      <c r="M371" t="s">
        <v>566</v>
      </c>
      <c r="N371" t="s">
        <v>25</v>
      </c>
      <c r="O371">
        <v>9</v>
      </c>
      <c r="P371" t="s">
        <v>18</v>
      </c>
      <c r="Q371">
        <v>168</v>
      </c>
    </row>
    <row r="372" spans="1:17" x14ac:dyDescent="0.25">
      <c r="A372" t="s">
        <v>479</v>
      </c>
      <c r="B372" s="2">
        <f t="shared" ca="1" si="5"/>
        <v>46124</v>
      </c>
      <c r="C372" t="s">
        <v>828</v>
      </c>
      <c r="D372" s="1">
        <v>0</v>
      </c>
      <c r="E372" t="s">
        <v>57</v>
      </c>
      <c r="F372" t="s">
        <v>58</v>
      </c>
      <c r="G372" t="s">
        <v>44</v>
      </c>
      <c r="H372">
        <v>33</v>
      </c>
      <c r="I372">
        <v>4.7</v>
      </c>
      <c r="J372" t="s">
        <v>780</v>
      </c>
      <c r="K372">
        <v>1198</v>
      </c>
      <c r="L372">
        <v>0</v>
      </c>
      <c r="M372" t="s">
        <v>550</v>
      </c>
      <c r="N372" t="s">
        <v>34</v>
      </c>
      <c r="O372">
        <v>7</v>
      </c>
      <c r="P372" t="s">
        <v>68</v>
      </c>
      <c r="Q372">
        <v>86</v>
      </c>
    </row>
    <row r="373" spans="1:17" x14ac:dyDescent="0.25">
      <c r="A373" t="s">
        <v>480</v>
      </c>
      <c r="B373" s="2">
        <f t="shared" ca="1" si="5"/>
        <v>46165</v>
      </c>
      <c r="C373" t="s">
        <v>829</v>
      </c>
      <c r="D373" s="1">
        <v>0</v>
      </c>
      <c r="E373" t="s">
        <v>31</v>
      </c>
      <c r="F373" t="s">
        <v>43</v>
      </c>
      <c r="G373" t="s">
        <v>17</v>
      </c>
      <c r="H373">
        <v>22</v>
      </c>
      <c r="I373">
        <v>1.3</v>
      </c>
      <c r="J373" t="s">
        <v>669</v>
      </c>
      <c r="K373">
        <v>1516</v>
      </c>
      <c r="L373">
        <v>75</v>
      </c>
      <c r="M373" t="s">
        <v>24</v>
      </c>
      <c r="N373" t="s">
        <v>34</v>
      </c>
      <c r="O373">
        <v>7</v>
      </c>
      <c r="P373" t="s">
        <v>18</v>
      </c>
      <c r="Q373">
        <v>66</v>
      </c>
    </row>
    <row r="374" spans="1:17" x14ac:dyDescent="0.25">
      <c r="A374" t="s">
        <v>481</v>
      </c>
      <c r="B374" s="2">
        <f t="shared" ca="1" si="5"/>
        <v>46260</v>
      </c>
      <c r="C374" t="s">
        <v>830</v>
      </c>
      <c r="D374" s="1">
        <v>0</v>
      </c>
      <c r="E374" t="s">
        <v>90</v>
      </c>
      <c r="F374" t="s">
        <v>116</v>
      </c>
      <c r="G374" t="s">
        <v>44</v>
      </c>
      <c r="H374">
        <v>54</v>
      </c>
      <c r="I374">
        <v>4.5999999999999996</v>
      </c>
      <c r="J374" t="s">
        <v>482</v>
      </c>
      <c r="K374">
        <v>1520</v>
      </c>
      <c r="L374">
        <v>0</v>
      </c>
      <c r="M374" t="s">
        <v>550</v>
      </c>
      <c r="N374" t="s">
        <v>34</v>
      </c>
      <c r="O374">
        <v>6</v>
      </c>
      <c r="P374" t="s">
        <v>30</v>
      </c>
      <c r="Q374">
        <v>149</v>
      </c>
    </row>
    <row r="375" spans="1:17" x14ac:dyDescent="0.25">
      <c r="A375" t="s">
        <v>483</v>
      </c>
      <c r="B375" s="2">
        <f t="shared" ca="1" si="5"/>
        <v>46159</v>
      </c>
      <c r="C375" t="s">
        <v>744</v>
      </c>
      <c r="D375" s="1">
        <v>0</v>
      </c>
      <c r="E375" t="s">
        <v>97</v>
      </c>
      <c r="F375" t="s">
        <v>32</v>
      </c>
      <c r="G375" t="s">
        <v>78</v>
      </c>
      <c r="H375">
        <v>49</v>
      </c>
      <c r="I375">
        <v>2.5</v>
      </c>
      <c r="J375" t="s">
        <v>320</v>
      </c>
      <c r="K375">
        <v>1681</v>
      </c>
      <c r="L375">
        <v>75</v>
      </c>
      <c r="M375" t="s">
        <v>83</v>
      </c>
      <c r="N375" t="s">
        <v>25</v>
      </c>
      <c r="O375">
        <v>9</v>
      </c>
      <c r="P375" t="s">
        <v>41</v>
      </c>
      <c r="Q375">
        <v>64</v>
      </c>
    </row>
    <row r="376" spans="1:17" x14ac:dyDescent="0.25">
      <c r="A376" t="s">
        <v>484</v>
      </c>
      <c r="B376" s="2">
        <f t="shared" ca="1" si="5"/>
        <v>46274</v>
      </c>
      <c r="C376" t="s">
        <v>689</v>
      </c>
      <c r="D376" s="1">
        <v>0</v>
      </c>
      <c r="E376" t="s">
        <v>577</v>
      </c>
      <c r="F376" t="s">
        <v>21</v>
      </c>
      <c r="G376" t="s">
        <v>22</v>
      </c>
      <c r="H376">
        <v>33</v>
      </c>
      <c r="I376">
        <v>2.5</v>
      </c>
      <c r="J376" t="s">
        <v>630</v>
      </c>
      <c r="K376">
        <v>1984</v>
      </c>
      <c r="L376">
        <v>0.5</v>
      </c>
      <c r="M376" t="s">
        <v>60</v>
      </c>
      <c r="N376" t="s">
        <v>48</v>
      </c>
      <c r="O376">
        <v>1</v>
      </c>
      <c r="P376" t="s">
        <v>553</v>
      </c>
      <c r="Q376">
        <v>202</v>
      </c>
    </row>
    <row r="377" spans="1:17" x14ac:dyDescent="0.25">
      <c r="A377" t="s">
        <v>485</v>
      </c>
      <c r="B377" s="2">
        <f t="shared" ca="1" si="5"/>
        <v>46349</v>
      </c>
      <c r="C377" t="s">
        <v>806</v>
      </c>
      <c r="D377" s="1">
        <v>0</v>
      </c>
      <c r="E377" t="s">
        <v>66</v>
      </c>
      <c r="F377" t="s">
        <v>116</v>
      </c>
      <c r="G377" t="s">
        <v>78</v>
      </c>
      <c r="H377">
        <v>50</v>
      </c>
      <c r="I377">
        <v>2</v>
      </c>
      <c r="J377" t="s">
        <v>584</v>
      </c>
      <c r="K377">
        <v>500</v>
      </c>
      <c r="L377">
        <v>120</v>
      </c>
      <c r="M377" t="s">
        <v>550</v>
      </c>
      <c r="N377" t="s">
        <v>25</v>
      </c>
      <c r="O377">
        <v>2</v>
      </c>
      <c r="P377" t="s">
        <v>30</v>
      </c>
      <c r="Q377">
        <v>38</v>
      </c>
    </row>
    <row r="378" spans="1:17" x14ac:dyDescent="0.25">
      <c r="A378" t="s">
        <v>486</v>
      </c>
      <c r="B378" s="2">
        <f t="shared" ca="1" si="5"/>
        <v>46069</v>
      </c>
      <c r="C378" t="s">
        <v>708</v>
      </c>
      <c r="D378" s="1">
        <v>0</v>
      </c>
      <c r="E378" t="s">
        <v>27</v>
      </c>
      <c r="F378" t="s">
        <v>75</v>
      </c>
      <c r="G378" t="s">
        <v>22</v>
      </c>
      <c r="H378">
        <v>32</v>
      </c>
      <c r="I378">
        <v>3.8</v>
      </c>
      <c r="J378" t="s">
        <v>590</v>
      </c>
      <c r="K378">
        <v>1218</v>
      </c>
      <c r="L378">
        <v>50</v>
      </c>
      <c r="M378" t="s">
        <v>60</v>
      </c>
      <c r="N378" t="s">
        <v>34</v>
      </c>
      <c r="O378">
        <v>9</v>
      </c>
      <c r="P378" t="s">
        <v>68</v>
      </c>
      <c r="Q378">
        <v>168</v>
      </c>
    </row>
    <row r="379" spans="1:17" x14ac:dyDescent="0.25">
      <c r="A379" t="s">
        <v>487</v>
      </c>
      <c r="B379" s="2">
        <f t="shared" ca="1" si="5"/>
        <v>46197</v>
      </c>
      <c r="C379" t="s">
        <v>831</v>
      </c>
      <c r="D379" s="1">
        <v>0</v>
      </c>
      <c r="E379" t="s">
        <v>577</v>
      </c>
      <c r="F379" t="s">
        <v>75</v>
      </c>
      <c r="G379" t="s">
        <v>54</v>
      </c>
      <c r="H379">
        <v>49</v>
      </c>
      <c r="I379">
        <v>3.5</v>
      </c>
      <c r="J379" t="s">
        <v>581</v>
      </c>
      <c r="K379">
        <v>1193</v>
      </c>
      <c r="L379">
        <v>0.15</v>
      </c>
      <c r="M379" t="s">
        <v>55</v>
      </c>
      <c r="N379" t="s">
        <v>551</v>
      </c>
      <c r="O379">
        <v>2</v>
      </c>
      <c r="P379" t="s">
        <v>35</v>
      </c>
      <c r="Q379">
        <v>99</v>
      </c>
    </row>
    <row r="380" spans="1:17" x14ac:dyDescent="0.25">
      <c r="A380" t="s">
        <v>488</v>
      </c>
      <c r="B380" s="2">
        <f t="shared" ca="1" si="5"/>
        <v>46146</v>
      </c>
      <c r="C380" t="s">
        <v>554</v>
      </c>
      <c r="D380" s="1">
        <v>0</v>
      </c>
      <c r="E380" t="s">
        <v>27</v>
      </c>
      <c r="F380" t="s">
        <v>47</v>
      </c>
      <c r="G380" t="s">
        <v>81</v>
      </c>
      <c r="H380">
        <v>18</v>
      </c>
      <c r="I380">
        <v>2.5</v>
      </c>
      <c r="J380" t="s">
        <v>748</v>
      </c>
      <c r="K380">
        <v>1345</v>
      </c>
      <c r="L380">
        <v>0.5</v>
      </c>
      <c r="M380" t="s">
        <v>83</v>
      </c>
      <c r="N380" t="s">
        <v>48</v>
      </c>
      <c r="O380">
        <v>6</v>
      </c>
      <c r="P380" t="s">
        <v>68</v>
      </c>
      <c r="Q380">
        <v>95</v>
      </c>
    </row>
    <row r="381" spans="1:17" x14ac:dyDescent="0.25">
      <c r="A381" t="s">
        <v>489</v>
      </c>
      <c r="B381" s="2">
        <f t="shared" ca="1" si="5"/>
        <v>46251</v>
      </c>
      <c r="C381" t="s">
        <v>596</v>
      </c>
      <c r="D381" s="1">
        <v>0.8569444444444444</v>
      </c>
      <c r="E381" t="s">
        <v>66</v>
      </c>
      <c r="F381" t="s">
        <v>32</v>
      </c>
      <c r="G381" t="s">
        <v>54</v>
      </c>
      <c r="H381">
        <v>42</v>
      </c>
      <c r="I381">
        <v>3.3</v>
      </c>
      <c r="J381" t="s">
        <v>667</v>
      </c>
      <c r="K381">
        <v>1968</v>
      </c>
      <c r="L381">
        <v>120</v>
      </c>
      <c r="M381" t="s">
        <v>550</v>
      </c>
      <c r="N381" t="s">
        <v>34</v>
      </c>
      <c r="O381">
        <v>3</v>
      </c>
      <c r="P381" t="s">
        <v>68</v>
      </c>
      <c r="Q381">
        <v>50</v>
      </c>
    </row>
    <row r="382" spans="1:17" x14ac:dyDescent="0.25">
      <c r="A382" t="s">
        <v>490</v>
      </c>
      <c r="B382" s="2">
        <f t="shared" ca="1" si="5"/>
        <v>46365</v>
      </c>
      <c r="C382" t="s">
        <v>576</v>
      </c>
      <c r="D382" s="1">
        <v>0</v>
      </c>
      <c r="E382" t="s">
        <v>109</v>
      </c>
      <c r="F382" t="s">
        <v>39</v>
      </c>
      <c r="G382" t="s">
        <v>29</v>
      </c>
      <c r="H382">
        <v>43</v>
      </c>
      <c r="I382">
        <v>1.6</v>
      </c>
      <c r="J382" t="s">
        <v>694</v>
      </c>
      <c r="K382">
        <v>2460</v>
      </c>
      <c r="L382">
        <v>0</v>
      </c>
      <c r="M382" t="s">
        <v>24</v>
      </c>
      <c r="N382" t="s">
        <v>25</v>
      </c>
      <c r="O382">
        <v>3</v>
      </c>
      <c r="P382" t="s">
        <v>564</v>
      </c>
      <c r="Q382">
        <v>148</v>
      </c>
    </row>
    <row r="383" spans="1:17" x14ac:dyDescent="0.25">
      <c r="A383" t="s">
        <v>491</v>
      </c>
      <c r="B383" s="2">
        <f t="shared" ca="1" si="5"/>
        <v>46384</v>
      </c>
      <c r="D383" s="1">
        <v>0</v>
      </c>
      <c r="E383" t="s">
        <v>20</v>
      </c>
      <c r="F383" t="s">
        <v>196</v>
      </c>
      <c r="G383" t="s">
        <v>44</v>
      </c>
      <c r="H383">
        <v>18</v>
      </c>
      <c r="I383">
        <v>2.6</v>
      </c>
      <c r="J383" t="s">
        <v>617</v>
      </c>
      <c r="K383">
        <v>1807</v>
      </c>
      <c r="L383">
        <v>50</v>
      </c>
      <c r="M383" t="s">
        <v>564</v>
      </c>
      <c r="N383" t="s">
        <v>25</v>
      </c>
      <c r="O383">
        <v>10</v>
      </c>
      <c r="P383" t="s">
        <v>68</v>
      </c>
    </row>
    <row r="384" spans="1:17" x14ac:dyDescent="0.25">
      <c r="A384" t="s">
        <v>492</v>
      </c>
      <c r="B384" s="2">
        <f t="shared" ca="1" si="5"/>
        <v>46284</v>
      </c>
      <c r="C384" t="s">
        <v>586</v>
      </c>
      <c r="D384" s="1">
        <v>0</v>
      </c>
      <c r="E384" t="s">
        <v>31</v>
      </c>
      <c r="F384" t="s">
        <v>75</v>
      </c>
      <c r="G384" t="s">
        <v>63</v>
      </c>
      <c r="H384">
        <v>39</v>
      </c>
      <c r="I384">
        <v>4.9000000000000004</v>
      </c>
      <c r="J384" t="s">
        <v>493</v>
      </c>
      <c r="K384">
        <v>1207</v>
      </c>
      <c r="L384">
        <v>50</v>
      </c>
      <c r="M384" t="s">
        <v>566</v>
      </c>
      <c r="N384" t="s">
        <v>25</v>
      </c>
      <c r="O384">
        <v>3</v>
      </c>
      <c r="P384" t="s">
        <v>68</v>
      </c>
      <c r="Q384">
        <v>53</v>
      </c>
    </row>
    <row r="385" spans="1:17" x14ac:dyDescent="0.25">
      <c r="A385" t="s">
        <v>494</v>
      </c>
      <c r="B385" s="2">
        <f t="shared" ca="1" si="5"/>
        <v>46143</v>
      </c>
      <c r="C385" t="s">
        <v>687</v>
      </c>
      <c r="D385" s="1">
        <v>0</v>
      </c>
      <c r="E385" t="s">
        <v>109</v>
      </c>
      <c r="F385" t="s">
        <v>58</v>
      </c>
      <c r="G385" t="s">
        <v>54</v>
      </c>
      <c r="H385">
        <v>50</v>
      </c>
      <c r="I385">
        <v>2.2000000000000002</v>
      </c>
      <c r="J385" t="s">
        <v>626</v>
      </c>
      <c r="K385">
        <v>660</v>
      </c>
      <c r="L385">
        <v>120</v>
      </c>
      <c r="M385" t="s">
        <v>566</v>
      </c>
      <c r="N385" t="s">
        <v>25</v>
      </c>
      <c r="O385">
        <v>8</v>
      </c>
      <c r="P385" t="s">
        <v>18</v>
      </c>
      <c r="Q385">
        <v>237</v>
      </c>
    </row>
    <row r="386" spans="1:17" x14ac:dyDescent="0.25">
      <c r="A386" t="s">
        <v>495</v>
      </c>
      <c r="B386" s="2">
        <f t="shared" ref="B386:B435" ca="1" si="6">RANDBETWEEN(DATE(2026,1,1),DATE(2026,12,31))</f>
        <v>46387</v>
      </c>
      <c r="C386" t="s">
        <v>736</v>
      </c>
      <c r="D386" s="1">
        <v>0</v>
      </c>
      <c r="E386" t="s">
        <v>31</v>
      </c>
      <c r="F386" t="s">
        <v>43</v>
      </c>
      <c r="G386" t="s">
        <v>63</v>
      </c>
      <c r="H386">
        <v>31</v>
      </c>
      <c r="I386">
        <v>4.0999999999999996</v>
      </c>
      <c r="J386" t="s">
        <v>563</v>
      </c>
      <c r="K386">
        <v>729</v>
      </c>
      <c r="L386">
        <v>75</v>
      </c>
      <c r="M386" t="s">
        <v>55</v>
      </c>
      <c r="N386" t="s">
        <v>25</v>
      </c>
      <c r="O386">
        <v>10</v>
      </c>
      <c r="P386" t="s">
        <v>41</v>
      </c>
      <c r="Q386">
        <v>3</v>
      </c>
    </row>
    <row r="387" spans="1:17" x14ac:dyDescent="0.25">
      <c r="A387" t="s">
        <v>496</v>
      </c>
      <c r="B387" s="2">
        <f t="shared" ca="1" si="6"/>
        <v>46081</v>
      </c>
      <c r="C387" t="s">
        <v>827</v>
      </c>
      <c r="D387" s="1">
        <v>0</v>
      </c>
      <c r="E387" t="s">
        <v>53</v>
      </c>
      <c r="F387" t="s">
        <v>413</v>
      </c>
      <c r="G387" t="s">
        <v>50</v>
      </c>
      <c r="H387">
        <v>43</v>
      </c>
      <c r="I387">
        <v>3.5</v>
      </c>
      <c r="J387" t="s">
        <v>832</v>
      </c>
      <c r="K387">
        <v>2407</v>
      </c>
      <c r="L387">
        <v>150</v>
      </c>
      <c r="M387" t="s">
        <v>550</v>
      </c>
      <c r="N387" t="s">
        <v>48</v>
      </c>
      <c r="O387">
        <v>1</v>
      </c>
      <c r="P387" t="s">
        <v>553</v>
      </c>
      <c r="Q387">
        <v>3</v>
      </c>
    </row>
    <row r="388" spans="1:17" x14ac:dyDescent="0.25">
      <c r="A388" t="s">
        <v>497</v>
      </c>
      <c r="B388" s="2">
        <f t="shared" ca="1" si="6"/>
        <v>46041</v>
      </c>
      <c r="C388" t="s">
        <v>709</v>
      </c>
      <c r="D388" s="1">
        <v>0</v>
      </c>
      <c r="E388" t="s">
        <v>564</v>
      </c>
      <c r="F388" t="s">
        <v>32</v>
      </c>
      <c r="G388" t="s">
        <v>44</v>
      </c>
      <c r="H388">
        <v>18</v>
      </c>
      <c r="I388">
        <v>2.5</v>
      </c>
      <c r="J388" t="s">
        <v>237</v>
      </c>
      <c r="K388">
        <v>2309</v>
      </c>
      <c r="L388">
        <v>150</v>
      </c>
      <c r="M388" t="s">
        <v>55</v>
      </c>
      <c r="N388" t="s">
        <v>34</v>
      </c>
      <c r="O388">
        <v>10</v>
      </c>
      <c r="P388" t="s">
        <v>68</v>
      </c>
      <c r="Q388">
        <v>28</v>
      </c>
    </row>
    <row r="389" spans="1:17" x14ac:dyDescent="0.25">
      <c r="A389" t="s">
        <v>498</v>
      </c>
      <c r="B389" s="2">
        <f t="shared" ca="1" si="6"/>
        <v>46281</v>
      </c>
      <c r="C389" t="s">
        <v>809</v>
      </c>
      <c r="D389" s="1">
        <v>0</v>
      </c>
      <c r="E389" t="s">
        <v>53</v>
      </c>
      <c r="F389" t="s">
        <v>116</v>
      </c>
      <c r="G389" t="s">
        <v>499</v>
      </c>
      <c r="H389">
        <v>46</v>
      </c>
      <c r="I389">
        <v>4.4000000000000004</v>
      </c>
      <c r="J389" t="s">
        <v>590</v>
      </c>
      <c r="K389">
        <v>2335</v>
      </c>
      <c r="L389">
        <v>75</v>
      </c>
      <c r="M389" t="s">
        <v>564</v>
      </c>
      <c r="N389" t="s">
        <v>34</v>
      </c>
      <c r="O389">
        <v>7</v>
      </c>
      <c r="P389" t="s">
        <v>68</v>
      </c>
      <c r="Q389">
        <v>240</v>
      </c>
    </row>
    <row r="390" spans="1:17" x14ac:dyDescent="0.25">
      <c r="A390" t="s">
        <v>556</v>
      </c>
      <c r="B390" s="2">
        <f t="shared" ca="1" si="6"/>
        <v>46082</v>
      </c>
      <c r="C390" t="s">
        <v>833</v>
      </c>
      <c r="D390" s="1">
        <v>0</v>
      </c>
      <c r="E390" t="s">
        <v>20</v>
      </c>
      <c r="F390" t="s">
        <v>70</v>
      </c>
      <c r="G390" t="s">
        <v>78</v>
      </c>
      <c r="H390">
        <v>59</v>
      </c>
      <c r="I390">
        <v>3.5</v>
      </c>
      <c r="J390" t="s">
        <v>633</v>
      </c>
      <c r="K390">
        <v>944</v>
      </c>
      <c r="L390">
        <v>150</v>
      </c>
      <c r="M390" t="s">
        <v>83</v>
      </c>
      <c r="N390" t="s">
        <v>25</v>
      </c>
      <c r="O390">
        <v>10</v>
      </c>
      <c r="P390" t="s">
        <v>564</v>
      </c>
      <c r="Q390">
        <v>74</v>
      </c>
    </row>
    <row r="391" spans="1:17" x14ac:dyDescent="0.25">
      <c r="A391" t="s">
        <v>500</v>
      </c>
      <c r="B391" s="2">
        <f t="shared" ca="1" si="6"/>
        <v>46314</v>
      </c>
      <c r="C391" t="s">
        <v>558</v>
      </c>
      <c r="D391" s="1">
        <v>0</v>
      </c>
      <c r="E391" t="s">
        <v>57</v>
      </c>
      <c r="F391" t="s">
        <v>47</v>
      </c>
      <c r="G391" t="s">
        <v>29</v>
      </c>
      <c r="H391">
        <v>36</v>
      </c>
      <c r="I391">
        <v>3.8</v>
      </c>
      <c r="J391" t="s">
        <v>575</v>
      </c>
      <c r="K391">
        <v>169</v>
      </c>
      <c r="L391">
        <v>50</v>
      </c>
      <c r="M391" t="s">
        <v>60</v>
      </c>
      <c r="N391" t="s">
        <v>25</v>
      </c>
      <c r="O391">
        <v>5</v>
      </c>
      <c r="P391" t="s">
        <v>30</v>
      </c>
      <c r="Q391">
        <v>45</v>
      </c>
    </row>
    <row r="392" spans="1:17" x14ac:dyDescent="0.25">
      <c r="A392" t="s">
        <v>501</v>
      </c>
      <c r="B392" s="2">
        <f t="shared" ca="1" si="6"/>
        <v>46304</v>
      </c>
      <c r="C392" t="s">
        <v>834</v>
      </c>
      <c r="D392" s="1">
        <v>0</v>
      </c>
      <c r="E392" t="s">
        <v>27</v>
      </c>
      <c r="F392" t="s">
        <v>196</v>
      </c>
      <c r="G392" t="s">
        <v>33</v>
      </c>
      <c r="H392">
        <v>18</v>
      </c>
      <c r="I392">
        <v>3.5</v>
      </c>
      <c r="J392" t="s">
        <v>727</v>
      </c>
      <c r="K392">
        <v>1335</v>
      </c>
      <c r="L392">
        <v>0.1</v>
      </c>
      <c r="M392" t="s">
        <v>550</v>
      </c>
      <c r="N392" t="s">
        <v>25</v>
      </c>
      <c r="O392">
        <v>8</v>
      </c>
      <c r="P392" t="s">
        <v>68</v>
      </c>
      <c r="Q392">
        <v>104</v>
      </c>
    </row>
    <row r="393" spans="1:17" x14ac:dyDescent="0.25">
      <c r="A393" t="s">
        <v>502</v>
      </c>
      <c r="B393" s="2">
        <f t="shared" ca="1" si="6"/>
        <v>46351</v>
      </c>
      <c r="C393" t="s">
        <v>834</v>
      </c>
      <c r="D393" s="1">
        <v>0</v>
      </c>
      <c r="E393" t="s">
        <v>27</v>
      </c>
      <c r="F393" t="s">
        <v>47</v>
      </c>
      <c r="G393" t="s">
        <v>33</v>
      </c>
      <c r="H393">
        <v>22</v>
      </c>
      <c r="I393">
        <v>4.9000000000000004</v>
      </c>
      <c r="J393" t="s">
        <v>604</v>
      </c>
      <c r="K393">
        <v>123</v>
      </c>
      <c r="L393">
        <v>0</v>
      </c>
      <c r="M393" t="s">
        <v>60</v>
      </c>
      <c r="N393" t="s">
        <v>25</v>
      </c>
      <c r="O393">
        <v>2</v>
      </c>
      <c r="P393" t="s">
        <v>553</v>
      </c>
      <c r="Q393">
        <v>24</v>
      </c>
    </row>
    <row r="394" spans="1:17" x14ac:dyDescent="0.25">
      <c r="A394" t="s">
        <v>503</v>
      </c>
      <c r="B394" s="2">
        <f t="shared" ca="1" si="6"/>
        <v>46300</v>
      </c>
      <c r="C394" t="s">
        <v>775</v>
      </c>
      <c r="D394" s="1">
        <v>0</v>
      </c>
      <c r="E394" t="s">
        <v>564</v>
      </c>
      <c r="F394" t="s">
        <v>32</v>
      </c>
      <c r="G394" t="s">
        <v>17</v>
      </c>
      <c r="H394">
        <v>64</v>
      </c>
      <c r="I394">
        <v>2.2999999999999998</v>
      </c>
      <c r="J394" t="s">
        <v>675</v>
      </c>
      <c r="K394">
        <v>519</v>
      </c>
      <c r="L394">
        <v>0.6</v>
      </c>
      <c r="M394" t="s">
        <v>550</v>
      </c>
      <c r="N394" t="s">
        <v>34</v>
      </c>
      <c r="O394">
        <v>4</v>
      </c>
      <c r="P394" t="s">
        <v>18</v>
      </c>
      <c r="Q394">
        <v>231</v>
      </c>
    </row>
    <row r="395" spans="1:17" x14ac:dyDescent="0.25">
      <c r="A395" t="s">
        <v>504</v>
      </c>
      <c r="B395" s="2">
        <f t="shared" ca="1" si="6"/>
        <v>46077</v>
      </c>
      <c r="C395" t="s">
        <v>800</v>
      </c>
      <c r="D395" s="1">
        <v>0</v>
      </c>
      <c r="E395" t="s">
        <v>20</v>
      </c>
      <c r="F395" t="s">
        <v>21</v>
      </c>
      <c r="G395" t="s">
        <v>17</v>
      </c>
      <c r="H395">
        <v>32</v>
      </c>
      <c r="I395">
        <v>4.8</v>
      </c>
      <c r="J395" t="s">
        <v>471</v>
      </c>
      <c r="K395">
        <v>780</v>
      </c>
      <c r="L395">
        <v>0.15</v>
      </c>
      <c r="M395" t="s">
        <v>24</v>
      </c>
      <c r="N395" t="s">
        <v>25</v>
      </c>
      <c r="O395">
        <v>10</v>
      </c>
      <c r="P395" t="s">
        <v>41</v>
      </c>
      <c r="Q395">
        <v>142</v>
      </c>
    </row>
    <row r="396" spans="1:17" x14ac:dyDescent="0.25">
      <c r="A396" t="s">
        <v>505</v>
      </c>
      <c r="B396" s="2">
        <f t="shared" ca="1" si="6"/>
        <v>46036</v>
      </c>
      <c r="C396" t="s">
        <v>730</v>
      </c>
      <c r="D396" s="1">
        <v>0</v>
      </c>
      <c r="E396" t="s">
        <v>20</v>
      </c>
      <c r="F396" t="s">
        <v>21</v>
      </c>
      <c r="G396" t="s">
        <v>78</v>
      </c>
      <c r="H396">
        <v>26</v>
      </c>
      <c r="I396">
        <v>2.7</v>
      </c>
      <c r="J396" t="s">
        <v>727</v>
      </c>
      <c r="K396">
        <v>723</v>
      </c>
      <c r="L396">
        <v>0</v>
      </c>
      <c r="M396" t="s">
        <v>60</v>
      </c>
      <c r="N396" t="s">
        <v>25</v>
      </c>
      <c r="O396">
        <v>2</v>
      </c>
      <c r="P396" t="s">
        <v>41</v>
      </c>
    </row>
    <row r="397" spans="1:17" x14ac:dyDescent="0.25">
      <c r="A397" t="s">
        <v>506</v>
      </c>
      <c r="B397" s="2">
        <f t="shared" ca="1" si="6"/>
        <v>46158</v>
      </c>
      <c r="C397" t="s">
        <v>835</v>
      </c>
      <c r="D397" s="1">
        <v>0</v>
      </c>
      <c r="E397" t="s">
        <v>90</v>
      </c>
      <c r="F397" t="s">
        <v>116</v>
      </c>
      <c r="G397" t="s">
        <v>17</v>
      </c>
      <c r="H397">
        <v>65</v>
      </c>
      <c r="I397">
        <v>2.1</v>
      </c>
      <c r="J397" t="s">
        <v>645</v>
      </c>
      <c r="K397">
        <v>506</v>
      </c>
      <c r="L397">
        <v>50</v>
      </c>
      <c r="M397" t="s">
        <v>550</v>
      </c>
      <c r="N397" t="s">
        <v>25</v>
      </c>
      <c r="O397">
        <v>7</v>
      </c>
      <c r="P397" t="s">
        <v>35</v>
      </c>
      <c r="Q397">
        <v>214</v>
      </c>
    </row>
    <row r="398" spans="1:17" x14ac:dyDescent="0.25">
      <c r="A398" t="s">
        <v>507</v>
      </c>
      <c r="B398" s="2">
        <f t="shared" ca="1" si="6"/>
        <v>46291</v>
      </c>
      <c r="C398" t="s">
        <v>836</v>
      </c>
      <c r="D398" s="1">
        <v>0</v>
      </c>
      <c r="E398" t="s">
        <v>57</v>
      </c>
      <c r="F398" t="s">
        <v>43</v>
      </c>
      <c r="G398" t="s">
        <v>44</v>
      </c>
      <c r="H398">
        <v>63</v>
      </c>
      <c r="I398">
        <v>2.7</v>
      </c>
      <c r="J398" t="s">
        <v>320</v>
      </c>
      <c r="K398">
        <v>1660</v>
      </c>
      <c r="L398">
        <v>50</v>
      </c>
      <c r="M398" t="s">
        <v>55</v>
      </c>
      <c r="N398" t="s">
        <v>25</v>
      </c>
      <c r="O398">
        <v>7</v>
      </c>
      <c r="P398" t="s">
        <v>553</v>
      </c>
      <c r="Q398">
        <v>33</v>
      </c>
    </row>
    <row r="399" spans="1:17" x14ac:dyDescent="0.25">
      <c r="A399" t="s">
        <v>508</v>
      </c>
      <c r="B399" s="2">
        <f t="shared" ca="1" si="6"/>
        <v>46052</v>
      </c>
      <c r="C399" t="s">
        <v>837</v>
      </c>
      <c r="D399" s="1">
        <v>0.14374999999999999</v>
      </c>
      <c r="E399" t="s">
        <v>31</v>
      </c>
      <c r="F399" t="s">
        <v>116</v>
      </c>
      <c r="G399" t="s">
        <v>44</v>
      </c>
      <c r="H399">
        <v>23</v>
      </c>
      <c r="I399">
        <v>3.3</v>
      </c>
      <c r="J399" t="s">
        <v>575</v>
      </c>
      <c r="K399">
        <v>598</v>
      </c>
      <c r="L399">
        <v>0.15</v>
      </c>
      <c r="M399" t="s">
        <v>24</v>
      </c>
      <c r="N399" t="s">
        <v>34</v>
      </c>
      <c r="O399">
        <v>4</v>
      </c>
      <c r="P399" t="s">
        <v>30</v>
      </c>
    </row>
    <row r="400" spans="1:17" x14ac:dyDescent="0.25">
      <c r="A400" t="s">
        <v>509</v>
      </c>
      <c r="B400" s="2">
        <f t="shared" ca="1" si="6"/>
        <v>46385</v>
      </c>
      <c r="C400" t="s">
        <v>574</v>
      </c>
      <c r="D400" s="1">
        <v>0</v>
      </c>
      <c r="E400" t="s">
        <v>31</v>
      </c>
      <c r="F400" t="s">
        <v>43</v>
      </c>
      <c r="G400" t="s">
        <v>63</v>
      </c>
      <c r="H400">
        <v>63</v>
      </c>
      <c r="I400">
        <v>4.2</v>
      </c>
      <c r="J400" t="s">
        <v>570</v>
      </c>
      <c r="K400">
        <v>2374</v>
      </c>
      <c r="L400">
        <v>0.2</v>
      </c>
      <c r="M400" t="s">
        <v>83</v>
      </c>
      <c r="N400" t="s">
        <v>25</v>
      </c>
      <c r="O400">
        <v>7</v>
      </c>
      <c r="P400" t="s">
        <v>30</v>
      </c>
      <c r="Q400">
        <v>22</v>
      </c>
    </row>
    <row r="401" spans="1:17" x14ac:dyDescent="0.25">
      <c r="A401" t="s">
        <v>556</v>
      </c>
      <c r="B401" s="2">
        <f t="shared" ca="1" si="6"/>
        <v>46073</v>
      </c>
      <c r="C401" t="s">
        <v>838</v>
      </c>
      <c r="D401" s="1">
        <v>0</v>
      </c>
      <c r="E401" t="s">
        <v>97</v>
      </c>
      <c r="F401" t="s">
        <v>58</v>
      </c>
      <c r="G401" t="s">
        <v>63</v>
      </c>
      <c r="H401">
        <v>33</v>
      </c>
      <c r="I401">
        <v>2.5</v>
      </c>
      <c r="J401" t="s">
        <v>692</v>
      </c>
      <c r="K401">
        <v>445</v>
      </c>
      <c r="L401">
        <v>0</v>
      </c>
      <c r="M401" t="s">
        <v>60</v>
      </c>
      <c r="N401" t="s">
        <v>25</v>
      </c>
      <c r="O401">
        <v>10</v>
      </c>
      <c r="P401" t="s">
        <v>30</v>
      </c>
      <c r="Q401">
        <v>231</v>
      </c>
    </row>
    <row r="402" spans="1:17" x14ac:dyDescent="0.25">
      <c r="A402" t="s">
        <v>510</v>
      </c>
      <c r="B402" s="2">
        <f t="shared" ca="1" si="6"/>
        <v>46355</v>
      </c>
      <c r="C402" t="s">
        <v>839</v>
      </c>
      <c r="D402" s="1">
        <v>0.3034722222222222</v>
      </c>
      <c r="E402" t="s">
        <v>36</v>
      </c>
      <c r="F402" t="s">
        <v>196</v>
      </c>
      <c r="G402" t="s">
        <v>17</v>
      </c>
      <c r="H402">
        <v>40</v>
      </c>
      <c r="I402">
        <v>1.6</v>
      </c>
      <c r="J402" t="s">
        <v>136</v>
      </c>
      <c r="K402">
        <v>1857</v>
      </c>
      <c r="L402">
        <v>120</v>
      </c>
      <c r="M402" t="s">
        <v>60</v>
      </c>
      <c r="N402" t="s">
        <v>48</v>
      </c>
      <c r="O402">
        <v>9</v>
      </c>
      <c r="P402" t="s">
        <v>35</v>
      </c>
      <c r="Q402">
        <v>135</v>
      </c>
    </row>
    <row r="403" spans="1:17" x14ac:dyDescent="0.25">
      <c r="A403" t="s">
        <v>511</v>
      </c>
      <c r="B403" s="2">
        <f t="shared" ca="1" si="6"/>
        <v>46175</v>
      </c>
      <c r="C403" t="s">
        <v>840</v>
      </c>
      <c r="D403" s="1">
        <v>0</v>
      </c>
      <c r="E403" t="s">
        <v>564</v>
      </c>
      <c r="F403" t="s">
        <v>70</v>
      </c>
      <c r="G403" t="s">
        <v>29</v>
      </c>
      <c r="H403">
        <v>43</v>
      </c>
      <c r="I403">
        <v>2.6</v>
      </c>
      <c r="J403" t="s">
        <v>320</v>
      </c>
      <c r="K403">
        <v>385</v>
      </c>
      <c r="L403">
        <v>0</v>
      </c>
      <c r="M403" t="s">
        <v>24</v>
      </c>
      <c r="N403" t="s">
        <v>25</v>
      </c>
      <c r="O403">
        <v>9</v>
      </c>
      <c r="P403" t="s">
        <v>553</v>
      </c>
      <c r="Q403">
        <v>224</v>
      </c>
    </row>
    <row r="404" spans="1:17" x14ac:dyDescent="0.25">
      <c r="A404" t="s">
        <v>512</v>
      </c>
      <c r="B404" s="2">
        <f t="shared" ca="1" si="6"/>
        <v>46387</v>
      </c>
      <c r="C404" t="s">
        <v>616</v>
      </c>
      <c r="D404" s="1">
        <v>0</v>
      </c>
      <c r="E404" t="s">
        <v>841</v>
      </c>
      <c r="F404" t="s">
        <v>43</v>
      </c>
      <c r="G404" t="s">
        <v>22</v>
      </c>
      <c r="H404">
        <v>28</v>
      </c>
      <c r="I404">
        <v>1.8</v>
      </c>
      <c r="J404" t="s">
        <v>167</v>
      </c>
      <c r="K404">
        <v>943</v>
      </c>
      <c r="L404">
        <v>100</v>
      </c>
      <c r="M404" t="s">
        <v>55</v>
      </c>
      <c r="N404" t="s">
        <v>34</v>
      </c>
      <c r="O404">
        <v>4</v>
      </c>
      <c r="P404" t="s">
        <v>68</v>
      </c>
      <c r="Q404">
        <v>123</v>
      </c>
    </row>
    <row r="405" spans="1:17" x14ac:dyDescent="0.25">
      <c r="A405" t="s">
        <v>513</v>
      </c>
      <c r="B405" s="2">
        <f t="shared" ca="1" si="6"/>
        <v>46349</v>
      </c>
      <c r="C405" t="s">
        <v>842</v>
      </c>
      <c r="D405" s="1">
        <v>0</v>
      </c>
      <c r="E405" t="s">
        <v>90</v>
      </c>
      <c r="F405" t="s">
        <v>70</v>
      </c>
      <c r="G405" t="s">
        <v>54</v>
      </c>
      <c r="H405">
        <v>40</v>
      </c>
      <c r="I405">
        <v>1.9</v>
      </c>
      <c r="J405" t="s">
        <v>751</v>
      </c>
      <c r="K405">
        <v>500</v>
      </c>
      <c r="L405">
        <v>0.1</v>
      </c>
      <c r="M405" t="s">
        <v>83</v>
      </c>
      <c r="N405" t="s">
        <v>34</v>
      </c>
      <c r="O405">
        <v>9</v>
      </c>
      <c r="P405" t="s">
        <v>30</v>
      </c>
    </row>
    <row r="406" spans="1:17" x14ac:dyDescent="0.25">
      <c r="A406" t="s">
        <v>514</v>
      </c>
      <c r="B406" s="2">
        <f t="shared" ca="1" si="6"/>
        <v>46099</v>
      </c>
      <c r="C406" t="s">
        <v>772</v>
      </c>
      <c r="D406" s="1">
        <v>0</v>
      </c>
      <c r="E406" t="s">
        <v>31</v>
      </c>
      <c r="F406" t="s">
        <v>39</v>
      </c>
      <c r="G406" t="s">
        <v>44</v>
      </c>
      <c r="H406">
        <v>43</v>
      </c>
      <c r="I406">
        <v>2.2999999999999998</v>
      </c>
      <c r="J406" t="s">
        <v>604</v>
      </c>
      <c r="K406">
        <v>465</v>
      </c>
      <c r="L406">
        <v>150</v>
      </c>
      <c r="M406" t="s">
        <v>55</v>
      </c>
      <c r="N406" t="s">
        <v>25</v>
      </c>
      <c r="O406">
        <v>3</v>
      </c>
      <c r="P406" t="s">
        <v>68</v>
      </c>
      <c r="Q406">
        <v>164</v>
      </c>
    </row>
    <row r="407" spans="1:17" x14ac:dyDescent="0.25">
      <c r="A407" t="s">
        <v>515</v>
      </c>
      <c r="B407" s="2">
        <f t="shared" ca="1" si="6"/>
        <v>46073</v>
      </c>
      <c r="C407" t="s">
        <v>700</v>
      </c>
      <c r="D407" s="1">
        <v>0</v>
      </c>
      <c r="E407" t="s">
        <v>577</v>
      </c>
      <c r="F407" t="s">
        <v>32</v>
      </c>
      <c r="G407" t="s">
        <v>22</v>
      </c>
      <c r="H407">
        <v>33</v>
      </c>
      <c r="I407">
        <v>3.6</v>
      </c>
      <c r="J407" t="s">
        <v>780</v>
      </c>
      <c r="K407">
        <v>1064</v>
      </c>
      <c r="L407">
        <v>0.15</v>
      </c>
      <c r="M407" t="s">
        <v>550</v>
      </c>
      <c r="N407" t="s">
        <v>48</v>
      </c>
      <c r="O407">
        <v>1</v>
      </c>
      <c r="P407" t="s">
        <v>553</v>
      </c>
      <c r="Q407">
        <v>22</v>
      </c>
    </row>
    <row r="408" spans="1:17" x14ac:dyDescent="0.25">
      <c r="A408" t="s">
        <v>516</v>
      </c>
      <c r="B408" s="2">
        <f t="shared" ca="1" si="6"/>
        <v>46278</v>
      </c>
      <c r="C408" t="s">
        <v>664</v>
      </c>
      <c r="D408" s="1">
        <v>0</v>
      </c>
      <c r="E408" t="s">
        <v>27</v>
      </c>
      <c r="F408" t="s">
        <v>21</v>
      </c>
      <c r="G408" t="s">
        <v>29</v>
      </c>
      <c r="H408">
        <v>64</v>
      </c>
      <c r="I408">
        <v>1.3</v>
      </c>
      <c r="J408" t="s">
        <v>661</v>
      </c>
      <c r="K408">
        <v>905</v>
      </c>
      <c r="L408">
        <v>150</v>
      </c>
      <c r="M408" t="s">
        <v>550</v>
      </c>
      <c r="N408" t="s">
        <v>25</v>
      </c>
      <c r="O408">
        <v>3</v>
      </c>
      <c r="P408" t="s">
        <v>18</v>
      </c>
      <c r="Q408">
        <v>35</v>
      </c>
    </row>
    <row r="409" spans="1:17" x14ac:dyDescent="0.25">
      <c r="A409" t="s">
        <v>517</v>
      </c>
      <c r="B409" s="2">
        <f t="shared" ca="1" si="6"/>
        <v>46089</v>
      </c>
      <c r="C409" t="s">
        <v>781</v>
      </c>
      <c r="D409" s="1">
        <v>0.10069444444444445</v>
      </c>
      <c r="E409" t="s">
        <v>90</v>
      </c>
      <c r="F409" t="s">
        <v>75</v>
      </c>
      <c r="G409" t="s">
        <v>44</v>
      </c>
      <c r="H409">
        <v>47</v>
      </c>
      <c r="I409">
        <v>3.3</v>
      </c>
      <c r="J409" t="s">
        <v>602</v>
      </c>
      <c r="K409">
        <v>297</v>
      </c>
      <c r="L409">
        <v>50</v>
      </c>
      <c r="M409" t="s">
        <v>550</v>
      </c>
      <c r="N409" t="s">
        <v>25</v>
      </c>
      <c r="O409">
        <v>0</v>
      </c>
      <c r="P409" t="s">
        <v>68</v>
      </c>
      <c r="Q409">
        <v>96</v>
      </c>
    </row>
    <row r="410" spans="1:17" x14ac:dyDescent="0.25">
      <c r="A410" t="s">
        <v>518</v>
      </c>
      <c r="B410" s="2">
        <f t="shared" ca="1" si="6"/>
        <v>46194</v>
      </c>
      <c r="C410" t="s">
        <v>807</v>
      </c>
      <c r="D410" s="1">
        <v>0</v>
      </c>
      <c r="E410" t="s">
        <v>90</v>
      </c>
      <c r="F410" t="s">
        <v>116</v>
      </c>
      <c r="G410" t="s">
        <v>564</v>
      </c>
      <c r="H410">
        <v>64</v>
      </c>
      <c r="I410">
        <v>3.5</v>
      </c>
      <c r="J410" t="s">
        <v>222</v>
      </c>
      <c r="K410">
        <v>464</v>
      </c>
      <c r="L410">
        <v>75</v>
      </c>
      <c r="M410" t="s">
        <v>550</v>
      </c>
      <c r="N410" t="s">
        <v>48</v>
      </c>
      <c r="O410">
        <v>8</v>
      </c>
      <c r="P410" t="s">
        <v>18</v>
      </c>
      <c r="Q410">
        <v>59</v>
      </c>
    </row>
    <row r="411" spans="1:17" x14ac:dyDescent="0.25">
      <c r="A411" t="s">
        <v>519</v>
      </c>
      <c r="B411" s="2">
        <f t="shared" ca="1" si="6"/>
        <v>46250</v>
      </c>
      <c r="C411" t="s">
        <v>797</v>
      </c>
      <c r="D411" s="1">
        <v>0</v>
      </c>
      <c r="E411" t="s">
        <v>20</v>
      </c>
      <c r="F411" t="s">
        <v>75</v>
      </c>
      <c r="G411" t="s">
        <v>520</v>
      </c>
      <c r="H411">
        <v>18</v>
      </c>
      <c r="I411">
        <v>2.4</v>
      </c>
      <c r="J411" t="s">
        <v>675</v>
      </c>
      <c r="K411">
        <v>594</v>
      </c>
      <c r="L411">
        <v>0.2</v>
      </c>
      <c r="M411" t="s">
        <v>83</v>
      </c>
      <c r="N411" t="s">
        <v>25</v>
      </c>
      <c r="O411">
        <v>3</v>
      </c>
      <c r="P411" t="s">
        <v>41</v>
      </c>
      <c r="Q411">
        <v>12</v>
      </c>
    </row>
    <row r="412" spans="1:17" x14ac:dyDescent="0.25">
      <c r="A412" t="s">
        <v>521</v>
      </c>
      <c r="B412" s="2">
        <f t="shared" ca="1" si="6"/>
        <v>46137</v>
      </c>
      <c r="C412" t="s">
        <v>683</v>
      </c>
      <c r="D412" s="1">
        <v>0</v>
      </c>
      <c r="E412" t="s">
        <v>109</v>
      </c>
      <c r="F412" t="s">
        <v>47</v>
      </c>
      <c r="G412" t="s">
        <v>17</v>
      </c>
      <c r="H412">
        <v>43</v>
      </c>
      <c r="I412">
        <v>2.1</v>
      </c>
      <c r="J412" t="s">
        <v>565</v>
      </c>
      <c r="K412">
        <v>831</v>
      </c>
      <c r="L412">
        <v>0.2</v>
      </c>
      <c r="M412" t="s">
        <v>24</v>
      </c>
      <c r="N412" t="s">
        <v>48</v>
      </c>
      <c r="O412">
        <v>10</v>
      </c>
      <c r="P412" t="s">
        <v>30</v>
      </c>
      <c r="Q412">
        <v>153</v>
      </c>
    </row>
    <row r="413" spans="1:17" x14ac:dyDescent="0.25">
      <c r="A413" t="s">
        <v>522</v>
      </c>
      <c r="B413" s="2">
        <f t="shared" ca="1" si="6"/>
        <v>46028</v>
      </c>
      <c r="C413" t="s">
        <v>653</v>
      </c>
      <c r="D413" s="1">
        <v>0</v>
      </c>
      <c r="E413" t="s">
        <v>57</v>
      </c>
      <c r="F413" t="s">
        <v>70</v>
      </c>
      <c r="G413" t="s">
        <v>17</v>
      </c>
      <c r="H413">
        <v>54</v>
      </c>
      <c r="I413">
        <v>3.1</v>
      </c>
      <c r="J413" t="s">
        <v>780</v>
      </c>
      <c r="K413">
        <v>357</v>
      </c>
      <c r="L413">
        <v>120</v>
      </c>
      <c r="M413" t="s">
        <v>566</v>
      </c>
      <c r="N413" t="s">
        <v>25</v>
      </c>
      <c r="O413">
        <v>9</v>
      </c>
      <c r="P413" t="s">
        <v>68</v>
      </c>
      <c r="Q413">
        <v>179</v>
      </c>
    </row>
    <row r="414" spans="1:17" x14ac:dyDescent="0.25">
      <c r="A414" t="s">
        <v>523</v>
      </c>
      <c r="B414" s="2">
        <f t="shared" ca="1" si="6"/>
        <v>46224</v>
      </c>
      <c r="D414" s="1">
        <v>0</v>
      </c>
      <c r="E414" t="s">
        <v>564</v>
      </c>
      <c r="F414" t="s">
        <v>43</v>
      </c>
      <c r="G414" t="s">
        <v>78</v>
      </c>
      <c r="H414">
        <v>27</v>
      </c>
      <c r="I414">
        <v>4.5</v>
      </c>
      <c r="J414" t="s">
        <v>316</v>
      </c>
      <c r="K414">
        <v>393</v>
      </c>
      <c r="L414">
        <v>100</v>
      </c>
      <c r="M414" t="s">
        <v>60</v>
      </c>
      <c r="N414" t="s">
        <v>25</v>
      </c>
      <c r="O414">
        <v>1</v>
      </c>
      <c r="P414" t="s">
        <v>41</v>
      </c>
      <c r="Q414">
        <v>54</v>
      </c>
    </row>
    <row r="415" spans="1:17" x14ac:dyDescent="0.25">
      <c r="A415" t="s">
        <v>524</v>
      </c>
      <c r="B415" s="2">
        <f t="shared" ca="1" si="6"/>
        <v>46271</v>
      </c>
      <c r="C415" t="s">
        <v>574</v>
      </c>
      <c r="D415" s="1">
        <v>0</v>
      </c>
      <c r="E415" t="s">
        <v>53</v>
      </c>
      <c r="F415" t="s">
        <v>47</v>
      </c>
      <c r="G415" t="s">
        <v>22</v>
      </c>
      <c r="H415">
        <v>60</v>
      </c>
      <c r="I415">
        <v>1.1000000000000001</v>
      </c>
      <c r="J415" t="s">
        <v>377</v>
      </c>
      <c r="K415">
        <v>1209</v>
      </c>
      <c r="L415">
        <v>150</v>
      </c>
      <c r="M415" t="s">
        <v>564</v>
      </c>
      <c r="N415" t="s">
        <v>34</v>
      </c>
      <c r="O415">
        <v>7</v>
      </c>
      <c r="P415" t="s">
        <v>41</v>
      </c>
      <c r="Q415">
        <v>181</v>
      </c>
    </row>
    <row r="416" spans="1:17" x14ac:dyDescent="0.25">
      <c r="A416" t="s">
        <v>525</v>
      </c>
      <c r="B416" s="2">
        <f t="shared" ca="1" si="6"/>
        <v>46206</v>
      </c>
      <c r="C416" t="s">
        <v>728</v>
      </c>
      <c r="D416" s="1">
        <v>0</v>
      </c>
      <c r="E416" t="s">
        <v>57</v>
      </c>
      <c r="F416" t="s">
        <v>75</v>
      </c>
      <c r="G416" t="s">
        <v>81</v>
      </c>
      <c r="H416">
        <v>38</v>
      </c>
      <c r="I416">
        <v>2.5</v>
      </c>
      <c r="J416" t="s">
        <v>526</v>
      </c>
      <c r="K416">
        <v>2003</v>
      </c>
      <c r="L416">
        <v>0</v>
      </c>
      <c r="M416" t="s">
        <v>55</v>
      </c>
      <c r="N416" t="s">
        <v>25</v>
      </c>
      <c r="O416">
        <v>3</v>
      </c>
      <c r="P416" t="s">
        <v>30</v>
      </c>
      <c r="Q416">
        <v>29</v>
      </c>
    </row>
    <row r="417" spans="1:17" x14ac:dyDescent="0.25">
      <c r="A417" t="s">
        <v>556</v>
      </c>
      <c r="B417" s="2">
        <f t="shared" ca="1" si="6"/>
        <v>46252</v>
      </c>
      <c r="C417" t="s">
        <v>596</v>
      </c>
      <c r="D417" s="1">
        <v>0</v>
      </c>
      <c r="E417" t="s">
        <v>97</v>
      </c>
      <c r="F417" t="s">
        <v>47</v>
      </c>
      <c r="G417" t="s">
        <v>78</v>
      </c>
      <c r="H417">
        <v>18</v>
      </c>
      <c r="I417">
        <v>2.7</v>
      </c>
      <c r="J417" t="s">
        <v>729</v>
      </c>
      <c r="K417">
        <v>1907</v>
      </c>
      <c r="L417">
        <v>0</v>
      </c>
      <c r="M417" t="s">
        <v>55</v>
      </c>
      <c r="N417" t="s">
        <v>34</v>
      </c>
      <c r="O417">
        <v>5</v>
      </c>
      <c r="P417" t="s">
        <v>35</v>
      </c>
      <c r="Q417">
        <v>9</v>
      </c>
    </row>
    <row r="418" spans="1:17" x14ac:dyDescent="0.25">
      <c r="A418" t="s">
        <v>527</v>
      </c>
      <c r="B418" s="2">
        <f t="shared" ca="1" si="6"/>
        <v>46229</v>
      </c>
      <c r="C418" t="s">
        <v>843</v>
      </c>
      <c r="D418" s="1">
        <v>0</v>
      </c>
      <c r="E418" t="s">
        <v>662</v>
      </c>
      <c r="F418" t="s">
        <v>21</v>
      </c>
      <c r="G418" t="s">
        <v>29</v>
      </c>
      <c r="H418">
        <v>64</v>
      </c>
      <c r="I418">
        <v>4.3</v>
      </c>
      <c r="J418" t="s">
        <v>734</v>
      </c>
      <c r="K418">
        <v>1857</v>
      </c>
      <c r="L418">
        <v>100</v>
      </c>
      <c r="M418" t="s">
        <v>24</v>
      </c>
      <c r="N418" t="s">
        <v>25</v>
      </c>
      <c r="O418">
        <v>3</v>
      </c>
      <c r="P418" t="s">
        <v>68</v>
      </c>
      <c r="Q418">
        <v>99</v>
      </c>
    </row>
    <row r="419" spans="1:17" x14ac:dyDescent="0.25">
      <c r="A419" t="s">
        <v>528</v>
      </c>
      <c r="B419" s="2">
        <f t="shared" ca="1" si="6"/>
        <v>46319</v>
      </c>
      <c r="C419" t="s">
        <v>844</v>
      </c>
      <c r="D419" s="1">
        <v>0.66666666666666663</v>
      </c>
      <c r="E419" t="s">
        <v>577</v>
      </c>
      <c r="F419" t="s">
        <v>16</v>
      </c>
      <c r="G419" t="s">
        <v>44</v>
      </c>
      <c r="H419">
        <v>64</v>
      </c>
      <c r="I419">
        <v>4.8</v>
      </c>
      <c r="J419" t="s">
        <v>606</v>
      </c>
      <c r="K419">
        <v>1194</v>
      </c>
      <c r="L419">
        <v>0</v>
      </c>
      <c r="M419" t="s">
        <v>55</v>
      </c>
      <c r="N419" t="s">
        <v>25</v>
      </c>
      <c r="O419">
        <v>6</v>
      </c>
      <c r="P419" t="s">
        <v>553</v>
      </c>
    </row>
    <row r="420" spans="1:17" x14ac:dyDescent="0.25">
      <c r="A420" t="s">
        <v>529</v>
      </c>
      <c r="B420" s="2">
        <f t="shared" ca="1" si="6"/>
        <v>46282</v>
      </c>
      <c r="C420" t="s">
        <v>637</v>
      </c>
      <c r="D420" s="1">
        <v>0</v>
      </c>
      <c r="E420" t="s">
        <v>66</v>
      </c>
      <c r="F420" t="s">
        <v>47</v>
      </c>
      <c r="G420" t="s">
        <v>63</v>
      </c>
      <c r="H420">
        <v>25</v>
      </c>
      <c r="I420">
        <v>1.7</v>
      </c>
      <c r="J420" t="s">
        <v>493</v>
      </c>
      <c r="K420">
        <v>2370</v>
      </c>
      <c r="L420">
        <v>0.6</v>
      </c>
      <c r="M420" t="s">
        <v>566</v>
      </c>
      <c r="N420" t="s">
        <v>48</v>
      </c>
      <c r="O420">
        <v>6</v>
      </c>
      <c r="P420" t="s">
        <v>553</v>
      </c>
      <c r="Q420">
        <v>133</v>
      </c>
    </row>
    <row r="421" spans="1:17" x14ac:dyDescent="0.25">
      <c r="A421" t="s">
        <v>530</v>
      </c>
      <c r="B421" s="2">
        <f t="shared" ca="1" si="6"/>
        <v>46050</v>
      </c>
      <c r="C421" t="s">
        <v>643</v>
      </c>
      <c r="D421" s="1">
        <v>2.0833333333333333E-3</v>
      </c>
      <c r="E421" t="s">
        <v>53</v>
      </c>
      <c r="F421" t="s">
        <v>16</v>
      </c>
      <c r="G421" t="s">
        <v>63</v>
      </c>
      <c r="H421">
        <v>18</v>
      </c>
      <c r="I421">
        <v>4.4000000000000004</v>
      </c>
      <c r="J421" t="s">
        <v>630</v>
      </c>
      <c r="K421">
        <v>1943</v>
      </c>
      <c r="L421">
        <v>0</v>
      </c>
      <c r="M421" t="s">
        <v>60</v>
      </c>
      <c r="N421" t="s">
        <v>25</v>
      </c>
      <c r="O421">
        <v>4</v>
      </c>
      <c r="P421" t="s">
        <v>30</v>
      </c>
      <c r="Q421">
        <v>24</v>
      </c>
    </row>
    <row r="422" spans="1:17" x14ac:dyDescent="0.25">
      <c r="A422" t="s">
        <v>531</v>
      </c>
      <c r="B422" s="2">
        <f t="shared" ca="1" si="6"/>
        <v>46107</v>
      </c>
      <c r="C422" t="s">
        <v>771</v>
      </c>
      <c r="D422" s="1">
        <v>0.91874999999999996</v>
      </c>
      <c r="E422" t="s">
        <v>577</v>
      </c>
      <c r="F422" t="s">
        <v>16</v>
      </c>
      <c r="G422" t="s">
        <v>22</v>
      </c>
      <c r="H422">
        <v>27</v>
      </c>
      <c r="I422">
        <v>4.3</v>
      </c>
      <c r="J422" t="s">
        <v>845</v>
      </c>
      <c r="K422">
        <v>1903</v>
      </c>
      <c r="L422">
        <v>0</v>
      </c>
      <c r="M422" t="s">
        <v>24</v>
      </c>
      <c r="N422" t="s">
        <v>25</v>
      </c>
      <c r="O422">
        <v>1</v>
      </c>
      <c r="P422" t="s">
        <v>18</v>
      </c>
      <c r="Q422">
        <v>28</v>
      </c>
    </row>
    <row r="423" spans="1:17" x14ac:dyDescent="0.25">
      <c r="A423" t="s">
        <v>532</v>
      </c>
      <c r="B423" s="2">
        <f t="shared" ca="1" si="6"/>
        <v>46321</v>
      </c>
      <c r="C423" t="s">
        <v>683</v>
      </c>
      <c r="D423" s="1">
        <v>0</v>
      </c>
      <c r="E423" t="s">
        <v>31</v>
      </c>
      <c r="F423" t="s">
        <v>32</v>
      </c>
      <c r="G423" t="s">
        <v>63</v>
      </c>
      <c r="H423">
        <v>46</v>
      </c>
      <c r="I423">
        <v>3.8</v>
      </c>
      <c r="J423" t="s">
        <v>478</v>
      </c>
      <c r="K423">
        <v>1920</v>
      </c>
      <c r="L423">
        <v>50</v>
      </c>
      <c r="M423" t="s">
        <v>83</v>
      </c>
      <c r="N423" t="s">
        <v>25</v>
      </c>
      <c r="O423">
        <v>4</v>
      </c>
      <c r="P423" t="s">
        <v>30</v>
      </c>
      <c r="Q423">
        <v>166</v>
      </c>
    </row>
    <row r="424" spans="1:17" x14ac:dyDescent="0.25">
      <c r="A424" t="s">
        <v>533</v>
      </c>
      <c r="B424" s="2">
        <f t="shared" ca="1" si="6"/>
        <v>46037</v>
      </c>
      <c r="C424" t="s">
        <v>843</v>
      </c>
      <c r="D424" s="1">
        <v>0</v>
      </c>
      <c r="E424" t="s">
        <v>66</v>
      </c>
      <c r="F424" t="s">
        <v>16</v>
      </c>
      <c r="G424" t="s">
        <v>29</v>
      </c>
      <c r="H424">
        <v>52</v>
      </c>
      <c r="I424">
        <v>3.9</v>
      </c>
      <c r="J424" t="s">
        <v>361</v>
      </c>
      <c r="K424">
        <v>565</v>
      </c>
      <c r="L424">
        <v>0</v>
      </c>
      <c r="M424" t="s">
        <v>83</v>
      </c>
      <c r="N424" t="s">
        <v>25</v>
      </c>
      <c r="O424">
        <v>2</v>
      </c>
      <c r="P424" t="s">
        <v>564</v>
      </c>
      <c r="Q424">
        <v>169</v>
      </c>
    </row>
    <row r="425" spans="1:17" x14ac:dyDescent="0.25">
      <c r="A425" t="s">
        <v>534</v>
      </c>
      <c r="B425" s="2">
        <f t="shared" ca="1" si="6"/>
        <v>46286</v>
      </c>
      <c r="C425" t="s">
        <v>730</v>
      </c>
      <c r="D425" s="1">
        <v>0</v>
      </c>
      <c r="E425" t="s">
        <v>90</v>
      </c>
      <c r="F425" t="s">
        <v>116</v>
      </c>
      <c r="G425" t="s">
        <v>17</v>
      </c>
      <c r="H425">
        <v>52</v>
      </c>
      <c r="I425">
        <v>3.2</v>
      </c>
      <c r="J425" t="s">
        <v>742</v>
      </c>
      <c r="K425">
        <v>544</v>
      </c>
      <c r="L425">
        <v>150</v>
      </c>
      <c r="M425" t="s">
        <v>55</v>
      </c>
      <c r="N425" t="s">
        <v>25</v>
      </c>
      <c r="O425">
        <v>6</v>
      </c>
      <c r="P425" t="s">
        <v>41</v>
      </c>
      <c r="Q425">
        <v>68</v>
      </c>
    </row>
    <row r="426" spans="1:17" x14ac:dyDescent="0.25">
      <c r="A426" t="s">
        <v>535</v>
      </c>
      <c r="B426" s="2">
        <f t="shared" ca="1" si="6"/>
        <v>46210</v>
      </c>
      <c r="C426" t="s">
        <v>719</v>
      </c>
      <c r="D426" s="1">
        <v>0</v>
      </c>
      <c r="E426" t="s">
        <v>97</v>
      </c>
      <c r="F426" t="s">
        <v>43</v>
      </c>
      <c r="G426" t="s">
        <v>54</v>
      </c>
      <c r="H426">
        <v>55</v>
      </c>
      <c r="I426">
        <v>2.2000000000000002</v>
      </c>
      <c r="J426" t="s">
        <v>645</v>
      </c>
      <c r="K426">
        <v>1273</v>
      </c>
      <c r="L426">
        <v>120</v>
      </c>
      <c r="M426" t="s">
        <v>566</v>
      </c>
      <c r="N426" t="s">
        <v>48</v>
      </c>
      <c r="O426">
        <v>5</v>
      </c>
      <c r="P426" t="s">
        <v>18</v>
      </c>
      <c r="Q426">
        <v>121</v>
      </c>
    </row>
    <row r="427" spans="1:17" x14ac:dyDescent="0.25">
      <c r="A427" t="s">
        <v>536</v>
      </c>
      <c r="B427" s="2">
        <f t="shared" ca="1" si="6"/>
        <v>46198</v>
      </c>
      <c r="C427" t="s">
        <v>547</v>
      </c>
      <c r="D427" s="1">
        <v>0</v>
      </c>
      <c r="E427" t="s">
        <v>31</v>
      </c>
      <c r="F427" t="s">
        <v>70</v>
      </c>
      <c r="G427" t="s">
        <v>564</v>
      </c>
      <c r="H427">
        <v>18</v>
      </c>
      <c r="I427">
        <v>1.7</v>
      </c>
      <c r="J427" t="s">
        <v>645</v>
      </c>
      <c r="K427">
        <v>2204</v>
      </c>
      <c r="L427">
        <v>0.1</v>
      </c>
      <c r="M427" t="s">
        <v>571</v>
      </c>
      <c r="N427" t="s">
        <v>25</v>
      </c>
      <c r="O427">
        <v>9</v>
      </c>
      <c r="P427" t="s">
        <v>30</v>
      </c>
      <c r="Q427">
        <v>38</v>
      </c>
    </row>
    <row r="428" spans="1:17" x14ac:dyDescent="0.25">
      <c r="A428" t="s">
        <v>537</v>
      </c>
      <c r="B428" s="2">
        <f t="shared" ca="1" si="6"/>
        <v>46301</v>
      </c>
      <c r="C428" t="s">
        <v>843</v>
      </c>
      <c r="D428" s="1">
        <v>0</v>
      </c>
      <c r="E428" t="s">
        <v>90</v>
      </c>
      <c r="F428" t="s">
        <v>70</v>
      </c>
      <c r="G428" t="s">
        <v>78</v>
      </c>
      <c r="H428">
        <v>18</v>
      </c>
      <c r="I428">
        <v>2.8</v>
      </c>
      <c r="J428" t="s">
        <v>555</v>
      </c>
      <c r="K428">
        <v>232</v>
      </c>
      <c r="L428">
        <v>150</v>
      </c>
      <c r="M428" t="s">
        <v>566</v>
      </c>
      <c r="N428" t="s">
        <v>25</v>
      </c>
      <c r="O428">
        <v>6</v>
      </c>
      <c r="P428" t="s">
        <v>35</v>
      </c>
      <c r="Q428">
        <v>173</v>
      </c>
    </row>
    <row r="429" spans="1:17" x14ac:dyDescent="0.25">
      <c r="A429" t="s">
        <v>538</v>
      </c>
      <c r="B429" s="2">
        <f t="shared" ca="1" si="6"/>
        <v>46254</v>
      </c>
      <c r="C429" t="s">
        <v>638</v>
      </c>
      <c r="D429" s="1">
        <v>0</v>
      </c>
      <c r="E429" t="s">
        <v>601</v>
      </c>
      <c r="F429" t="s">
        <v>75</v>
      </c>
      <c r="G429" t="s">
        <v>564</v>
      </c>
      <c r="H429">
        <v>31</v>
      </c>
      <c r="I429">
        <v>4.5999999999999996</v>
      </c>
      <c r="J429" t="s">
        <v>404</v>
      </c>
      <c r="K429">
        <v>766</v>
      </c>
      <c r="L429">
        <v>75</v>
      </c>
      <c r="M429" t="s">
        <v>55</v>
      </c>
      <c r="N429" t="s">
        <v>48</v>
      </c>
      <c r="O429">
        <v>7</v>
      </c>
      <c r="P429" t="s">
        <v>68</v>
      </c>
      <c r="Q429">
        <v>45</v>
      </c>
    </row>
    <row r="430" spans="1:17" x14ac:dyDescent="0.25">
      <c r="A430" t="s">
        <v>539</v>
      </c>
      <c r="B430" s="2">
        <f t="shared" ca="1" si="6"/>
        <v>46188</v>
      </c>
      <c r="C430" t="s">
        <v>603</v>
      </c>
      <c r="D430" s="1">
        <v>0</v>
      </c>
      <c r="E430" t="s">
        <v>66</v>
      </c>
      <c r="F430" t="s">
        <v>39</v>
      </c>
      <c r="G430" t="s">
        <v>22</v>
      </c>
      <c r="H430">
        <v>19</v>
      </c>
      <c r="I430">
        <v>2.2000000000000002</v>
      </c>
      <c r="J430" t="s">
        <v>718</v>
      </c>
      <c r="K430">
        <v>1408</v>
      </c>
      <c r="L430">
        <v>0.6</v>
      </c>
      <c r="M430" t="s">
        <v>55</v>
      </c>
      <c r="N430" t="s">
        <v>34</v>
      </c>
      <c r="O430">
        <v>2</v>
      </c>
      <c r="P430" t="s">
        <v>30</v>
      </c>
      <c r="Q430">
        <v>8</v>
      </c>
    </row>
    <row r="431" spans="1:17" x14ac:dyDescent="0.25">
      <c r="A431" t="s">
        <v>540</v>
      </c>
      <c r="B431" s="2">
        <f t="shared" ca="1" si="6"/>
        <v>46383</v>
      </c>
      <c r="C431" t="s">
        <v>846</v>
      </c>
      <c r="D431" s="1">
        <v>4.1666666666666666E-3</v>
      </c>
      <c r="E431" t="s">
        <v>57</v>
      </c>
      <c r="F431" t="s">
        <v>21</v>
      </c>
      <c r="G431" t="s">
        <v>54</v>
      </c>
      <c r="H431">
        <v>64</v>
      </c>
      <c r="I431">
        <v>2.4</v>
      </c>
      <c r="J431" t="s">
        <v>623</v>
      </c>
      <c r="K431">
        <v>1439</v>
      </c>
      <c r="L431">
        <v>75</v>
      </c>
      <c r="M431" t="s">
        <v>55</v>
      </c>
      <c r="N431" t="s">
        <v>48</v>
      </c>
      <c r="O431">
        <v>8</v>
      </c>
      <c r="P431" t="s">
        <v>68</v>
      </c>
      <c r="Q431">
        <v>62</v>
      </c>
    </row>
    <row r="432" spans="1:17" x14ac:dyDescent="0.25">
      <c r="A432" t="s">
        <v>541</v>
      </c>
      <c r="B432" s="2">
        <f t="shared" ca="1" si="6"/>
        <v>46112</v>
      </c>
      <c r="C432" t="s">
        <v>749</v>
      </c>
      <c r="D432" s="1">
        <v>0</v>
      </c>
      <c r="E432" t="s">
        <v>20</v>
      </c>
      <c r="F432" t="s">
        <v>47</v>
      </c>
      <c r="G432" t="s">
        <v>17</v>
      </c>
      <c r="H432">
        <v>47</v>
      </c>
      <c r="I432">
        <v>3.3</v>
      </c>
      <c r="J432" t="s">
        <v>641</v>
      </c>
      <c r="K432">
        <v>595</v>
      </c>
      <c r="L432">
        <v>50</v>
      </c>
      <c r="M432" t="s">
        <v>550</v>
      </c>
      <c r="N432" t="s">
        <v>34</v>
      </c>
      <c r="O432">
        <v>2</v>
      </c>
      <c r="P432" t="s">
        <v>553</v>
      </c>
      <c r="Q432">
        <v>92</v>
      </c>
    </row>
    <row r="433" spans="1:17" x14ac:dyDescent="0.25">
      <c r="A433" t="s">
        <v>542</v>
      </c>
      <c r="B433" s="2">
        <f t="shared" ca="1" si="6"/>
        <v>46251</v>
      </c>
      <c r="C433" t="s">
        <v>773</v>
      </c>
      <c r="D433" s="1">
        <v>0</v>
      </c>
      <c r="E433" t="s">
        <v>109</v>
      </c>
      <c r="F433" t="s">
        <v>70</v>
      </c>
      <c r="G433" t="s">
        <v>17</v>
      </c>
      <c r="H433">
        <v>46</v>
      </c>
      <c r="I433">
        <v>2.6</v>
      </c>
      <c r="J433" t="s">
        <v>602</v>
      </c>
      <c r="K433">
        <v>2325</v>
      </c>
      <c r="L433">
        <v>120</v>
      </c>
      <c r="M433" t="s">
        <v>550</v>
      </c>
      <c r="N433" t="s">
        <v>25</v>
      </c>
      <c r="O433">
        <v>7</v>
      </c>
      <c r="P433" t="s">
        <v>35</v>
      </c>
      <c r="Q433">
        <v>165</v>
      </c>
    </row>
    <row r="434" spans="1:17" x14ac:dyDescent="0.25">
      <c r="A434" t="s">
        <v>543</v>
      </c>
      <c r="B434" s="2">
        <f t="shared" ca="1" si="6"/>
        <v>46040</v>
      </c>
      <c r="C434" t="s">
        <v>616</v>
      </c>
      <c r="D434" s="1">
        <v>0</v>
      </c>
      <c r="E434" t="s">
        <v>57</v>
      </c>
      <c r="F434" t="s">
        <v>58</v>
      </c>
      <c r="G434" t="s">
        <v>63</v>
      </c>
      <c r="H434">
        <v>52</v>
      </c>
      <c r="I434">
        <v>2.4</v>
      </c>
      <c r="J434" t="s">
        <v>469</v>
      </c>
      <c r="K434">
        <v>1384</v>
      </c>
      <c r="L434">
        <v>150</v>
      </c>
      <c r="M434" t="s">
        <v>60</v>
      </c>
      <c r="N434" t="s">
        <v>25</v>
      </c>
      <c r="O434">
        <v>5</v>
      </c>
      <c r="P434" t="s">
        <v>35</v>
      </c>
      <c r="Q434">
        <v>176</v>
      </c>
    </row>
    <row r="435" spans="1:17" x14ac:dyDescent="0.25">
      <c r="A435" t="s">
        <v>544</v>
      </c>
      <c r="B435" s="2">
        <f t="shared" ca="1" si="6"/>
        <v>46339</v>
      </c>
      <c r="C435" t="s">
        <v>847</v>
      </c>
      <c r="D435" s="1">
        <v>0.87430555555555556</v>
      </c>
      <c r="E435" t="s">
        <v>97</v>
      </c>
      <c r="F435" t="s">
        <v>21</v>
      </c>
      <c r="G435" t="s">
        <v>17</v>
      </c>
      <c r="H435">
        <v>29</v>
      </c>
      <c r="I435">
        <v>2.8</v>
      </c>
      <c r="J435" t="s">
        <v>758</v>
      </c>
      <c r="K435">
        <v>2072</v>
      </c>
      <c r="L435">
        <v>150</v>
      </c>
      <c r="M435" t="s">
        <v>83</v>
      </c>
      <c r="N435" t="s">
        <v>25</v>
      </c>
      <c r="O435">
        <v>5</v>
      </c>
      <c r="P435" t="s">
        <v>68</v>
      </c>
      <c r="Q435">
        <v>182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149FC-063F-419B-9B30-A4181A029580}">
  <dimension ref="A1:Y54"/>
  <sheetViews>
    <sheetView tabSelected="1" zoomScale="50" zoomScaleNormal="61" workbookViewId="0">
      <selection activeCell="AE7" sqref="AE7"/>
    </sheetView>
  </sheetViews>
  <sheetFormatPr defaultRowHeight="13.8" x14ac:dyDescent="0.25"/>
  <cols>
    <col min="12" max="12" width="8.69921875" customWidth="1"/>
    <col min="13" max="13" width="6.8984375" customWidth="1"/>
    <col min="17" max="17" width="8.796875" customWidth="1"/>
    <col min="18" max="18" width="0.59765625" customWidth="1"/>
  </cols>
  <sheetData>
    <row r="1" spans="1:25" ht="13.8" customHeight="1" x14ac:dyDescent="0.25">
      <c r="A1" s="14" t="s">
        <v>860</v>
      </c>
      <c r="B1" s="14"/>
      <c r="C1" s="14"/>
      <c r="D1" s="14"/>
      <c r="E1" s="14"/>
      <c r="F1" s="14"/>
      <c r="G1" s="14"/>
      <c r="H1" s="14"/>
      <c r="I1" s="14"/>
      <c r="J1" s="14"/>
      <c r="K1" s="14"/>
      <c r="L1" s="14"/>
      <c r="M1" s="14"/>
      <c r="N1" s="14"/>
      <c r="O1" s="14"/>
      <c r="P1" s="14"/>
      <c r="Q1" s="14"/>
      <c r="R1" s="14"/>
    </row>
    <row r="2" spans="1:25" ht="13.8" customHeight="1" x14ac:dyDescent="0.25">
      <c r="A2" s="14"/>
      <c r="B2" s="14"/>
      <c r="C2" s="14"/>
      <c r="D2" s="14"/>
      <c r="E2" s="14"/>
      <c r="F2" s="14"/>
      <c r="G2" s="14"/>
      <c r="H2" s="14"/>
      <c r="I2" s="14"/>
      <c r="J2" s="14"/>
      <c r="K2" s="14"/>
      <c r="L2" s="14"/>
      <c r="M2" s="14"/>
      <c r="N2" s="14"/>
      <c r="O2" s="14"/>
      <c r="P2" s="14"/>
      <c r="Q2" s="14"/>
      <c r="R2" s="14"/>
    </row>
    <row r="3" spans="1:25" ht="13.8" customHeight="1" x14ac:dyDescent="0.25">
      <c r="A3" s="14"/>
      <c r="B3" s="14"/>
      <c r="C3" s="14"/>
      <c r="D3" s="14"/>
      <c r="E3" s="14"/>
      <c r="F3" s="14"/>
      <c r="G3" s="14"/>
      <c r="H3" s="14"/>
      <c r="I3" s="14"/>
      <c r="J3" s="14"/>
      <c r="K3" s="14"/>
      <c r="L3" s="14"/>
      <c r="M3" s="14"/>
      <c r="N3" s="14"/>
      <c r="O3" s="14"/>
      <c r="P3" s="14"/>
      <c r="Q3" s="14"/>
      <c r="R3" s="14"/>
    </row>
    <row r="4" spans="1:25" ht="14.4" customHeight="1" x14ac:dyDescent="0.25">
      <c r="A4" s="8" t="s">
        <v>856</v>
      </c>
      <c r="B4" s="8"/>
      <c r="C4" s="5"/>
      <c r="D4" s="8" t="s">
        <v>857</v>
      </c>
      <c r="E4" s="8"/>
      <c r="F4" s="5"/>
      <c r="G4" s="8" t="s">
        <v>858</v>
      </c>
      <c r="H4" s="8"/>
      <c r="I4" s="5"/>
      <c r="J4" s="11" t="s">
        <v>859</v>
      </c>
      <c r="K4" s="11"/>
      <c r="L4" s="13"/>
      <c r="M4" s="13"/>
      <c r="N4" s="13"/>
      <c r="O4" s="13"/>
      <c r="P4" s="13"/>
      <c r="Q4" s="13"/>
      <c r="R4" s="5"/>
    </row>
    <row r="5" spans="1:25" ht="14.4" customHeight="1" x14ac:dyDescent="0.25">
      <c r="A5" s="8"/>
      <c r="B5" s="8"/>
      <c r="C5" s="5"/>
      <c r="D5" s="8"/>
      <c r="E5" s="8"/>
      <c r="F5" s="5"/>
      <c r="G5" s="8"/>
      <c r="H5" s="8"/>
      <c r="I5" s="5"/>
      <c r="J5" s="11"/>
      <c r="K5" s="11"/>
      <c r="L5" s="13"/>
      <c r="M5" s="13"/>
      <c r="N5" s="13"/>
      <c r="O5" s="13"/>
      <c r="P5" s="13"/>
      <c r="Q5" s="13"/>
      <c r="R5" s="5"/>
    </row>
    <row r="6" spans="1:25" ht="14.4" customHeight="1" x14ac:dyDescent="0.25">
      <c r="A6" s="8"/>
      <c r="B6" s="8"/>
      <c r="C6" s="5"/>
      <c r="D6" s="8"/>
      <c r="E6" s="8"/>
      <c r="F6" s="5"/>
      <c r="G6" s="8"/>
      <c r="H6" s="8"/>
      <c r="I6" s="5"/>
      <c r="J6" s="11"/>
      <c r="K6" s="11"/>
      <c r="L6" s="13"/>
      <c r="M6" s="13"/>
      <c r="N6" s="13"/>
      <c r="O6" s="13"/>
      <c r="P6" s="13"/>
      <c r="Q6" s="13"/>
      <c r="R6" s="5"/>
    </row>
    <row r="7" spans="1:25" ht="18" customHeight="1" x14ac:dyDescent="0.25">
      <c r="A7" s="9">
        <f>SUM('clean data zomato'!Q:Q)</f>
        <v>41867</v>
      </c>
      <c r="B7" s="9"/>
      <c r="C7" s="5"/>
      <c r="D7" s="10">
        <f>AVERAGE('clean data zomato'!L:L)</f>
        <v>51.118894009216604</v>
      </c>
      <c r="E7" s="10"/>
      <c r="F7" s="5"/>
      <c r="G7" s="10">
        <f>COUNTA('clean data zomato'!A:A)-1</f>
        <v>434</v>
      </c>
      <c r="H7" s="10"/>
      <c r="I7" s="5"/>
      <c r="J7" s="12">
        <f>AVERAGE('clean data zomato'!K:K)</f>
        <v>1260.8940092165899</v>
      </c>
      <c r="K7" s="12"/>
      <c r="L7" s="13"/>
      <c r="M7" s="13"/>
      <c r="N7" s="13"/>
      <c r="O7" s="13"/>
      <c r="P7" s="13"/>
      <c r="Q7" s="13"/>
      <c r="R7" s="5"/>
    </row>
    <row r="8" spans="1:25" x14ac:dyDescent="0.25">
      <c r="A8" s="9"/>
      <c r="B8" s="9"/>
      <c r="C8" s="5"/>
      <c r="D8" s="10"/>
      <c r="E8" s="10"/>
      <c r="F8" s="5"/>
      <c r="G8" s="10"/>
      <c r="H8" s="10"/>
      <c r="I8" s="5"/>
      <c r="J8" s="12"/>
      <c r="K8" s="12"/>
      <c r="L8" s="13"/>
      <c r="M8" s="13"/>
      <c r="N8" s="13"/>
      <c r="O8" s="13"/>
      <c r="P8" s="13"/>
      <c r="Q8" s="13"/>
      <c r="R8" s="5"/>
    </row>
    <row r="9" spans="1:25" x14ac:dyDescent="0.25">
      <c r="Y9" s="6"/>
    </row>
    <row r="54" spans="9:9" x14ac:dyDescent="0.25">
      <c r="I54" s="7"/>
    </row>
  </sheetData>
  <mergeCells count="10">
    <mergeCell ref="A1:R3"/>
    <mergeCell ref="A4:B6"/>
    <mergeCell ref="D4:E6"/>
    <mergeCell ref="G4:H6"/>
    <mergeCell ref="A7:B8"/>
    <mergeCell ref="D7:E8"/>
    <mergeCell ref="G7:H8"/>
    <mergeCell ref="J4:K6"/>
    <mergeCell ref="J7:K8"/>
    <mergeCell ref="L4:Q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F5966-7404-4C5E-9A15-72C9EB2E7CDA}">
  <dimension ref="A3:K26"/>
  <sheetViews>
    <sheetView topLeftCell="B2" workbookViewId="0">
      <selection activeCell="J10" sqref="J10"/>
    </sheetView>
  </sheetViews>
  <sheetFormatPr defaultRowHeight="13.8" x14ac:dyDescent="0.25"/>
  <cols>
    <col min="1" max="1" width="15.3984375" customWidth="1"/>
    <col min="2" max="2" width="12.3984375" customWidth="1"/>
    <col min="3" max="3" width="18.5" customWidth="1"/>
    <col min="4" max="4" width="13.69921875" bestFit="1" customWidth="1"/>
    <col min="5" max="5" width="13.5" bestFit="1" customWidth="1"/>
    <col min="6" max="6" width="15.3984375" customWidth="1"/>
    <col min="7" max="7" width="14.59765625" customWidth="1"/>
    <col min="8" max="8" width="16.796875" customWidth="1"/>
    <col min="9" max="9" width="15.69921875" customWidth="1"/>
    <col min="10" max="10" width="13.3984375" customWidth="1"/>
    <col min="11" max="11" width="18.5" customWidth="1"/>
  </cols>
  <sheetData>
    <row r="3" spans="1:11" x14ac:dyDescent="0.25">
      <c r="A3" s="3" t="s">
        <v>848</v>
      </c>
      <c r="B3" t="s">
        <v>849</v>
      </c>
      <c r="D3" s="3" t="s">
        <v>848</v>
      </c>
      <c r="E3" t="s">
        <v>849</v>
      </c>
      <c r="G3" s="3" t="s">
        <v>848</v>
      </c>
      <c r="H3" t="s">
        <v>849</v>
      </c>
      <c r="J3" s="3" t="s">
        <v>848</v>
      </c>
      <c r="K3" t="s">
        <v>852</v>
      </c>
    </row>
    <row r="4" spans="1:11" x14ac:dyDescent="0.25">
      <c r="A4" s="4" t="s">
        <v>571</v>
      </c>
      <c r="B4">
        <v>385</v>
      </c>
      <c r="D4" s="4" t="s">
        <v>34</v>
      </c>
      <c r="E4" s="15">
        <v>954</v>
      </c>
      <c r="G4" s="4" t="s">
        <v>68</v>
      </c>
      <c r="H4">
        <v>7775</v>
      </c>
      <c r="J4" s="4" t="s">
        <v>21</v>
      </c>
      <c r="K4">
        <v>57237</v>
      </c>
    </row>
    <row r="5" spans="1:11" x14ac:dyDescent="0.25">
      <c r="A5" s="4" t="s">
        <v>566</v>
      </c>
      <c r="B5">
        <v>5519</v>
      </c>
      <c r="D5" s="4" t="s">
        <v>25</v>
      </c>
      <c r="E5" s="15">
        <v>3354</v>
      </c>
      <c r="G5" s="4" t="s">
        <v>35</v>
      </c>
      <c r="H5">
        <v>6944</v>
      </c>
      <c r="J5" s="4" t="s">
        <v>39</v>
      </c>
      <c r="K5">
        <v>52956</v>
      </c>
    </row>
    <row r="6" spans="1:11" x14ac:dyDescent="0.25">
      <c r="A6" s="4" t="s">
        <v>701</v>
      </c>
      <c r="B6">
        <v>68</v>
      </c>
      <c r="D6" s="4" t="s">
        <v>48</v>
      </c>
      <c r="E6" s="15">
        <v>571</v>
      </c>
      <c r="G6" s="4" t="s">
        <v>553</v>
      </c>
      <c r="H6">
        <v>6060</v>
      </c>
      <c r="J6" s="4" t="s">
        <v>28</v>
      </c>
      <c r="K6">
        <v>1739</v>
      </c>
    </row>
    <row r="7" spans="1:11" x14ac:dyDescent="0.25">
      <c r="A7" s="4" t="s">
        <v>55</v>
      </c>
      <c r="B7">
        <v>6978</v>
      </c>
      <c r="D7" s="4" t="s">
        <v>564</v>
      </c>
      <c r="E7" s="15">
        <v>33</v>
      </c>
      <c r="G7" s="4" t="s">
        <v>41</v>
      </c>
      <c r="H7">
        <v>5228</v>
      </c>
      <c r="J7" s="4" t="s">
        <v>196</v>
      </c>
      <c r="K7">
        <v>6914</v>
      </c>
    </row>
    <row r="8" spans="1:11" x14ac:dyDescent="0.25">
      <c r="A8" s="4" t="s">
        <v>60</v>
      </c>
      <c r="B8">
        <v>6982</v>
      </c>
      <c r="D8" s="4" t="s">
        <v>850</v>
      </c>
      <c r="E8" s="15">
        <v>4912</v>
      </c>
      <c r="G8" s="4" t="s">
        <v>30</v>
      </c>
      <c r="H8">
        <v>7474</v>
      </c>
      <c r="J8" s="4" t="s">
        <v>413</v>
      </c>
      <c r="K8">
        <v>3990</v>
      </c>
    </row>
    <row r="9" spans="1:11" x14ac:dyDescent="0.25">
      <c r="A9" s="4" t="s">
        <v>83</v>
      </c>
      <c r="B9">
        <v>5295</v>
      </c>
      <c r="G9" s="4" t="s">
        <v>564</v>
      </c>
      <c r="H9">
        <v>2142</v>
      </c>
      <c r="J9" s="4" t="s">
        <v>32</v>
      </c>
      <c r="K9">
        <v>38891</v>
      </c>
    </row>
    <row r="10" spans="1:11" x14ac:dyDescent="0.25">
      <c r="A10" s="4" t="s">
        <v>564</v>
      </c>
      <c r="B10">
        <v>1847</v>
      </c>
      <c r="G10" s="4" t="s">
        <v>18</v>
      </c>
      <c r="H10">
        <v>6244</v>
      </c>
      <c r="J10" s="4" t="s">
        <v>16</v>
      </c>
      <c r="K10">
        <v>49771</v>
      </c>
    </row>
    <row r="11" spans="1:11" x14ac:dyDescent="0.25">
      <c r="A11" s="4" t="s">
        <v>550</v>
      </c>
      <c r="B11">
        <v>7958</v>
      </c>
      <c r="G11" s="4" t="s">
        <v>850</v>
      </c>
      <c r="H11">
        <v>41867</v>
      </c>
      <c r="J11" s="4" t="s">
        <v>47</v>
      </c>
      <c r="K11">
        <v>55512</v>
      </c>
    </row>
    <row r="12" spans="1:11" x14ac:dyDescent="0.25">
      <c r="A12" s="4" t="s">
        <v>24</v>
      </c>
      <c r="B12">
        <v>6835</v>
      </c>
      <c r="J12" s="4" t="s">
        <v>70</v>
      </c>
      <c r="K12">
        <v>54372</v>
      </c>
    </row>
    <row r="13" spans="1:11" x14ac:dyDescent="0.25">
      <c r="A13" s="4" t="s">
        <v>850</v>
      </c>
      <c r="B13">
        <v>41867</v>
      </c>
      <c r="J13" s="4" t="s">
        <v>43</v>
      </c>
      <c r="K13">
        <v>59436</v>
      </c>
    </row>
    <row r="14" spans="1:11" x14ac:dyDescent="0.25">
      <c r="J14" s="4" t="s">
        <v>116</v>
      </c>
      <c r="K14">
        <v>53286</v>
      </c>
    </row>
    <row r="15" spans="1:11" x14ac:dyDescent="0.25">
      <c r="J15" s="4" t="s">
        <v>75</v>
      </c>
      <c r="K15">
        <v>57284</v>
      </c>
    </row>
    <row r="16" spans="1:11" x14ac:dyDescent="0.25">
      <c r="A16" s="3" t="s">
        <v>848</v>
      </c>
      <c r="B16" s="3" t="s">
        <v>851</v>
      </c>
      <c r="C16" t="s">
        <v>852</v>
      </c>
      <c r="D16" t="s">
        <v>853</v>
      </c>
      <c r="F16" s="3" t="s">
        <v>848</v>
      </c>
      <c r="G16" s="3" t="s">
        <v>853</v>
      </c>
      <c r="H16" t="s">
        <v>854</v>
      </c>
      <c r="I16" t="s">
        <v>855</v>
      </c>
      <c r="J16" s="4" t="s">
        <v>58</v>
      </c>
      <c r="K16">
        <v>45942</v>
      </c>
    </row>
    <row r="17" spans="1:11" x14ac:dyDescent="0.25">
      <c r="A17" s="4" t="s">
        <v>34</v>
      </c>
      <c r="B17">
        <v>3131</v>
      </c>
      <c r="C17">
        <v>105737</v>
      </c>
      <c r="D17">
        <v>439</v>
      </c>
      <c r="F17" s="4" t="s">
        <v>571</v>
      </c>
      <c r="G17">
        <v>42</v>
      </c>
      <c r="H17">
        <v>8</v>
      </c>
      <c r="I17">
        <v>55</v>
      </c>
      <c r="J17" s="4" t="s">
        <v>564</v>
      </c>
      <c r="K17">
        <v>9898</v>
      </c>
    </row>
    <row r="18" spans="1:11" x14ac:dyDescent="0.25">
      <c r="A18" s="4" t="s">
        <v>25</v>
      </c>
      <c r="B18">
        <v>10395</v>
      </c>
      <c r="C18">
        <v>316525</v>
      </c>
      <c r="D18">
        <v>1356</v>
      </c>
      <c r="F18" s="4" t="s">
        <v>566</v>
      </c>
      <c r="G18">
        <v>299</v>
      </c>
      <c r="H18">
        <v>55</v>
      </c>
      <c r="I18">
        <v>108.21568627450981</v>
      </c>
      <c r="J18" s="4" t="s">
        <v>850</v>
      </c>
      <c r="K18">
        <v>547228</v>
      </c>
    </row>
    <row r="19" spans="1:11" x14ac:dyDescent="0.25">
      <c r="A19" s="4" t="s">
        <v>812</v>
      </c>
      <c r="B19">
        <v>109</v>
      </c>
      <c r="C19">
        <v>3636</v>
      </c>
      <c r="D19">
        <v>12</v>
      </c>
      <c r="F19" s="4" t="s">
        <v>701</v>
      </c>
      <c r="G19">
        <v>12</v>
      </c>
      <c r="H19">
        <v>2</v>
      </c>
      <c r="I19">
        <v>34</v>
      </c>
    </row>
    <row r="20" spans="1:11" x14ac:dyDescent="0.25">
      <c r="A20" s="4" t="s">
        <v>551</v>
      </c>
      <c r="B20">
        <v>303</v>
      </c>
      <c r="C20">
        <v>7058</v>
      </c>
      <c r="D20">
        <v>21</v>
      </c>
      <c r="F20" s="4" t="s">
        <v>55</v>
      </c>
      <c r="G20">
        <v>393</v>
      </c>
      <c r="H20">
        <v>75</v>
      </c>
      <c r="I20">
        <v>99.685714285714283</v>
      </c>
    </row>
    <row r="21" spans="1:11" x14ac:dyDescent="0.25">
      <c r="A21" s="4" t="s">
        <v>585</v>
      </c>
      <c r="B21">
        <v>179</v>
      </c>
      <c r="C21">
        <v>3871</v>
      </c>
      <c r="D21">
        <v>29</v>
      </c>
      <c r="F21" s="4" t="s">
        <v>60</v>
      </c>
      <c r="G21">
        <v>337</v>
      </c>
      <c r="H21">
        <v>70</v>
      </c>
      <c r="I21">
        <v>112.61290322580645</v>
      </c>
    </row>
    <row r="22" spans="1:11" x14ac:dyDescent="0.25">
      <c r="A22" s="4" t="s">
        <v>48</v>
      </c>
      <c r="B22">
        <v>2951</v>
      </c>
      <c r="C22">
        <v>94272</v>
      </c>
      <c r="D22">
        <v>401</v>
      </c>
      <c r="F22" s="4" t="s">
        <v>83</v>
      </c>
      <c r="G22">
        <v>309</v>
      </c>
      <c r="H22">
        <v>57</v>
      </c>
      <c r="I22">
        <v>94.553571428571431</v>
      </c>
    </row>
    <row r="23" spans="1:11" x14ac:dyDescent="0.25">
      <c r="A23" s="4" t="s">
        <v>564</v>
      </c>
      <c r="B23">
        <v>581</v>
      </c>
      <c r="C23">
        <v>16129</v>
      </c>
      <c r="D23">
        <v>37</v>
      </c>
      <c r="F23" s="4" t="s">
        <v>564</v>
      </c>
      <c r="G23">
        <v>98</v>
      </c>
      <c r="H23">
        <v>18</v>
      </c>
      <c r="I23">
        <v>115.4375</v>
      </c>
    </row>
    <row r="24" spans="1:11" x14ac:dyDescent="0.25">
      <c r="A24" s="4" t="s">
        <v>850</v>
      </c>
      <c r="B24">
        <v>17649</v>
      </c>
      <c r="C24">
        <v>547228</v>
      </c>
      <c r="D24">
        <v>2295</v>
      </c>
      <c r="F24" s="4" t="s">
        <v>550</v>
      </c>
      <c r="G24">
        <v>457</v>
      </c>
      <c r="H24">
        <v>82</v>
      </c>
      <c r="I24">
        <v>102.02564102564102</v>
      </c>
    </row>
    <row r="25" spans="1:11" x14ac:dyDescent="0.25">
      <c r="F25" s="4" t="s">
        <v>24</v>
      </c>
      <c r="G25">
        <v>348</v>
      </c>
      <c r="H25">
        <v>67</v>
      </c>
      <c r="I25">
        <v>103.56060606060606</v>
      </c>
    </row>
    <row r="26" spans="1:11" x14ac:dyDescent="0.25">
      <c r="F26" s="4" t="s">
        <v>850</v>
      </c>
      <c r="G26">
        <v>2295</v>
      </c>
      <c r="H26">
        <v>434</v>
      </c>
      <c r="I26">
        <v>102.61519607843137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9DDE91-5EBF-4C8C-BE46-B3D21DD75F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 data zomato</vt:lpstr>
      <vt:lpstr>DASHBOARD</vt:lpstr>
      <vt:lpstr>PIVOT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Gupta</dc:creator>
  <cp:lastModifiedBy>Rahul Gupta</cp:lastModifiedBy>
  <dcterms:created xsi:type="dcterms:W3CDTF">2026-10-07T07:49:21Z</dcterms:created>
  <dcterms:modified xsi:type="dcterms:W3CDTF">2026-10-16T05:09:56Z</dcterms:modified>
</cp:coreProperties>
</file>