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a61a8d69ca00f6a1/my pic/Desktop/GAURAV/"/>
    </mc:Choice>
  </mc:AlternateContent>
  <xr:revisionPtr revIDLastSave="697" documentId="8_{DB1ACCCF-E379-4BE5-B574-B85E0FB69803}" xr6:coauthVersionLast="47" xr6:coauthVersionMax="47" xr10:uidLastSave="{5D20FFD7-ED84-4D49-9E5F-6E791B7F74A7}"/>
  <bookViews>
    <workbookView xWindow="-108" yWindow="-108" windowWidth="23256" windowHeight="12456" firstSheet="1" activeTab="3" xr2:uid="{D3FD498E-A12B-43A1-BE77-0FD47C7FE13E}"/>
  </bookViews>
  <sheets>
    <sheet name="hospital_patient_unclean_500" sheetId="1" r:id="rId1"/>
    <sheet name="HOSPITAL CLEAN DATA SET " sheetId="2" r:id="rId2"/>
    <sheet name="PIVOT TABLE" sheetId="3" r:id="rId3"/>
    <sheet name="DASHBOARD" sheetId="4" r:id="rId4"/>
  </sheets>
  <definedNames>
    <definedName name="ExternalData_1" localSheetId="1" hidden="1">'HOSPITAL CLEAN DATA SET '!$A$1:$O$376</definedName>
    <definedName name="Slicer_Department">#N/A</definedName>
    <definedName name="Slicer_Doctor">#N/A</definedName>
    <definedName name="Slicer_Patient_Name">#N/A</definedName>
    <definedName name="Slicer_Payment_Status">#N/A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4" l="1"/>
  <c r="K6" i="4"/>
  <c r="E6" i="4"/>
  <c r="B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436632-EA67-4E28-A97F-72CC500FAB9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<sst xmlns="http://schemas.openxmlformats.org/spreadsheetml/2006/main" count="9792" uniqueCount="1291">
  <si>
    <t>Patient_ID</t>
  </si>
  <si>
    <t>Patient_Name</t>
  </si>
  <si>
    <t>Age</t>
  </si>
  <si>
    <t>Gender</t>
  </si>
  <si>
    <t>City</t>
  </si>
  <si>
    <t>Department</t>
  </si>
  <si>
    <t>Doctor</t>
  </si>
  <si>
    <t>Admission_Date</t>
  </si>
  <si>
    <t>Discharge_Date</t>
  </si>
  <si>
    <t>Diagnosis</t>
  </si>
  <si>
    <t>Treatment</t>
  </si>
  <si>
    <t>Bill_Amount</t>
  </si>
  <si>
    <t>Insurance</t>
  </si>
  <si>
    <t>Payment_Status</t>
  </si>
  <si>
    <t>Patient_Status</t>
  </si>
  <si>
    <t>HOSP-10001</t>
  </si>
  <si>
    <t>Suresh Kumar</t>
  </si>
  <si>
    <t>Male</t>
  </si>
  <si>
    <t>Chennai</t>
  </si>
  <si>
    <t>Gastroenterology</t>
  </si>
  <si>
    <t>Dr. Randhir Sud</t>
  </si>
  <si>
    <t>05-18-2025 00:00</t>
  </si>
  <si>
    <t>Peptic Ulcer Bleeding</t>
  </si>
  <si>
    <t>Endoscopic Banding</t>
  </si>
  <si>
    <t>Star Health</t>
  </si>
  <si>
    <t>Partially Paid</t>
  </si>
  <si>
    <t>Expired</t>
  </si>
  <si>
    <t>HOSP-10002</t>
  </si>
  <si>
    <t>Ritu Singh</t>
  </si>
  <si>
    <t>F</t>
  </si>
  <si>
    <t>Oncology</t>
  </si>
  <si>
    <t>Dr. Suresh Advani</t>
  </si>
  <si>
    <t>Lung Adenocarcinoma</t>
  </si>
  <si>
    <t>Targeted Therapy</t>
  </si>
  <si>
    <t>None / Self Pay</t>
  </si>
  <si>
    <t>Disputed</t>
  </si>
  <si>
    <t>Discharged</t>
  </si>
  <si>
    <t>HOSP-10003</t>
  </si>
  <si>
    <t>Pooja Bose</t>
  </si>
  <si>
    <t>Jaipur</t>
  </si>
  <si>
    <t>General Medicine</t>
  </si>
  <si>
    <t>dr. anoop misra</t>
  </si>
  <si>
    <t>Dengue Fever with Thrombocytopenia</t>
  </si>
  <si>
    <t>Platelet Support</t>
  </si>
  <si>
    <t>HDFC ERGO</t>
  </si>
  <si>
    <t>Admitted</t>
  </si>
  <si>
    <t>PAT-135</t>
  </si>
  <si>
    <t>Neha Sharma</t>
  </si>
  <si>
    <t>female</t>
  </si>
  <si>
    <t>Bangalore</t>
  </si>
  <si>
    <t>Neurology</t>
  </si>
  <si>
    <t>Dr. P. N. Renjen</t>
  </si>
  <si>
    <t>Parkinson's Disease</t>
  </si>
  <si>
    <t>Levodopa Therapy</t>
  </si>
  <si>
    <t>Max Bupa</t>
  </si>
  <si>
    <t>Pending</t>
  </si>
  <si>
    <t>HOSP-10005</t>
  </si>
  <si>
    <t>Ananya Gupta</t>
  </si>
  <si>
    <t>Female</t>
  </si>
  <si>
    <t>Delhi</t>
  </si>
  <si>
    <t>Pediatrics</t>
  </si>
  <si>
    <t>Dr. Arvind Bagga</t>
  </si>
  <si>
    <t>Viral Gastroenteritis</t>
  </si>
  <si>
    <t>IV Fluids &amp; Electrolytes</t>
  </si>
  <si>
    <t>HOSP-10006</t>
  </si>
  <si>
    <t>Priya Mehta</t>
  </si>
  <si>
    <t>Anoop Misra</t>
  </si>
  <si>
    <t>Insulin Titration</t>
  </si>
  <si>
    <t>ICICI Lombard</t>
  </si>
  <si>
    <t>Paid</t>
  </si>
  <si>
    <t>HOSP-10007</t>
  </si>
  <si>
    <t>Manoj Verma</t>
  </si>
  <si>
    <t>Mumbai</t>
  </si>
  <si>
    <t>Gen. Med</t>
  </si>
  <si>
    <t>Claim Processing</t>
  </si>
  <si>
    <t>Discharged against Medical Advice</t>
  </si>
  <si>
    <t>HOSP-10008</t>
  </si>
  <si>
    <t>Vihaan Iyer</t>
  </si>
  <si>
    <t>Chandigarh</t>
  </si>
  <si>
    <t>Dr. Krishan Chugh</t>
  </si>
  <si>
    <t>02-28-2025 00:00</t>
  </si>
  <si>
    <t>Acute Bronchiolitis</t>
  </si>
  <si>
    <t>Nebulization &amp; O2 Support</t>
  </si>
  <si>
    <t>â‚¹51,199.60</t>
  </si>
  <si>
    <t>Care Health</t>
  </si>
  <si>
    <t>paid</t>
  </si>
  <si>
    <t>HOSP-10009</t>
  </si>
  <si>
    <t>Ritu Nair</t>
  </si>
  <si>
    <t>Colorectal Cancer</t>
  </si>
  <si>
    <t>Colectomy</t>
  </si>
  <si>
    <t>HOSP-10010</t>
  </si>
  <si>
    <t>Neha Iyer</t>
  </si>
  <si>
    <t>Dr. R. K. Singhal</t>
  </si>
  <si>
    <t>Urinary Tract Infection</t>
  </si>
  <si>
    <t>Antibiotic Course</t>
  </si>
  <si>
    <t>HOSP-10011</t>
  </si>
  <si>
    <t>Deepak Iyer</t>
  </si>
  <si>
    <t>Ahmedabad</t>
  </si>
  <si>
    <t>02-14-2025 00:00</t>
  </si>
  <si>
    <t>â‚¹220,027.81</t>
  </si>
  <si>
    <t>HOSP-10012</t>
  </si>
  <si>
    <t xml:space="preserve">  Diya Nair  </t>
  </si>
  <si>
    <t>Pune</t>
  </si>
  <si>
    <t>Cardiology</t>
  </si>
  <si>
    <t>Dr. Devi Shetty</t>
  </si>
  <si>
    <t>10-20-2025 00:00</t>
  </si>
  <si>
    <t>Myocardial Infarction</t>
  </si>
  <si>
    <t>THROMBOLYSIS</t>
  </si>
  <si>
    <t>HOSP-10013</t>
  </si>
  <si>
    <t>Meera Iyer</t>
  </si>
  <si>
    <t>Thrombolysis</t>
  </si>
  <si>
    <t>INR 278473.99</t>
  </si>
  <si>
    <t>Transferred</t>
  </si>
  <si>
    <t>HOSP-10015</t>
  </si>
  <si>
    <t>Kabir Patel</t>
  </si>
  <si>
    <t>Unspecified</t>
  </si>
  <si>
    <t>Hypertensive Crisis</t>
  </si>
  <si>
    <t>IV Labetalol</t>
  </si>
  <si>
    <t>Bajaj Allianz</t>
  </si>
  <si>
    <t>PAT-123</t>
  </si>
  <si>
    <t>Deepak Bose</t>
  </si>
  <si>
    <t>Dr. Vinod Raina</t>
  </si>
  <si>
    <t>Breast Carcinoma</t>
  </si>
  <si>
    <t>Chemotherapy &amp; Lumpectomy</t>
  </si>
  <si>
    <t>â‚¹18,589.99</t>
  </si>
  <si>
    <t>deceased</t>
  </si>
  <si>
    <t>HOSP-10017</t>
  </si>
  <si>
    <t>Dr. Subhash Gupta</t>
  </si>
  <si>
    <t>â‚¹121,300.98</t>
  </si>
  <si>
    <t>PID_1018</t>
  </si>
  <si>
    <t>Kavita Patel</t>
  </si>
  <si>
    <t>04-24-2025 00:00</t>
  </si>
  <si>
    <t>Severe Pneumonia</t>
  </si>
  <si>
    <t>IV Antibiotics</t>
  </si>
  <si>
    <t>DISCHARGED AGAINST MEDICAL ADVICE</t>
  </si>
  <si>
    <t>HOSP-10019</t>
  </si>
  <si>
    <t>Meera Reddy</t>
  </si>
  <si>
    <t>Hyderabad</t>
  </si>
  <si>
    <t>Dr. Naresh Trehan</t>
  </si>
  <si>
    <t>arrhythmia</t>
  </si>
  <si>
    <t>Pacemaker Implantation</t>
  </si>
  <si>
    <t>CLAIM_PENDING</t>
  </si>
  <si>
    <t>HOSP-10020</t>
  </si>
  <si>
    <t>Ananya Bose</t>
  </si>
  <si>
    <t>HOSP-10021</t>
  </si>
  <si>
    <t>Ritu Joshi</t>
  </si>
  <si>
    <t>Cardio</t>
  </si>
  <si>
    <t>04-21-2025 00:00</t>
  </si>
  <si>
    <t>â‚¹171,483.52</t>
  </si>
  <si>
    <t>HOSP-10022</t>
  </si>
  <si>
    <t>Manoj Kumar</t>
  </si>
  <si>
    <t>Liver Cirrhosis</t>
  </si>
  <si>
    <t>Paracentesis &amp; Diuretics</t>
  </si>
  <si>
    <t>HOSP-10023</t>
  </si>
  <si>
    <t>Vikram Mehta</t>
  </si>
  <si>
    <t>Kolkata</t>
  </si>
  <si>
    <t>Dr. Anoop Misra</t>
  </si>
  <si>
    <t>HOSP-10024</t>
  </si>
  <si>
    <t>Diya Reddy</t>
  </si>
  <si>
    <t>HOSP-10025</t>
  </si>
  <si>
    <t>Amit Nair</t>
  </si>
  <si>
    <t>06-14-2025 00:00</t>
  </si>
  <si>
    <t>N/A</t>
  </si>
  <si>
    <t>HOSP-10026</t>
  </si>
  <si>
    <t>Diya Patel</t>
  </si>
  <si>
    <t>Orthopedics</t>
  </si>
  <si>
    <t>Dr. Ramneek Mahajan</t>
  </si>
  <si>
    <t>10-15-2025 00:00</t>
  </si>
  <si>
    <t>Rotator Cuff Tear</t>
  </si>
  <si>
    <t>Arthroscopic Repair</t>
  </si>
  <si>
    <t>HOSP-10027</t>
  </si>
  <si>
    <t>Anita Iyer</t>
  </si>
  <si>
    <t>Dr. SKS Marya</t>
  </si>
  <si>
    <t>Lumbar Spondylosis</t>
  </si>
  <si>
    <t>Spinal Decompression</t>
  </si>
  <si>
    <t>HOSP-10028</t>
  </si>
  <si>
    <t>Sneha Kumar</t>
  </si>
  <si>
    <t>Dr. Veena Kalra</t>
  </si>
  <si>
    <t>HOSP-10029</t>
  </si>
  <si>
    <t>Vikram Patel</t>
  </si>
  <si>
    <t>hyderabad</t>
  </si>
  <si>
    <t>HOSP-10030</t>
  </si>
  <si>
    <t>ramesh nair</t>
  </si>
  <si>
    <t>Femur Fracture</t>
  </si>
  <si>
    <t>Internal Fixation</t>
  </si>
  <si>
    <t>HOSP-10031</t>
  </si>
  <si>
    <t>Kavita Singh</t>
  </si>
  <si>
    <t>Suresh Advani</t>
  </si>
  <si>
    <t>HOSP-10032</t>
  </si>
  <si>
    <t>Suresh Iyer</t>
  </si>
  <si>
    <t>Dr. Mukul Varma</t>
  </si>
  <si>
    <t>Acute Ischemic Stroke</t>
  </si>
  <si>
    <t>tPA Therapy</t>
  </si>
  <si>
    <t>INR 312331.51</t>
  </si>
  <si>
    <t>HOSP-10033</t>
  </si>
  <si>
    <t>Kavita Bose</t>
  </si>
  <si>
    <t>Dr. Govind Makharia</t>
  </si>
  <si>
    <t>02-24-2025 00:00</t>
  </si>
  <si>
    <t>DAMA</t>
  </si>
  <si>
    <t>PAT-105</t>
  </si>
  <si>
    <t>Amit Joshi</t>
  </si>
  <si>
    <t>dr. p. n. renjen</t>
  </si>
  <si>
    <t>06-21-2025 00:00</t>
  </si>
  <si>
    <t>epilepsy</t>
  </si>
  <si>
    <t>Anticonvulsant Therapy</t>
  </si>
  <si>
    <t>HOSP-10035</t>
  </si>
  <si>
    <t>Kabir Singh</t>
  </si>
  <si>
    <t>HOSP-10036</t>
  </si>
  <si>
    <t>Sneha Iyer</t>
  </si>
  <si>
    <t>dr. ashok seth</t>
  </si>
  <si>
    <t>HOSP-10037</t>
  </si>
  <si>
    <t>Ritu Patel</t>
  </si>
  <si>
    <t>Dr. Atul Gogia</t>
  </si>
  <si>
    <t>none</t>
  </si>
  <si>
    <t>HOSP-10038</t>
  </si>
  <si>
    <t>Deepak Joshi</t>
  </si>
  <si>
    <t>09-23-2025 00:00</t>
  </si>
  <si>
    <t>HOSP-10039</t>
  </si>
  <si>
    <t>05-26-2025 00:00</t>
  </si>
  <si>
    <t>Arrhythmia</t>
  </si>
  <si>
    <t>HOSP-10040</t>
  </si>
  <si>
    <t>ORTHOPEDICS</t>
  </si>
  <si>
    <t>Osteoarthritis Knee</t>
  </si>
  <si>
    <t>Total Knee Replacement</t>
  </si>
  <si>
    <t>â‚¹98,162.26</t>
  </si>
  <si>
    <t>HOSP-10041</t>
  </si>
  <si>
    <t>Rajesh Sharma</t>
  </si>
  <si>
    <t>Calcutta</t>
  </si>
  <si>
    <t>ONCOLOGY</t>
  </si>
  <si>
    <t>R-CHOP Regimen</t>
  </si>
  <si>
    <t>INR 255824.81</t>
  </si>
  <si>
    <t>HOSP-10042</t>
  </si>
  <si>
    <t>Ritu Sharma</t>
  </si>
  <si>
    <t>Gallstones / Cholecystitis</t>
  </si>
  <si>
    <t>Laparoscopic Cholecystectomy</t>
  </si>
  <si>
    <t>HOSP-10043</t>
  </si>
  <si>
    <t>Amit Iyer</t>
  </si>
  <si>
    <t>08-21-2025 00:00</t>
  </si>
  <si>
    <t>Type 2 Diabetes Uncontrolled</t>
  </si>
  <si>
    <t>HOSP-10044</t>
  </si>
  <si>
    <t>Amit Sharma</t>
  </si>
  <si>
    <t>HOSP-10045</t>
  </si>
  <si>
    <t>anjali nair</t>
  </si>
  <si>
    <t>HOSP-10046</t>
  </si>
  <si>
    <t>dr. harit chaturvedi</t>
  </si>
  <si>
    <t>07-26-2025 00:00</t>
  </si>
  <si>
    <t>Lymphoma</t>
  </si>
  <si>
    <t>HOSP-10047</t>
  </si>
  <si>
    <t>Meera Kumar</t>
  </si>
  <si>
    <t>Coronary Artery Disease</t>
  </si>
  <si>
    <t>Angioplasty</t>
  </si>
  <si>
    <t>PAT-131</t>
  </si>
  <si>
    <t xml:space="preserve">  Priya Verma  </t>
  </si>
  <si>
    <t>parkinson's disease</t>
  </si>
  <si>
    <t>PAT-113</t>
  </si>
  <si>
    <t>Neha Patel</t>
  </si>
  <si>
    <t>Dr. Harit Chaturvedi</t>
  </si>
  <si>
    <t>HOSP-10050</t>
  </si>
  <si>
    <t>Kabir Mehta</t>
  </si>
  <si>
    <t>dr. harshavardhan hegde</t>
  </si>
  <si>
    <t>DISCHARGED</t>
  </si>
  <si>
    <t>HOSP-10051</t>
  </si>
  <si>
    <t>Manoj Joshi</t>
  </si>
  <si>
    <t>Neonatal Jaundice</t>
  </si>
  <si>
    <t>Phototherapy</t>
  </si>
  <si>
    <t>disputed</t>
  </si>
  <si>
    <t>HOSP-10052</t>
  </si>
  <si>
    <t>HOSP-10053</t>
  </si>
  <si>
    <t>Deepak_Singh</t>
  </si>
  <si>
    <t>NEUROLOGY</t>
  </si>
  <si>
    <t>partially paid</t>
  </si>
  <si>
    <t>HOSP-10054</t>
  </si>
  <si>
    <t>Sunita Gupta</t>
  </si>
  <si>
    <t>INR 259400.48</t>
  </si>
  <si>
    <t>HOSP-10055</t>
  </si>
  <si>
    <t>Ramesh Bose</t>
  </si>
  <si>
    <t>â‚¹6,330.59</t>
  </si>
  <si>
    <t>HOSP-10056</t>
  </si>
  <si>
    <t>Vihaan Mehta</t>
  </si>
  <si>
    <t>03-21-2025 00:00</t>
  </si>
  <si>
    <t>HOSP-10057</t>
  </si>
  <si>
    <t>Meera Patel</t>
  </si>
  <si>
    <t>Paediatrics</t>
  </si>
  <si>
    <t>â‚¹117,856.84</t>
  </si>
  <si>
    <t>HOSP-10058</t>
  </si>
  <si>
    <t>Manoj Bose</t>
  </si>
  <si>
    <t>56 yrs</t>
  </si>
  <si>
    <t>M</t>
  </si>
  <si>
    <t>PID_1059</t>
  </si>
  <si>
    <t>Ananya Reddy</t>
  </si>
  <si>
    <t>HOSP-10060</t>
  </si>
  <si>
    <t>dr. naresh trehan</t>
  </si>
  <si>
    <t>12-15-2025 00:00</t>
  </si>
  <si>
    <t>12-26-2025 00:00</t>
  </si>
  <si>
    <t>Heart Failure</t>
  </si>
  <si>
    <t>ACE INHIBITORS &amp; DIURETICS</t>
  </si>
  <si>
    <t>HOSP-10061</t>
  </si>
  <si>
    <t>Ramesh Verma</t>
  </si>
  <si>
    <t>HOSP-10062</t>
  </si>
  <si>
    <t>Neha Singh</t>
  </si>
  <si>
    <t>Dr. Sushil Razdan</t>
  </si>
  <si>
    <t>HOSP-10063</t>
  </si>
  <si>
    <t>Dr. Harshavardhan Hegde</t>
  </si>
  <si>
    <t>03-16-2025 00:00</t>
  </si>
  <si>
    <t>INR 344150.43</t>
  </si>
  <si>
    <t>HOSP-10064</t>
  </si>
  <si>
    <t>Rohan Patel</t>
  </si>
  <si>
    <t>HOSP-10065</t>
  </si>
  <si>
    <t>10-21-2025 00:00</t>
  </si>
  <si>
    <t>HOSP-10066</t>
  </si>
  <si>
    <t>Sunita Nair</t>
  </si>
  <si>
    <t>â‚¹20,999.67</t>
  </si>
  <si>
    <t>HOSP-10067</t>
  </si>
  <si>
    <t>HOSP-10068</t>
  </si>
  <si>
    <t>Aarav Bose</t>
  </si>
  <si>
    <t>Epilepsy</t>
  </si>
  <si>
    <t>HOSP-10069</t>
  </si>
  <si>
    <t>Sneha Joshi</t>
  </si>
  <si>
    <t>HOSP-10070</t>
  </si>
  <si>
    <t>Anjali Verma</t>
  </si>
  <si>
    <t>HOSP-10071</t>
  </si>
  <si>
    <t>INR 343098.9</t>
  </si>
  <si>
    <t>HOSP-10072</t>
  </si>
  <si>
    <t>HOSP-10073</t>
  </si>
  <si>
    <t>Priya Nair</t>
  </si>
  <si>
    <t>â‚¹285,194.14</t>
  </si>
  <si>
    <t>PID_1074</t>
  </si>
  <si>
    <t>Ritu Iyer</t>
  </si>
  <si>
    <t>12-23-2025 00:00</t>
  </si>
  <si>
    <t>â‚¹212,529.26</t>
  </si>
  <si>
    <t>HOSP-10075</t>
  </si>
  <si>
    <t>Meera Mehta</t>
  </si>
  <si>
    <t>Migraine Chronic</t>
  </si>
  <si>
    <t>HOSP-10076</t>
  </si>
  <si>
    <t>Ritu Kumar</t>
  </si>
  <si>
    <t>12-16-2025 00:00</t>
  </si>
  <si>
    <t>ACE Inhibitors &amp; Diuretics</t>
  </si>
  <si>
    <t>HOSP-10077</t>
  </si>
  <si>
    <t>Kabir Verma</t>
  </si>
  <si>
    <t>male</t>
  </si>
  <si>
    <t>HOSP-10078</t>
  </si>
  <si>
    <t>HOSP-10079</t>
  </si>
  <si>
    <t>Priya Sharma</t>
  </si>
  <si>
    <t>HOSP-10080</t>
  </si>
  <si>
    <t>Ramesh Gupta</t>
  </si>
  <si>
    <t>Harit Chaturvedi</t>
  </si>
  <si>
    <t>HOSP-10081</t>
  </si>
  <si>
    <t>12-18-2025 00:00</t>
  </si>
  <si>
    <t>HOSP-10082</t>
  </si>
  <si>
    <t>Ritu_Kumar</t>
  </si>
  <si>
    <t>09-27-2025 00:00</t>
  </si>
  <si>
    <t>HOSP-10083</t>
  </si>
  <si>
    <t>HOSP-10084</t>
  </si>
  <si>
    <t>Suresh Mehta</t>
  </si>
  <si>
    <t>HOSP-10085</t>
  </si>
  <si>
    <t>Deepak Kumar</t>
  </si>
  <si>
    <t>INR 19666.78</t>
  </si>
  <si>
    <t>HOSP-10086</t>
  </si>
  <si>
    <t>Aditya Bose</t>
  </si>
  <si>
    <t>37 yrs</t>
  </si>
  <si>
    <t>ahmedabad</t>
  </si>
  <si>
    <t>11-21-2025 00:00</t>
  </si>
  <si>
    <t>HOSP-10087</t>
  </si>
  <si>
    <t>Suresh Singh</t>
  </si>
  <si>
    <t>HOSP-10088</t>
  </si>
  <si>
    <t>Ritu Mehta</t>
  </si>
  <si>
    <t>Acute Pancreatitis</t>
  </si>
  <si>
    <t>Conservative Management</t>
  </si>
  <si>
    <t>HOSP-10089</t>
  </si>
  <si>
    <t>pooja joshi</t>
  </si>
  <si>
    <t>HOSP-10090</t>
  </si>
  <si>
    <t>Rajesh Iyer</t>
  </si>
  <si>
    <t>HOSP-10091</t>
  </si>
  <si>
    <t>Aarav Verma</t>
  </si>
  <si>
    <t>HOSP-10092</t>
  </si>
  <si>
    <t>Ritu Bose</t>
  </si>
  <si>
    <t>HOSP-10093</t>
  </si>
  <si>
    <t>â‚¹240,187.30</t>
  </si>
  <si>
    <t>HOSP-10094</t>
  </si>
  <si>
    <t>Manoj Mehta</t>
  </si>
  <si>
    <t>04-18-2025 00:00</t>
  </si>
  <si>
    <t>HOSP-10095</t>
  </si>
  <si>
    <t>kavita iyer</t>
  </si>
  <si>
    <t>Botox Injection &amp; Triptans</t>
  </si>
  <si>
    <t>INR 307755.56</t>
  </si>
  <si>
    <t>HOSP-10096</t>
  </si>
  <si>
    <t>TOTAL KNEE REPLACEMENT</t>
  </si>
  <si>
    <t>HOSP-10097</t>
  </si>
  <si>
    <t>dr. randhir sud</t>
  </si>
  <si>
    <t>07-24-2025 00:00</t>
  </si>
  <si>
    <t>HOSP-10098</t>
  </si>
  <si>
    <t>Ananya Kumar</t>
  </si>
  <si>
    <t>11-19-2025 00:00</t>
  </si>
  <si>
    <t>HOSP-10099</t>
  </si>
  <si>
    <t>Pooja Reddy</t>
  </si>
  <si>
    <t>INR 281096.51</t>
  </si>
  <si>
    <t>HOSP-10100</t>
  </si>
  <si>
    <t>Diya Kumar</t>
  </si>
  <si>
    <t>ANTICONVULSANT THERAPY</t>
  </si>
  <si>
    <t>HOSP-10101</t>
  </si>
  <si>
    <t>HOSP-10102</t>
  </si>
  <si>
    <t>12-22-2025 00:00</t>
  </si>
  <si>
    <t>Priya Bose</t>
  </si>
  <si>
    <t>36 yrs</t>
  </si>
  <si>
    <t>07-27-2025 00:00</t>
  </si>
  <si>
    <t>HOSP-10104</t>
  </si>
  <si>
    <t>Neha Verma</t>
  </si>
  <si>
    <t>23 yrs</t>
  </si>
  <si>
    <t>12-30-2025 00:00</t>
  </si>
  <si>
    <t>HOSP-10105</t>
  </si>
  <si>
    <t>HOSP-10106</t>
  </si>
  <si>
    <t>Diya Bose</t>
  </si>
  <si>
    <t>05-24-2025 00:00</t>
  </si>
  <si>
    <t>migraine chronic</t>
  </si>
  <si>
    <t>INR 167966.45</t>
  </si>
  <si>
    <t>HOSP-10107</t>
  </si>
  <si>
    <t>Vikram Verma</t>
  </si>
  <si>
    <t>06-29-2025 00:00</t>
  </si>
  <si>
    <t>HOSP-10108</t>
  </si>
  <si>
    <t>â‚¹245,228.63</t>
  </si>
  <si>
    <t>HOSP-10109</t>
  </si>
  <si>
    <t>Sunita Singh</t>
  </si>
  <si>
    <t>06-19-2025 00:00</t>
  </si>
  <si>
    <t>06-20-2025 00:00</t>
  </si>
  <si>
    <t>HOSP-10110</t>
  </si>
  <si>
    <t>Rajesh Reddy</t>
  </si>
  <si>
    <t>01-15-2025 00:00</t>
  </si>
  <si>
    <t>HOSP-10111</t>
  </si>
  <si>
    <t>Ramesh Sharma</t>
  </si>
  <si>
    <t>01-14-2025 00:00</t>
  </si>
  <si>
    <t>HOSP-10112</t>
  </si>
  <si>
    <t>Rajesh Joshi</t>
  </si>
  <si>
    <t>10-23-2025 00:00</t>
  </si>
  <si>
    <t>HOSP-10113</t>
  </si>
  <si>
    <t>Diya Joshi</t>
  </si>
  <si>
    <t>HOSP-10114</t>
  </si>
  <si>
    <t>Anjali Joshi</t>
  </si>
  <si>
    <t>HOSP-10115</t>
  </si>
  <si>
    <t>Priya Reddy</t>
  </si>
  <si>
    <t>HOSP-10116</t>
  </si>
  <si>
    <t>Ramesh Mehta</t>
  </si>
  <si>
    <t>68 yrs</t>
  </si>
  <si>
    <t>kolkata</t>
  </si>
  <si>
    <t>peptic ulcer bleeding</t>
  </si>
  <si>
    <t>HOSP-10117</t>
  </si>
  <si>
    <t>Deepak Mehta</t>
  </si>
  <si>
    <t>HOSP-10118</t>
  </si>
  <si>
    <t>Deepak Singh</t>
  </si>
  <si>
    <t>ARTHROSCOPIC REPAIR</t>
  </si>
  <si>
    <t>HOSP-10119</t>
  </si>
  <si>
    <t>HOSP-10120</t>
  </si>
  <si>
    <t>INTERNAL FIXATION</t>
  </si>
  <si>
    <t>HOSP-10121</t>
  </si>
  <si>
    <t>01-23-2025 00:00</t>
  </si>
  <si>
    <t>HOSP-10122</t>
  </si>
  <si>
    <t>Dr. Ashok Seth</t>
  </si>
  <si>
    <t>HOSP-10123</t>
  </si>
  <si>
    <t>Suresh Verma</t>
  </si>
  <si>
    <t>07-19-2025 00:00</t>
  </si>
  <si>
    <t>discharged</t>
  </si>
  <si>
    <t>HOSP-10124</t>
  </si>
  <si>
    <t>Anjali Kumar</t>
  </si>
  <si>
    <t>HOSP-10125</t>
  </si>
  <si>
    <t>Kavita Iyer</t>
  </si>
  <si>
    <t>HOSP-10126</t>
  </si>
  <si>
    <t xml:space="preserve">  Amit Iyer  </t>
  </si>
  <si>
    <t>pune</t>
  </si>
  <si>
    <t>HOSP-10128</t>
  </si>
  <si>
    <t>Vihaan Gupta</t>
  </si>
  <si>
    <t>HOSP-10129</t>
  </si>
  <si>
    <t>Kabir_Mehta</t>
  </si>
  <si>
    <t>HOSP-10130</t>
  </si>
  <si>
    <t>dr. mukul varma</t>
  </si>
  <si>
    <t>â‚¹94,467.58</t>
  </si>
  <si>
    <t>HOSP-10131</t>
  </si>
  <si>
    <t>Manoj Patel</t>
  </si>
  <si>
    <t>HOSP-10132</t>
  </si>
  <si>
    <t>Diya_Singh</t>
  </si>
  <si>
    <t>HOSP-10133</t>
  </si>
  <si>
    <t>Vihaan Singh</t>
  </si>
  <si>
    <t>neonatal jaundice</t>
  </si>
  <si>
    <t>HOSP-10134</t>
  </si>
  <si>
    <t>Kavita Verma</t>
  </si>
  <si>
    <t>â‚¹141,900.42</t>
  </si>
  <si>
    <t>HOSP-10135</t>
  </si>
  <si>
    <t>07-18-2025 00:00</t>
  </si>
  <si>
    <t>â‚¹308,685.09</t>
  </si>
  <si>
    <t>HOSP-10136</t>
  </si>
  <si>
    <t>Priya Gupta</t>
  </si>
  <si>
    <t>HOSP-10137</t>
  </si>
  <si>
    <t>HOSP-10138</t>
  </si>
  <si>
    <t>Rohan Reddy</t>
  </si>
  <si>
    <t>05-21-2025 00:00</t>
  </si>
  <si>
    <t>HOSP-10139</t>
  </si>
  <si>
    <t>02-16-2025 00:00</t>
  </si>
  <si>
    <t>â‚¹88,523.45</t>
  </si>
  <si>
    <t>PAID</t>
  </si>
  <si>
    <t>HOSP-10140</t>
  </si>
  <si>
    <t>Vikram Nair</t>
  </si>
  <si>
    <t>â‚¹221,590.42</t>
  </si>
  <si>
    <t>HOSP-10141</t>
  </si>
  <si>
    <t>Vihaan Reddy</t>
  </si>
  <si>
    <t>delhi</t>
  </si>
  <si>
    <t>HOSP-10142</t>
  </si>
  <si>
    <t>Sneha Verma</t>
  </si>
  <si>
    <t>03-24-2025 00:00</t>
  </si>
  <si>
    <t>Anjali Nair</t>
  </si>
  <si>
    <t>HOSP-10144</t>
  </si>
  <si>
    <t>HOSP-10145</t>
  </si>
  <si>
    <t>vikram mehta</t>
  </si>
  <si>
    <t>chandigarh</t>
  </si>
  <si>
    <t>lumbar spondylosis</t>
  </si>
  <si>
    <t>HOSP-10146</t>
  </si>
  <si>
    <t>Rohan Sharma</t>
  </si>
  <si>
    <t>â‚¹347,176.11</t>
  </si>
  <si>
    <t>HOSP-10147</t>
  </si>
  <si>
    <t>Amit Mehta</t>
  </si>
  <si>
    <t>HOSP-10148</t>
  </si>
  <si>
    <t>Vikram Reddy</t>
  </si>
  <si>
    <t>HOSP-10149</t>
  </si>
  <si>
    <t>HOSP-10150</t>
  </si>
  <si>
    <t>Anita Verma</t>
  </si>
  <si>
    <t>HOSP-10151</t>
  </si>
  <si>
    <t>41 yrs</t>
  </si>
  <si>
    <t>03-13-2025 00:00</t>
  </si>
  <si>
    <t>HOSP-10152</t>
  </si>
  <si>
    <t>Kabir Iyer</t>
  </si>
  <si>
    <t>HOSP-10154</t>
  </si>
  <si>
    <t>Rajesh Singh</t>
  </si>
  <si>
    <t>HOSP-10155</t>
  </si>
  <si>
    <t>Kavita Sharma</t>
  </si>
  <si>
    <t>â‚¹319,545.57</t>
  </si>
  <si>
    <t>HOSP-10156</t>
  </si>
  <si>
    <t>Rajesh Kumar</t>
  </si>
  <si>
    <t>INR 288794.3</t>
  </si>
  <si>
    <t>HOSP-10157</t>
  </si>
  <si>
    <t>â‚¹216,146.47</t>
  </si>
  <si>
    <t>HOSP-10158</t>
  </si>
  <si>
    <t>Ananya Mehta</t>
  </si>
  <si>
    <t>ADMITTED</t>
  </si>
  <si>
    <t>HOSP-10159</t>
  </si>
  <si>
    <t>Pooja Nair</t>
  </si>
  <si>
    <t>HOSP-10160</t>
  </si>
  <si>
    <t>dr. r. k. singhal</t>
  </si>
  <si>
    <t>HOSP-10161</t>
  </si>
  <si>
    <t>Kavita Joshi</t>
  </si>
  <si>
    <t>HOSP-10162</t>
  </si>
  <si>
    <t>Pooja Singh</t>
  </si>
  <si>
    <t>HOSP-10163</t>
  </si>
  <si>
    <t>Anita Patel</t>
  </si>
  <si>
    <t>70 yrs</t>
  </si>
  <si>
    <t>INR 191669.61</t>
  </si>
  <si>
    <t>PID_1164</t>
  </si>
  <si>
    <t>Neha Joshi</t>
  </si>
  <si>
    <t>HOSP-10165</t>
  </si>
  <si>
    <t>HOSP-10166</t>
  </si>
  <si>
    <t>Ramesh Reddy</t>
  </si>
  <si>
    <t>06-26-2025 00:00</t>
  </si>
  <si>
    <t>HOSP-10167</t>
  </si>
  <si>
    <t>HOSP-10168</t>
  </si>
  <si>
    <t>Ananya Joshi</t>
  </si>
  <si>
    <t>HOSP-10169</t>
  </si>
  <si>
    <t>HOSP-10170</t>
  </si>
  <si>
    <t>Kavita Reddy</t>
  </si>
  <si>
    <t>HOSP-10171</t>
  </si>
  <si>
    <t>PID_1172</t>
  </si>
  <si>
    <t>Aditya Nair</t>
  </si>
  <si>
    <t>PEDIATRICS</t>
  </si>
  <si>
    <t>INR 47162.34</t>
  </si>
  <si>
    <t>claim processing</t>
  </si>
  <si>
    <t>HOSP-10173</t>
  </si>
  <si>
    <t>HOSP-10174</t>
  </si>
  <si>
    <t>PID_1175</t>
  </si>
  <si>
    <t>Rohan Joshi</t>
  </si>
  <si>
    <t>HOSP-10176</t>
  </si>
  <si>
    <t>HOSP-10177</t>
  </si>
  <si>
    <t>05-22-2025 00:00</t>
  </si>
  <si>
    <t>â‚¹110,842.75</t>
  </si>
  <si>
    <t>HOSP-10178</t>
  </si>
  <si>
    <t>Deepak Sharma</t>
  </si>
  <si>
    <t>HOSP-10179</t>
  </si>
  <si>
    <t>Ananya Singh</t>
  </si>
  <si>
    <t>01-19-2025 00:00</t>
  </si>
  <si>
    <t>â‚¹78,147.22</t>
  </si>
  <si>
    <t>HOSP-10180</t>
  </si>
  <si>
    <t>HOSP-10181</t>
  </si>
  <si>
    <t>Kabir Nair</t>
  </si>
  <si>
    <t>HOSP-10182</t>
  </si>
  <si>
    <t>SKS Marya</t>
  </si>
  <si>
    <t>HOSP-10183</t>
  </si>
  <si>
    <t>Ananya Nair</t>
  </si>
  <si>
    <t>PAT-117</t>
  </si>
  <si>
    <t>rajesh singh</t>
  </si>
  <si>
    <t>â‚¹340,229.70</t>
  </si>
  <si>
    <t>HOSP-10185</t>
  </si>
  <si>
    <t>Rohan Verma</t>
  </si>
  <si>
    <t>HOSP-10186</t>
  </si>
  <si>
    <t>HOSP-10187</t>
  </si>
  <si>
    <t>Pooja Joshi</t>
  </si>
  <si>
    <t>LAPAROSCOPIC CHOLECYSTECTOMY</t>
  </si>
  <si>
    <t>HOSP-10188</t>
  </si>
  <si>
    <t>Kabir Bose</t>
  </si>
  <si>
    <t>08-26-2025 00:00</t>
  </si>
  <si>
    <t>HOSP-10189</t>
  </si>
  <si>
    <t>02-23-2025 00:00</t>
  </si>
  <si>
    <t>HOSP-10190</t>
  </si>
  <si>
    <t>Sunita Joshi</t>
  </si>
  <si>
    <t>08-31-2025 00:00</t>
  </si>
  <si>
    <t>HOSP-10191</t>
  </si>
  <si>
    <t>HOSP-10192</t>
  </si>
  <si>
    <t>Kavita Mehta</t>
  </si>
  <si>
    <t>HOSP-10193</t>
  </si>
  <si>
    <t>Ramesh Singh</t>
  </si>
  <si>
    <t>HOSP-10194</t>
  </si>
  <si>
    <t>Vikram Joshi</t>
  </si>
  <si>
    <t>32 yrs</t>
  </si>
  <si>
    <t>01-25-2025 00:00</t>
  </si>
  <si>
    <t>01-31-2025 00:00</t>
  </si>
  <si>
    <t>HOSP-10195</t>
  </si>
  <si>
    <t>Kabir Joshi</t>
  </si>
  <si>
    <t>osteoarthritis knee</t>
  </si>
  <si>
    <t>HOSP-10196</t>
  </si>
  <si>
    <t>Aarav Gupta</t>
  </si>
  <si>
    <t>â‚¹272,521.56</t>
  </si>
  <si>
    <t>HOSP-10197</t>
  </si>
  <si>
    <t>Ramesh Joshi</t>
  </si>
  <si>
    <t>62 yrs</t>
  </si>
  <si>
    <t>INR 88182.91</t>
  </si>
  <si>
    <t>HOSP-10198</t>
  </si>
  <si>
    <t xml:space="preserve">  Kabir Nair  </t>
  </si>
  <si>
    <t>04-26-2025 00:00</t>
  </si>
  <si>
    <t>INR 184325.88</t>
  </si>
  <si>
    <t>pending</t>
  </si>
  <si>
    <t>in-patient</t>
  </si>
  <si>
    <t>HOSP-10199</t>
  </si>
  <si>
    <t>Aarav Patel</t>
  </si>
  <si>
    <t>HOSP-10200</t>
  </si>
  <si>
    <t>â‚¹330,817.42</t>
  </si>
  <si>
    <t>HOSP-10201</t>
  </si>
  <si>
    <t>Diya Sharma</t>
  </si>
  <si>
    <t>72 yrs</t>
  </si>
  <si>
    <t>HOSP-10202</t>
  </si>
  <si>
    <t>Suresh Reddy</t>
  </si>
  <si>
    <t>06-30-2025 00:00</t>
  </si>
  <si>
    <t>INR 197461.9</t>
  </si>
  <si>
    <t>HOSP-10203</t>
  </si>
  <si>
    <t>Rohan Singh</t>
  </si>
  <si>
    <t>HOSP-10204</t>
  </si>
  <si>
    <t>HOSP-10205</t>
  </si>
  <si>
    <t>Aarav Reddy</t>
  </si>
  <si>
    <t>GENERAL MEDICINE</t>
  </si>
  <si>
    <t>HOSP-10206</t>
  </si>
  <si>
    <t>Priya Joshi</t>
  </si>
  <si>
    <t>HOSP-10207</t>
  </si>
  <si>
    <t>06-18-2025 00:00</t>
  </si>
  <si>
    <t>HOSP-10208</t>
  </si>
  <si>
    <t>Priya Iyer</t>
  </si>
  <si>
    <t>HOSP-10209</t>
  </si>
  <si>
    <t>Arvind Bagga</t>
  </si>
  <si>
    <t>HOSP-10210</t>
  </si>
  <si>
    <t>Diya Iyer</t>
  </si>
  <si>
    <t>INR 141814.6</t>
  </si>
  <si>
    <t>HOSP-10212</t>
  </si>
  <si>
    <t>HOSP-10213</t>
  </si>
  <si>
    <t>Aarav Joshi</t>
  </si>
  <si>
    <t>40 yrs</t>
  </si>
  <si>
    <t>HOSP-10214</t>
  </si>
  <si>
    <t>Amit Bose</t>
  </si>
  <si>
    <t>â‚¹259,754.43</t>
  </si>
  <si>
    <t>HOSP-10215</t>
  </si>
  <si>
    <t>INR 43156.46</t>
  </si>
  <si>
    <t>HOSP-10216</t>
  </si>
  <si>
    <t>Neha Nair</t>
  </si>
  <si>
    <t>Vinod Raina</t>
  </si>
  <si>
    <t>HOSP-10217</t>
  </si>
  <si>
    <t>Vikram_Nair</t>
  </si>
  <si>
    <t>HOSP-10218</t>
  </si>
  <si>
    <t>24 yrs</t>
  </si>
  <si>
    <t>â‚¹289,092.03</t>
  </si>
  <si>
    <t>HOSP-10219</t>
  </si>
  <si>
    <t>Ananya Verma</t>
  </si>
  <si>
    <t>unpaid</t>
  </si>
  <si>
    <t>HOSP-10220</t>
  </si>
  <si>
    <t>Suresh Joshi</t>
  </si>
  <si>
    <t>PHOTOTHERAPY</t>
  </si>
  <si>
    <t>HOSP-10221</t>
  </si>
  <si>
    <t>rajesh verma</t>
  </si>
  <si>
    <t>02-15-2025 00:00</t>
  </si>
  <si>
    <t>HOSP-10222</t>
  </si>
  <si>
    <t>Anita Reddy</t>
  </si>
  <si>
    <t>HOSP-10223</t>
  </si>
  <si>
    <t>Diya Mehta</t>
  </si>
  <si>
    <t>jaipur</t>
  </si>
  <si>
    <t>SPINAL DECOMPRESSION</t>
  </si>
  <si>
    <t>HOSP-10224</t>
  </si>
  <si>
    <t>Anjali Reddy</t>
  </si>
  <si>
    <t>INR 288515.29</t>
  </si>
  <si>
    <t>HOSP-10225</t>
  </si>
  <si>
    <t>HOSP-10226</t>
  </si>
  <si>
    <t>Meera Joshi</t>
  </si>
  <si>
    <t>type 2 diabetes uncontrolled</t>
  </si>
  <si>
    <t>â‚¹64,734.19</t>
  </si>
  <si>
    <t>HOSP-10227</t>
  </si>
  <si>
    <t>INR 340459.81</t>
  </si>
  <si>
    <t>HOSP-10228</t>
  </si>
  <si>
    <t>HOSP-10229</t>
  </si>
  <si>
    <t>HOSP-10230</t>
  </si>
  <si>
    <t>Pooja Patel</t>
  </si>
  <si>
    <t>HOSP-10231</t>
  </si>
  <si>
    <t>Aditya Singh</t>
  </si>
  <si>
    <t>HOSP-10232</t>
  </si>
  <si>
    <t xml:space="preserve">  Ramesh Joshi  </t>
  </si>
  <si>
    <t>â‚¹44,700.19</t>
  </si>
  <si>
    <t>HOSP-10233</t>
  </si>
  <si>
    <t>06-22-2025 00:00</t>
  </si>
  <si>
    <t>HOSP-10234</t>
  </si>
  <si>
    <t>HOSP-10235</t>
  </si>
  <si>
    <t>â‚¹339,754.62</t>
  </si>
  <si>
    <t>HOSP-10236</t>
  </si>
  <si>
    <t>10-22-2025 00:00</t>
  </si>
  <si>
    <t>HOSP-10237</t>
  </si>
  <si>
    <t xml:space="preserve">  Priya Mehta  </t>
  </si>
  <si>
    <t>â‚¹293,518.03</t>
  </si>
  <si>
    <t>TRANSFERRED</t>
  </si>
  <si>
    <t>HOSP-10238</t>
  </si>
  <si>
    <t>HOSP-10239</t>
  </si>
  <si>
    <t>Amit Kumar</t>
  </si>
  <si>
    <t>02-22-2025 00:00</t>
  </si>
  <si>
    <t>HOSP-10240</t>
  </si>
  <si>
    <t>ananya nair</t>
  </si>
  <si>
    <t>HOSP-10241</t>
  </si>
  <si>
    <t>INR 306146.29</t>
  </si>
  <si>
    <t>HOSP-10242</t>
  </si>
  <si>
    <t>Pooja Gupta</t>
  </si>
  <si>
    <t>38 yrs</t>
  </si>
  <si>
    <t>PAT-126</t>
  </si>
  <si>
    <t>â‚¹293,503.23</t>
  </si>
  <si>
    <t>HOSP-10244</t>
  </si>
  <si>
    <t>Aditya Patel</t>
  </si>
  <si>
    <t>HOSP-10245</t>
  </si>
  <si>
    <t xml:space="preserve">  Sneha Kumar  </t>
  </si>
  <si>
    <t>60 yrs</t>
  </si>
  <si>
    <t>â‚¹28,640.64</t>
  </si>
  <si>
    <t>HOSP-10246</t>
  </si>
  <si>
    <t>â‚¹234,760.29</t>
  </si>
  <si>
    <t>HOSP-10247</t>
  </si>
  <si>
    <t>Neha Gupta</t>
  </si>
  <si>
    <t>INR 106499.26</t>
  </si>
  <si>
    <t>HOSP-10248</t>
  </si>
  <si>
    <t>â‚¹218,046.64</t>
  </si>
  <si>
    <t>HOSP-10249</t>
  </si>
  <si>
    <t>Aditya Mehta</t>
  </si>
  <si>
    <t>HOSP-10250</t>
  </si>
  <si>
    <t>Vihaan Joshi</t>
  </si>
  <si>
    <t>HOSP-10251</t>
  </si>
  <si>
    <t>04-25-2025 00:00</t>
  </si>
  <si>
    <t>HOSP-10252</t>
  </si>
  <si>
    <t>diya verma</t>
  </si>
  <si>
    <t>HOSP-10253</t>
  </si>
  <si>
    <t>Rajesh Mehta</t>
  </si>
  <si>
    <t>INR 167818.16</t>
  </si>
  <si>
    <t>HOSP-10254</t>
  </si>
  <si>
    <t>Vihaan Bose</t>
  </si>
  <si>
    <t>dengue fever with thrombocytopenia</t>
  </si>
  <si>
    <t>â‚¹47,432.59</t>
  </si>
  <si>
    <t>HOSP-10255</t>
  </si>
  <si>
    <t>06-28-2025 00:00</t>
  </si>
  <si>
    <t>HOSP-10256</t>
  </si>
  <si>
    <t>PARACENTESIS &amp; DIURETICS</t>
  </si>
  <si>
    <t>HOSP-10257</t>
  </si>
  <si>
    <t>Vihaan Nair</t>
  </si>
  <si>
    <t>04-22-2025 00:00</t>
  </si>
  <si>
    <t>HOSP-10258</t>
  </si>
  <si>
    <t>HOSP-10259</t>
  </si>
  <si>
    <t>amit verma</t>
  </si>
  <si>
    <t>HOSP-10260</t>
  </si>
  <si>
    <t>Deepak Nair</t>
  </si>
  <si>
    <t>P. N. Renjen</t>
  </si>
  <si>
    <t>â‚¹307,451.11</t>
  </si>
  <si>
    <t>HOSP-10261</t>
  </si>
  <si>
    <t>11-30-2025 00:00</t>
  </si>
  <si>
    <t>HOSP-10262</t>
  </si>
  <si>
    <t>Rajesh_Reddy</t>
  </si>
  <si>
    <t>INR 335846.84</t>
  </si>
  <si>
    <t>PAT-109</t>
  </si>
  <si>
    <t>01-29-2025 00:00</t>
  </si>
  <si>
    <t>HOSP-10264</t>
  </si>
  <si>
    <t>acute ischemic stroke</t>
  </si>
  <si>
    <t>PAT-140</t>
  </si>
  <si>
    <t>Bombay</t>
  </si>
  <si>
    <t>ANGIOPLASTY</t>
  </si>
  <si>
    <t>HOSP-10266</t>
  </si>
  <si>
    <t>â‚¹81,267.36</t>
  </si>
  <si>
    <t>HOSP-10267</t>
  </si>
  <si>
    <t>Anita Joshi</t>
  </si>
  <si>
    <t>HOSP-10268</t>
  </si>
  <si>
    <t>HOSP-10269</t>
  </si>
  <si>
    <t>Ramesh Iyer</t>
  </si>
  <si>
    <t>HOSP-10270</t>
  </si>
  <si>
    <t>HOSP-10271</t>
  </si>
  <si>
    <t>HOSP-10272</t>
  </si>
  <si>
    <t>HOSP-10273</t>
  </si>
  <si>
    <t>Vikram Gupta</t>
  </si>
  <si>
    <t>HOSP-10274</t>
  </si>
  <si>
    <t>Neha Bose</t>
  </si>
  <si>
    <t>08-17-2025 00:00</t>
  </si>
  <si>
    <t>â‚¹249,634.54</t>
  </si>
  <si>
    <t>HOSP-10275</t>
  </si>
  <si>
    <t>INR 256236.26</t>
  </si>
  <si>
    <t>HOSP-10276</t>
  </si>
  <si>
    <t>03-25-2025 00:00</t>
  </si>
  <si>
    <t>HOSP-10277</t>
  </si>
  <si>
    <t>Kavita Nair</t>
  </si>
  <si>
    <t>HOSP-10278</t>
  </si>
  <si>
    <t>â‚¹215,957.52</t>
  </si>
  <si>
    <t>HOSP-10279</t>
  </si>
  <si>
    <t>Aditya Verma</t>
  </si>
  <si>
    <t>HOSP-10280</t>
  </si>
  <si>
    <t>HOSP-10281</t>
  </si>
  <si>
    <t>HOSP-10282</t>
  </si>
  <si>
    <t xml:space="preserve">  Meera Mehta  </t>
  </si>
  <si>
    <t>â‚¹28,616.08</t>
  </si>
  <si>
    <t>HOSP-10283</t>
  </si>
  <si>
    <t>Sunita_Joshi</t>
  </si>
  <si>
    <t>â‚¹213,497.15</t>
  </si>
  <si>
    <t>HOSP-10284</t>
  </si>
  <si>
    <t>HOSP-10285</t>
  </si>
  <si>
    <t>Devi Shetty</t>
  </si>
  <si>
    <t>HOSP-10286</t>
  </si>
  <si>
    <t>HOSP-10287</t>
  </si>
  <si>
    <t>Ramesh Kumar</t>
  </si>
  <si>
    <t>HOSP-10288</t>
  </si>
  <si>
    <t xml:space="preserve">  Ritu Verma  </t>
  </si>
  <si>
    <t>HOSP-10289</t>
  </si>
  <si>
    <t>Aarav Kumar</t>
  </si>
  <si>
    <t>HOSP-10290</t>
  </si>
  <si>
    <t>HOSP-10291</t>
  </si>
  <si>
    <t>Anjali Iyer</t>
  </si>
  <si>
    <t>HOSP-10292</t>
  </si>
  <si>
    <t>anita mehta</t>
  </si>
  <si>
    <t>HOSP-10293</t>
  </si>
  <si>
    <t>Suresh Nair</t>
  </si>
  <si>
    <t>Ashok Seth</t>
  </si>
  <si>
    <t>HOSP-10294</t>
  </si>
  <si>
    <t>HOSP-10295</t>
  </si>
  <si>
    <t>â‚¹239,781.71</t>
  </si>
  <si>
    <t>HOSP-10296</t>
  </si>
  <si>
    <t>HOSP-10297</t>
  </si>
  <si>
    <t>33 yrs</t>
  </si>
  <si>
    <t>â‚¹273,508.17</t>
  </si>
  <si>
    <t>HOSP-10298</t>
  </si>
  <si>
    <t>Pooja Verma</t>
  </si>
  <si>
    <t>HOSP-10299</t>
  </si>
  <si>
    <t>HOSP-10300</t>
  </si>
  <si>
    <t>dr. subhash gupta</t>
  </si>
  <si>
    <t>HOSP-10301</t>
  </si>
  <si>
    <t>HOSP-10302</t>
  </si>
  <si>
    <t>â‚¹330,025.55</t>
  </si>
  <si>
    <t>HOSP-10303</t>
  </si>
  <si>
    <t>04-28-2025 00:00</t>
  </si>
  <si>
    <t>HOSP-10304</t>
  </si>
  <si>
    <t>Diya Nair</t>
  </si>
  <si>
    <t>HOSP-10305</t>
  </si>
  <si>
    <t>09-14-2025 00:00</t>
  </si>
  <si>
    <t>HOSP-10306</t>
  </si>
  <si>
    <t>Anjali Bose</t>
  </si>
  <si>
    <t>HOSP-10307</t>
  </si>
  <si>
    <t>bangalore</t>
  </si>
  <si>
    <t>â‚¹138,020.31</t>
  </si>
  <si>
    <t>HOSP-10308</t>
  </si>
  <si>
    <t>Ananya Iyer</t>
  </si>
  <si>
    <t>HOSP-10309</t>
  </si>
  <si>
    <t>HOSP-10310</t>
  </si>
  <si>
    <t>48 yrs</t>
  </si>
  <si>
    <t>HOSP-10311</t>
  </si>
  <si>
    <t>Suresh Bose</t>
  </si>
  <si>
    <t>01-22-2025 00:00</t>
  </si>
  <si>
    <t>INR 320413.53</t>
  </si>
  <si>
    <t>HOSP-10312</t>
  </si>
  <si>
    <t xml:space="preserve">  Pooja Reddy  </t>
  </si>
  <si>
    <t>Sushil Razdan</t>
  </si>
  <si>
    <t>09-19-2025 00:00</t>
  </si>
  <si>
    <t>HOSP-10314</t>
  </si>
  <si>
    <t>Anita Nair</t>
  </si>
  <si>
    <t>HOSP-10315</t>
  </si>
  <si>
    <t>breast carcinoma</t>
  </si>
  <si>
    <t>â‚¹197,586.65</t>
  </si>
  <si>
    <t>HOSP-10316</t>
  </si>
  <si>
    <t>GASTROENTEROLOGY</t>
  </si>
  <si>
    <t>HOSP-10317</t>
  </si>
  <si>
    <t>Pooja Sharma</t>
  </si>
  <si>
    <t>heart failure</t>
  </si>
  <si>
    <t>INR 173699.35</t>
  </si>
  <si>
    <t>HOSP-10318</t>
  </si>
  <si>
    <t>Anjali Gupta</t>
  </si>
  <si>
    <t>HOSP-10319</t>
  </si>
  <si>
    <t>HOSP-10320</t>
  </si>
  <si>
    <t>Sneha Gupta</t>
  </si>
  <si>
    <t>HOSP-10321</t>
  </si>
  <si>
    <t>Deepak Gupta</t>
  </si>
  <si>
    <t>HOSP-10322</t>
  </si>
  <si>
    <t>Aarav Mehta</t>
  </si>
  <si>
    <t>HOSP-10323</t>
  </si>
  <si>
    <t>Ananya Sharma</t>
  </si>
  <si>
    <t>09-18-2025 00:00</t>
  </si>
  <si>
    <t>HOSP-10325</t>
  </si>
  <si>
    <t>Aditya Joshi</t>
  </si>
  <si>
    <t>HOSP-10326</t>
  </si>
  <si>
    <t>Sunita Patel</t>
  </si>
  <si>
    <t>01-27-2025 00:00</t>
  </si>
  <si>
    <t>HOSP-10327</t>
  </si>
  <si>
    <t>COLECTOMY</t>
  </si>
  <si>
    <t>INR 73899.32</t>
  </si>
  <si>
    <t>HOSP-10328</t>
  </si>
  <si>
    <t>Pooja Kumar</t>
  </si>
  <si>
    <t>09-22-2025 00:00</t>
  </si>
  <si>
    <t>HOSP-10330</t>
  </si>
  <si>
    <t>HOSP-10331</t>
  </si>
  <si>
    <t>HOSP-10332</t>
  </si>
  <si>
    <t>09-30-2025 00:00</t>
  </si>
  <si>
    <t>HOSP-10333</t>
  </si>
  <si>
    <t xml:space="preserve">  Pooja Bose  </t>
  </si>
  <si>
    <t>HOSP-10334</t>
  </si>
  <si>
    <t>HOSP-10335</t>
  </si>
  <si>
    <t>rotator cuff tear</t>
  </si>
  <si>
    <t>HOSP-10336</t>
  </si>
  <si>
    <t>HOSP-10337</t>
  </si>
  <si>
    <t>Rajesh_Singh</t>
  </si>
  <si>
    <t>Diya Gupta</t>
  </si>
  <si>
    <t>HOSP-10339</t>
  </si>
  <si>
    <t>liver cirrhosis</t>
  </si>
  <si>
    <t>â‚¹100,093.93</t>
  </si>
  <si>
    <t>HOSP-10340</t>
  </si>
  <si>
    <t>INR 251416.32</t>
  </si>
  <si>
    <t>HOSP-10341</t>
  </si>
  <si>
    <t xml:space="preserve">  Pooja Singh  </t>
  </si>
  <si>
    <t>HOSP-10342</t>
  </si>
  <si>
    <t xml:space="preserve">  Aditya Singh  </t>
  </si>
  <si>
    <t>chennai</t>
  </si>
  <si>
    <t>Subhash Gupta</t>
  </si>
  <si>
    <t>HOSP-10343</t>
  </si>
  <si>
    <t>Amit Patel</t>
  </si>
  <si>
    <t>Bengaluru</t>
  </si>
  <si>
    <t>07-22-2025 00:00</t>
  </si>
  <si>
    <t>â‚¹154,000.01</t>
  </si>
  <si>
    <t>HOSP-10344</t>
  </si>
  <si>
    <t xml:space="preserve">  Aditya Joshi  </t>
  </si>
  <si>
    <t>dr. sks marya</t>
  </si>
  <si>
    <t>HOSP-10345</t>
  </si>
  <si>
    <t>Vikram Sharma</t>
  </si>
  <si>
    <t>04-29-2025 00:00</t>
  </si>
  <si>
    <t>HOSP-10346</t>
  </si>
  <si>
    <t>HOSP-10347</t>
  </si>
  <si>
    <t>Kabir Gupta</t>
  </si>
  <si>
    <t>colorectal cancer</t>
  </si>
  <si>
    <t>HOSP-10348</t>
  </si>
  <si>
    <t>HOSP-10349</t>
  </si>
  <si>
    <t>Manoj Reddy</t>
  </si>
  <si>
    <t>HOSP-10350</t>
  </si>
  <si>
    <t>Kabir Reddy</t>
  </si>
  <si>
    <t>HOSP-10351</t>
  </si>
  <si>
    <t>Sneha Mehta</t>
  </si>
  <si>
    <t>HOSP-10352</t>
  </si>
  <si>
    <t>Meera Bose</t>
  </si>
  <si>
    <t>â‚¹234,451.00</t>
  </si>
  <si>
    <t>HOSP-10353</t>
  </si>
  <si>
    <t>HOSP-10354</t>
  </si>
  <si>
    <t>myocardial infarction</t>
  </si>
  <si>
    <t>HOSP-10355</t>
  </si>
  <si>
    <t>sunita joshi</t>
  </si>
  <si>
    <t>04-16-2025 00:00</t>
  </si>
  <si>
    <t>HOSP-10356</t>
  </si>
  <si>
    <t>HOSP-10357</t>
  </si>
  <si>
    <t>HOSP-10358</t>
  </si>
  <si>
    <t>HOSP-10359</t>
  </si>
  <si>
    <t>08-24-2025 00:00</t>
  </si>
  <si>
    <t>â‚¹213,585.33</t>
  </si>
  <si>
    <t>HOSP-10360</t>
  </si>
  <si>
    <t>HOSP-10361</t>
  </si>
  <si>
    <t>Vihaan Verma</t>
  </si>
  <si>
    <t>INR 328188.99</t>
  </si>
  <si>
    <t>HOSP-10362</t>
  </si>
  <si>
    <t>HOSP-10363</t>
  </si>
  <si>
    <t>HOSP-10364</t>
  </si>
  <si>
    <t>HOSP-10365</t>
  </si>
  <si>
    <t>Rajesh Gupta</t>
  </si>
  <si>
    <t>HOSP-10366</t>
  </si>
  <si>
    <t>06-16-2025 00:00</t>
  </si>
  <si>
    <t>HOSP-10367</t>
  </si>
  <si>
    <t>INR 255209.04</t>
  </si>
  <si>
    <t>HOSP-10368</t>
  </si>
  <si>
    <t>Priya Verma</t>
  </si>
  <si>
    <t>03-26-2025 00:00</t>
  </si>
  <si>
    <t>HOSP-10369</t>
  </si>
  <si>
    <t>INR 100750.51</t>
  </si>
  <si>
    <t>HOSP-10370</t>
  </si>
  <si>
    <t>HOSP-10371</t>
  </si>
  <si>
    <t>HOSP-10372</t>
  </si>
  <si>
    <t>HOSP-10373</t>
  </si>
  <si>
    <t>HOSP-10374</t>
  </si>
  <si>
    <t>HOSP-10375</t>
  </si>
  <si>
    <t>â‚¹273,509.91</t>
  </si>
  <si>
    <t>HOSP-10376</t>
  </si>
  <si>
    <t>08-28-2025 00:00</t>
  </si>
  <si>
    <t>INR 202091.6</t>
  </si>
  <si>
    <t>HOSP-10377</t>
  </si>
  <si>
    <t>HOSP-10378</t>
  </si>
  <si>
    <t>Priya Singh</t>
  </si>
  <si>
    <t>HOSP-10379</t>
  </si>
  <si>
    <t>HOSP-10380</t>
  </si>
  <si>
    <t>Aditya_Patel</t>
  </si>
  <si>
    <t>HOSP-10381</t>
  </si>
  <si>
    <t>HOSP-10382</t>
  </si>
  <si>
    <t>HOSP-10383</t>
  </si>
  <si>
    <t>08-14-2025 00:00</t>
  </si>
  <si>
    <t>HOSP-10384</t>
  </si>
  <si>
    <t>Sneha Patel</t>
  </si>
  <si>
    <t>HOSP-10385</t>
  </si>
  <si>
    <t>Ritu Reddy</t>
  </si>
  <si>
    <t>HOSP-10386</t>
  </si>
  <si>
    <t>Aditya Reddy</t>
  </si>
  <si>
    <t>HOSP-10387</t>
  </si>
  <si>
    <t xml:space="preserve">  Suresh Patel  </t>
  </si>
  <si>
    <t>â‚¹286,366.02</t>
  </si>
  <si>
    <t>HOSP-10388</t>
  </si>
  <si>
    <t xml:space="preserve">  Kavita Verma  </t>
  </si>
  <si>
    <t>HOSP-10389</t>
  </si>
  <si>
    <t>09-26-2025 00:00</t>
  </si>
  <si>
    <t>HOSP-10390</t>
  </si>
  <si>
    <t>HOSP-10391</t>
  </si>
  <si>
    <t xml:space="preserve">  Diya Verma  </t>
  </si>
  <si>
    <t>IV LABETALOL</t>
  </si>
  <si>
    <t>HOSP-10392</t>
  </si>
  <si>
    <t>meera nair</t>
  </si>
  <si>
    <t>01-18-2025 00:00</t>
  </si>
  <si>
    <t>HOSP-10393</t>
  </si>
  <si>
    <t>HOSP-10394</t>
  </si>
  <si>
    <t>HOSP-10395</t>
  </si>
  <si>
    <t>HOSP-10396</t>
  </si>
  <si>
    <t>HOSP-10397</t>
  </si>
  <si>
    <t>Sunita Verma</t>
  </si>
  <si>
    <t>HOSP-10398</t>
  </si>
  <si>
    <t>INR 306515.15</t>
  </si>
  <si>
    <t>HOSP-10399</t>
  </si>
  <si>
    <t>Anita Mehta</t>
  </si>
  <si>
    <t>HOSP-10400</t>
  </si>
  <si>
    <t>PAT-144</t>
  </si>
  <si>
    <t>lymphoma</t>
  </si>
  <si>
    <t>HOSP-10402</t>
  </si>
  <si>
    <t>Aditya Iyer</t>
  </si>
  <si>
    <t>INR 174458.85</t>
  </si>
  <si>
    <t>PAT-114</t>
  </si>
  <si>
    <t>HOSP-10404</t>
  </si>
  <si>
    <t>HOSP-10405</t>
  </si>
  <si>
    <t>11-27-2025 00:00</t>
  </si>
  <si>
    <t>HOSP-10406</t>
  </si>
  <si>
    <t>INR 200127.72</t>
  </si>
  <si>
    <t>HOSP-10407</t>
  </si>
  <si>
    <t xml:space="preserve">  Manoj Sharma  </t>
  </si>
  <si>
    <t>dr. ramneek mahajan</t>
  </si>
  <si>
    <t>HOSP-10408</t>
  </si>
  <si>
    <t>Suresh Patel</t>
  </si>
  <si>
    <t>HOSP-10409</t>
  </si>
  <si>
    <t>HOSP-10410</t>
  </si>
  <si>
    <t>INR 281407.66</t>
  </si>
  <si>
    <t>HOSP-10411</t>
  </si>
  <si>
    <t>Anjali Patel</t>
  </si>
  <si>
    <t>HOSP-10412</t>
  </si>
  <si>
    <t xml:space="preserve">  Sneha Gupta  </t>
  </si>
  <si>
    <t>INR 174532.25</t>
  </si>
  <si>
    <t>HOSP-10413</t>
  </si>
  <si>
    <t>HOSP-10414</t>
  </si>
  <si>
    <t>HOSP-10415</t>
  </si>
  <si>
    <t>HOSP-10416</t>
  </si>
  <si>
    <t>Manoj Sharma</t>
  </si>
  <si>
    <t>â‚¹172,653.26</t>
  </si>
  <si>
    <t>10-13-2025 00:00</t>
  </si>
  <si>
    <t>HOSP-10418</t>
  </si>
  <si>
    <t>INR 144237.31</t>
  </si>
  <si>
    <t>HOSP-10419</t>
  </si>
  <si>
    <t>HOSP-10420</t>
  </si>
  <si>
    <t>HOSP-10421</t>
  </si>
  <si>
    <t>HOSP-10422</t>
  </si>
  <si>
    <t>Rohan Bose</t>
  </si>
  <si>
    <t>HOSP-10423</t>
  </si>
  <si>
    <t>HOSP-10424</t>
  </si>
  <si>
    <t>HOSP-10425</t>
  </si>
  <si>
    <t>HOSP-10426</t>
  </si>
  <si>
    <t>INR 270242.33</t>
  </si>
  <si>
    <t>HOSP-10427</t>
  </si>
  <si>
    <t>Aarav Iyer</t>
  </si>
  <si>
    <t>PAT-143</t>
  </si>
  <si>
    <t>HOSP-10429</t>
  </si>
  <si>
    <t>Suresh Gupta</t>
  </si>
  <si>
    <t>HOSP-10430</t>
  </si>
  <si>
    <t>HOSP-10431</t>
  </si>
  <si>
    <t>HOSP-10432</t>
  </si>
  <si>
    <t>HOSP-10433</t>
  </si>
  <si>
    <t>HOSP-10435</t>
  </si>
  <si>
    <t>Rajesh Verma</t>
  </si>
  <si>
    <t>HOSP-10436</t>
  </si>
  <si>
    <t>HOSP-10437</t>
  </si>
  <si>
    <t>HOSP-10438</t>
  </si>
  <si>
    <t>HOSP-10439</t>
  </si>
  <si>
    <t>07-17-2025 00:00</t>
  </si>
  <si>
    <t>â‚¹81,737.71</t>
  </si>
  <si>
    <t>HOSP-10440</t>
  </si>
  <si>
    <t>HOSP-10441</t>
  </si>
  <si>
    <t>HOSP-10442</t>
  </si>
  <si>
    <t>PAT-141</t>
  </si>
  <si>
    <t>HOSP-10444</t>
  </si>
  <si>
    <t>06-25-2025 00:00</t>
  </si>
  <si>
    <t>HOSP-10445</t>
  </si>
  <si>
    <t>INR 257045.17</t>
  </si>
  <si>
    <t>HOSP-10446</t>
  </si>
  <si>
    <t>HOSP-10447</t>
  </si>
  <si>
    <t>HOSP-10448</t>
  </si>
  <si>
    <t>INR 14412.2</t>
  </si>
  <si>
    <t>HOSP-10449</t>
  </si>
  <si>
    <t>Pooja Mehta</t>
  </si>
  <si>
    <t>HOSP-10450</t>
  </si>
  <si>
    <t>Ramesh Patel</t>
  </si>
  <si>
    <t>HOSP-10451</t>
  </si>
  <si>
    <t>HOSP-10452</t>
  </si>
  <si>
    <t>HOSP-10453</t>
  </si>
  <si>
    <t>HOSP-10454</t>
  </si>
  <si>
    <t>50 yrs</t>
  </si>
  <si>
    <t>HOSP-10455</t>
  </si>
  <si>
    <t>Deepak Verma</t>
  </si>
  <si>
    <t>HOSP-10456</t>
  </si>
  <si>
    <t>â‚¹68,817.20</t>
  </si>
  <si>
    <t>HOSP-10457</t>
  </si>
  <si>
    <t>05-31-2025 00:00</t>
  </si>
  <si>
    <t>HOSP-10458</t>
  </si>
  <si>
    <t>HOSP-10459</t>
  </si>
  <si>
    <t>HOSP-10460</t>
  </si>
  <si>
    <t>Amit Singh</t>
  </si>
  <si>
    <t>HOSP-10461</t>
  </si>
  <si>
    <t>â‚¹174,036.30</t>
  </si>
  <si>
    <t>HOSP-10462</t>
  </si>
  <si>
    <t>HOSP-10463</t>
  </si>
  <si>
    <t>HOSP-10464</t>
  </si>
  <si>
    <t>HOSP-10465</t>
  </si>
  <si>
    <t>Priya Patel</t>
  </si>
  <si>
    <t>12-29-2025 00:00</t>
  </si>
  <si>
    <t>HOSP-10466</t>
  </si>
  <si>
    <t>Vikram Iyer</t>
  </si>
  <si>
    <t>PID_1467</t>
  </si>
  <si>
    <t xml:space="preserve">  Vihaan Verma  </t>
  </si>
  <si>
    <t>HOSP-10468</t>
  </si>
  <si>
    <t>58 yrs</t>
  </si>
  <si>
    <t>HOSP-10469</t>
  </si>
  <si>
    <t>Manoj Nair</t>
  </si>
  <si>
    <t>HOSP-10470</t>
  </si>
  <si>
    <t>53 yrs</t>
  </si>
  <si>
    <t>PAT-122</t>
  </si>
  <si>
    <t>EXPIRED</t>
  </si>
  <si>
    <t>HOSP-10472</t>
  </si>
  <si>
    <t>Sunita Kumar</t>
  </si>
  <si>
    <t>â‚¹12,286.13</t>
  </si>
  <si>
    <t>HOSP-10473</t>
  </si>
  <si>
    <t>HOSP-10474</t>
  </si>
  <si>
    <t>08-18-2025 00:00</t>
  </si>
  <si>
    <t>HOSP-10475</t>
  </si>
  <si>
    <t>HOSP-10476</t>
  </si>
  <si>
    <t>10-26-2025 00:00</t>
  </si>
  <si>
    <t>HOSP-10477</t>
  </si>
  <si>
    <t>HOSP-10478</t>
  </si>
  <si>
    <t>HOSP-10479</t>
  </si>
  <si>
    <t>HOSP-10480</t>
  </si>
  <si>
    <t xml:space="preserve">  Neha Iyer  </t>
  </si>
  <si>
    <t>â‚¹261,994.94</t>
  </si>
  <si>
    <t>HOSP-10481</t>
  </si>
  <si>
    <t>Neha Reddy</t>
  </si>
  <si>
    <t>PAT-121</t>
  </si>
  <si>
    <t xml:space="preserve">  Rohan Mehta  </t>
  </si>
  <si>
    <t>03-31-2025 00:00</t>
  </si>
  <si>
    <t>HOSP-10483</t>
  </si>
  <si>
    <t>Vihaan Sharma</t>
  </si>
  <si>
    <t>HOSP-10484</t>
  </si>
  <si>
    <t xml:space="preserve">  Suresh Nair  </t>
  </si>
  <si>
    <t>12-14-2025 00:00</t>
  </si>
  <si>
    <t>HOSP-10485</t>
  </si>
  <si>
    <t>INR 118716.9</t>
  </si>
  <si>
    <t>HOSP-10486</t>
  </si>
  <si>
    <t>Meera Singh</t>
  </si>
  <si>
    <t>INR 308187.66</t>
  </si>
  <si>
    <t>HOSP-10487</t>
  </si>
  <si>
    <t>Rohan Kumar</t>
  </si>
  <si>
    <t>HOSP-10488</t>
  </si>
  <si>
    <t>HOSP-10489</t>
  </si>
  <si>
    <t>22 yrs</t>
  </si>
  <si>
    <t>10-31-2025 00:00</t>
  </si>
  <si>
    <t>â‚¹238,186.54</t>
  </si>
  <si>
    <t>PAT-132</t>
  </si>
  <si>
    <t>Anita Gupta</t>
  </si>
  <si>
    <t>HOSP-10491</t>
  </si>
  <si>
    <t>HOSP-10492</t>
  </si>
  <si>
    <t>INR 189134.85</t>
  </si>
  <si>
    <t>HOSP-10493</t>
  </si>
  <si>
    <t>dr. veena kalra</t>
  </si>
  <si>
    <t>â‚¹5,470.34</t>
  </si>
  <si>
    <t>HOSP-10494</t>
  </si>
  <si>
    <t>HOSP-10495</t>
  </si>
  <si>
    <t>HOSP-10496</t>
  </si>
  <si>
    <t>ENDOSCOPIC BANDING</t>
  </si>
  <si>
    <t>HOSP-10497</t>
  </si>
  <si>
    <t>Aarav_Bose</t>
  </si>
  <si>
    <t>08-29-2025 00:00</t>
  </si>
  <si>
    <t>â‚¹156,597.58</t>
  </si>
  <si>
    <t>HOSP-10498</t>
  </si>
  <si>
    <t>HOSP-10499</t>
  </si>
  <si>
    <t>Rohan Nair</t>
  </si>
  <si>
    <t>Ananya Patel</t>
  </si>
  <si>
    <t>Age.1</t>
  </si>
  <si>
    <t>Unknown</t>
  </si>
  <si>
    <t>Dr.Suresh Advani</t>
  </si>
  <si>
    <t>Dr.Anoop Misra</t>
  </si>
  <si>
    <t>Dengue Fever With Thrombocytopenia</t>
  </si>
  <si>
    <t>Hdfc Ergo</t>
  </si>
  <si>
    <t>HOSP-135</t>
  </si>
  <si>
    <t>Dr.P. N. Renjen</t>
  </si>
  <si>
    <t>Parkinson'S Disease</t>
  </si>
  <si>
    <t>Dr.Arvind Bagga</t>
  </si>
  <si>
    <t>Iv Fluids &amp; Electrolytes</t>
  </si>
  <si>
    <t>Icici Lombard</t>
  </si>
  <si>
    <t>Dr.Unknown</t>
  </si>
  <si>
    <t>Discharged Against Medical Advice</t>
  </si>
  <si>
    <t>Dr.R. K. Singhal</t>
  </si>
  <si>
    <t>Dr.Devi Shetty</t>
  </si>
  <si>
    <t>Dr.Randhir Sud</t>
  </si>
  <si>
    <t>Iv Labetalol</t>
  </si>
  <si>
    <t>HOSP-123</t>
  </si>
  <si>
    <t>Dr.Vinod Raina</t>
  </si>
  <si>
    <t>Deceased</t>
  </si>
  <si>
    <t>Dr.Subhash Gupta</t>
  </si>
  <si>
    <t>Dr.Naresh Trehan</t>
  </si>
  <si>
    <t>Claim_Pending</t>
  </si>
  <si>
    <t>Iv Antibiotics</t>
  </si>
  <si>
    <t>Dr.Sks Marya</t>
  </si>
  <si>
    <t>Dr.Veena Kalra</t>
  </si>
  <si>
    <t>Ramesh Nair</t>
  </si>
  <si>
    <t>Dr.Ramneek Mahajan</t>
  </si>
  <si>
    <t>Dr.Mukul Varma</t>
  </si>
  <si>
    <t>Tpa Therapy</t>
  </si>
  <si>
    <t>Dr.Ashok Seth</t>
  </si>
  <si>
    <t>Dr.Atul Gogia</t>
  </si>
  <si>
    <t>None</t>
  </si>
  <si>
    <t>R-Chop Regimen</t>
  </si>
  <si>
    <t>HOSP-131</t>
  </si>
  <si>
    <t>HOSP-113</t>
  </si>
  <si>
    <t>Dr.Harit Chaturvedi</t>
  </si>
  <si>
    <t>Dr.Harshavardhan Hegde</t>
  </si>
  <si>
    <t>HOSP-1059</t>
  </si>
  <si>
    <t>Dr.Sushil Razdan</t>
  </si>
  <si>
    <t>Dr.Krishan Chugh</t>
  </si>
  <si>
    <t>Dr.Govind Makharia</t>
  </si>
  <si>
    <t>HOSP-1164</t>
  </si>
  <si>
    <t>HOSP-1172</t>
  </si>
  <si>
    <t>HOSP-1175</t>
  </si>
  <si>
    <t>Ace Inhibitors &amp; Diuretics</t>
  </si>
  <si>
    <t>HOSP-117</t>
  </si>
  <si>
    <t>In-Patient</t>
  </si>
  <si>
    <t>Unpaid</t>
  </si>
  <si>
    <t>HOSP-126</t>
  </si>
  <si>
    <t>Diya Verma</t>
  </si>
  <si>
    <t>Amit Verma</t>
  </si>
  <si>
    <t>HOSP-140</t>
  </si>
  <si>
    <t>Ritu Verma</t>
  </si>
  <si>
    <t>HOSP-105</t>
  </si>
  <si>
    <t>HOSP-144</t>
  </si>
  <si>
    <t>HOSP-114</t>
  </si>
  <si>
    <t>HOSP-143</t>
  </si>
  <si>
    <t>HOSP-141</t>
  </si>
  <si>
    <t>HOSP-1467</t>
  </si>
  <si>
    <t>HOSP-132</t>
  </si>
  <si>
    <t>PIVOT TABLE ANALYSIS</t>
  </si>
  <si>
    <t>Grand Total</t>
  </si>
  <si>
    <t>Count of Patient</t>
  </si>
  <si>
    <t>HOSPITAL  ANALYSIS DASHBOARD</t>
  </si>
  <si>
    <t xml:space="preserve"> TOTAL PATIENTS</t>
  </si>
  <si>
    <t xml:space="preserve"> TOTAL AMOUNT</t>
  </si>
  <si>
    <t>TOTAL FEMALE PATIENT</t>
  </si>
  <si>
    <t>TOTAL  DOCTOR</t>
  </si>
  <si>
    <t>TOTAL DEPARTMENT</t>
  </si>
  <si>
    <t>Row Labels</t>
  </si>
  <si>
    <t>Sum of Bill_Amount</t>
  </si>
  <si>
    <t>Sum of Age.1</t>
  </si>
  <si>
    <t>Payment Status</t>
  </si>
  <si>
    <t xml:space="preserve">GENDER </t>
  </si>
  <si>
    <t>Count of Patient_ID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</si>
</sst>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2"/>
      <color theme="1"/>
      <name val="Century Gothic"/>
      <family val="2"/>
      <scheme val="minor"/>
    </font>
    <font>
      <b/>
      <sz val="20"/>
      <color theme="1"/>
      <name val="Century Gothic"/>
      <family val="2"/>
      <scheme val="minor"/>
    </font>
    <font>
      <u/>
      <sz val="36"/>
      <color theme="1"/>
      <name val="Amasis MT Pro Black"/>
      <family val="1"/>
    </font>
    <font>
      <b/>
      <sz val="22"/>
      <color theme="1"/>
      <name val="Amasis MT Pro Black"/>
      <family val="1"/>
    </font>
    <font>
      <sz val="22"/>
      <color theme="1"/>
      <name val="Amasis MT Pro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2" fontId="0" fillId="0" borderId="0" xfId="0" applyNumberFormat="1"/>
    <xf numFmtId="15"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16" fillId="0" borderId="0" xfId="0" applyFont="1"/>
    <xf numFmtId="0" fontId="21" fillId="0" borderId="0" xfId="0" applyFont="1" applyAlignment="1">
      <alignment horizontal="center" vertical="top"/>
    </xf>
    <xf numFmtId="0" fontId="22" fillId="0" borderId="0" xfId="0" applyFont="1" applyAlignment="1">
      <alignment horizontal="center" vertical="top"/>
    </xf>
    <xf numFmtId="0" fontId="21" fillId="0" borderId="0" xfId="0" applyFont="1" applyAlignment="1">
      <alignment vertical="top"/>
    </xf>
    <xf numFmtId="0" fontId="22" fillId="0" borderId="0" xfId="0" applyFont="1" applyAlignment="1">
      <alignment vertical="top"/>
    </xf>
    <xf numFmtId="0" fontId="19" fillId="33" borderId="0" xfId="0" applyFont="1" applyFill="1" applyAlignment="1">
      <alignment horizontal="center" vertical="center"/>
    </xf>
    <xf numFmtId="0" fontId="0" fillId="0" borderId="0" xfId="0" applyAlignment="1">
      <alignment horizontal="center"/>
    </xf>
    <xf numFmtId="0" fontId="18" fillId="33" borderId="0" xfId="0" applyFont="1" applyFill="1" applyAlignment="1">
      <alignment horizontal="center" vertical="center"/>
    </xf>
    <xf numFmtId="0" fontId="20" fillId="34" borderId="0" xfId="0" applyFont="1" applyFill="1" applyAlignment="1">
      <alignment horizontal="center" vertical="top"/>
    </xf>
    <xf numFmtId="0" fontId="18"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2.xlsx]PIVOT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masis MT Pro Black" panose="02040A04050005020304" pitchFamily="18" charset="0"/>
              </a:rPr>
              <a:t>DEPARMENT</a:t>
            </a:r>
            <a:r>
              <a:rPr lang="en-US" sz="1400" b="1" baseline="0">
                <a:latin typeface="Amasis MT Pro Black" panose="02040A04050005020304" pitchFamily="18" charset="0"/>
              </a:rPr>
              <a:t> WISE PATIENT </a:t>
            </a:r>
            <a:endParaRPr lang="en-US" sz="1400" b="1">
              <a:latin typeface="Amasis MT Pro Black" panose="02040A04050005020304" pitchFamily="18" charset="0"/>
            </a:endParaRPr>
          </a:p>
        </c:rich>
      </c:tx>
      <c:layout>
        <c:manualLayout>
          <c:xMode val="edge"/>
          <c:yMode val="edge"/>
          <c:x val="0.24326811203572768"/>
          <c:y val="2.2849643122195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TABLE'!$A$5:$A$13</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TABLE'!$B$5:$B$13</c:f>
              <c:numCache>
                <c:formatCode>General</c:formatCode>
                <c:ptCount val="8"/>
                <c:pt idx="0">
                  <c:v>45</c:v>
                </c:pt>
                <c:pt idx="1">
                  <c:v>51</c:v>
                </c:pt>
                <c:pt idx="2">
                  <c:v>50</c:v>
                </c:pt>
                <c:pt idx="3">
                  <c:v>48</c:v>
                </c:pt>
                <c:pt idx="4">
                  <c:v>60</c:v>
                </c:pt>
                <c:pt idx="5">
                  <c:v>57</c:v>
                </c:pt>
                <c:pt idx="6">
                  <c:v>48</c:v>
                </c:pt>
                <c:pt idx="7">
                  <c:v>16</c:v>
                </c:pt>
              </c:numCache>
            </c:numRef>
          </c:val>
          <c:extLst>
            <c:ext xmlns:c16="http://schemas.microsoft.com/office/drawing/2014/chart" uri="{C3380CC4-5D6E-409C-BE32-E72D297353CC}">
              <c16:uniqueId val="{00000000-37BF-4305-997C-F5790E78E057}"/>
            </c:ext>
          </c:extLst>
        </c:ser>
        <c:dLbls>
          <c:showLegendKey val="0"/>
          <c:showVal val="0"/>
          <c:showCatName val="0"/>
          <c:showSerName val="0"/>
          <c:showPercent val="0"/>
          <c:showBubbleSize val="0"/>
        </c:dLbls>
        <c:gapWidth val="182"/>
        <c:axId val="92638544"/>
        <c:axId val="2127133775"/>
      </c:barChart>
      <c:catAx>
        <c:axId val="9263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133775"/>
        <c:crosses val="autoZero"/>
        <c:auto val="1"/>
        <c:lblAlgn val="ctr"/>
        <c:lblOffset val="100"/>
        <c:noMultiLvlLbl val="0"/>
      </c:catAx>
      <c:valAx>
        <c:axId val="212713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3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2.xlsx]PIVOT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t>
            </a:r>
            <a:r>
              <a:rPr lang="en-US" b="1" baseline="0"/>
              <a:t> WISE BILL AMOUNT</a:t>
            </a:r>
            <a:endParaRPr lang="en-US" b="1"/>
          </a:p>
        </c:rich>
      </c:tx>
      <c:layout>
        <c:manualLayout>
          <c:xMode val="edge"/>
          <c:yMode val="edge"/>
          <c:x val="0.29278123874402112"/>
          <c:y val="3.45153152037641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88541736271268"/>
          <c:y val="0.28796885882771756"/>
          <c:w val="0.63446969747389548"/>
          <c:h val="0.38141280626538099"/>
        </c:manualLayout>
      </c:layout>
      <c:barChart>
        <c:barDir val="col"/>
        <c:grouping val="clustered"/>
        <c:varyColors val="0"/>
        <c:ser>
          <c:idx val="0"/>
          <c:order val="0"/>
          <c:tx>
            <c:strRef>
              <c:f>'PIVOT TABLE'!$I$4</c:f>
              <c:strCache>
                <c:ptCount val="1"/>
                <c:pt idx="0">
                  <c:v>Total</c:v>
                </c:pt>
              </c:strCache>
            </c:strRef>
          </c:tx>
          <c:spPr>
            <a:solidFill>
              <a:schemeClr val="accent1"/>
            </a:solidFill>
            <a:ln>
              <a:noFill/>
            </a:ln>
            <a:effectLst/>
          </c:spPr>
          <c:invertIfNegative val="0"/>
          <c:cat>
            <c:strRef>
              <c:f>'PIVOT TABLE'!$H$5:$H$13</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TABLE'!$I$5:$I$13</c:f>
              <c:numCache>
                <c:formatCode>General</c:formatCode>
                <c:ptCount val="8"/>
                <c:pt idx="0">
                  <c:v>8016535.2200000007</c:v>
                </c:pt>
                <c:pt idx="1">
                  <c:v>108646505.58000003</c:v>
                </c:pt>
                <c:pt idx="2">
                  <c:v>107763068.91</c:v>
                </c:pt>
                <c:pt idx="3">
                  <c:v>8901635.5999999996</c:v>
                </c:pt>
                <c:pt idx="4">
                  <c:v>9880704.5300000012</c:v>
                </c:pt>
                <c:pt idx="5">
                  <c:v>108744232.00999999</c:v>
                </c:pt>
                <c:pt idx="6">
                  <c:v>9880770.5299999993</c:v>
                </c:pt>
                <c:pt idx="7">
                  <c:v>101886094.39</c:v>
                </c:pt>
              </c:numCache>
            </c:numRef>
          </c:val>
          <c:extLst>
            <c:ext xmlns:c16="http://schemas.microsoft.com/office/drawing/2014/chart" uri="{C3380CC4-5D6E-409C-BE32-E72D297353CC}">
              <c16:uniqueId val="{00000000-B791-424F-B5DE-C22BFA6C5A13}"/>
            </c:ext>
          </c:extLst>
        </c:ser>
        <c:dLbls>
          <c:showLegendKey val="0"/>
          <c:showVal val="0"/>
          <c:showCatName val="0"/>
          <c:showSerName val="0"/>
          <c:showPercent val="0"/>
          <c:showBubbleSize val="0"/>
        </c:dLbls>
        <c:gapWidth val="219"/>
        <c:overlap val="-27"/>
        <c:axId val="92687728"/>
        <c:axId val="2127223055"/>
      </c:barChart>
      <c:catAx>
        <c:axId val="9268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23055"/>
        <c:crosses val="autoZero"/>
        <c:auto val="1"/>
        <c:lblAlgn val="ctr"/>
        <c:lblOffset val="100"/>
        <c:noMultiLvlLbl val="0"/>
      </c:catAx>
      <c:valAx>
        <c:axId val="212722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8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2.xlsx]PIVOT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WISE BILL AMOUNT</a:t>
            </a:r>
          </a:p>
          <a:p>
            <a:pPr>
              <a:defRPr/>
            </a:pPr>
            <a:r>
              <a:rPr lang="en-US" baseline="0"/>
              <a:t> </a:t>
            </a:r>
            <a:endParaRPr lang="en-US"/>
          </a:p>
        </c:rich>
      </c:tx>
      <c:layout>
        <c:manualLayout>
          <c:xMode val="edge"/>
          <c:yMode val="edge"/>
          <c:x val="0.21173789266774548"/>
          <c:y val="7.4074833285037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flat" cmpd="dbl">
            <a:solidFill>
              <a:schemeClr val="accent1">
                <a:alpha val="87000"/>
              </a:schemeClr>
            </a:solidFill>
          </a:ln>
          <a:effectLst>
            <a:glow rad="254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flat" cmpd="dbl">
            <a:solidFill>
              <a:schemeClr val="accent1">
                <a:alpha val="87000"/>
              </a:schemeClr>
            </a:solidFill>
          </a:ln>
          <a:effectLst>
            <a:glow rad="25400">
              <a:schemeClr val="accent1">
                <a:alpha val="40000"/>
              </a:schemeClr>
            </a:glow>
          </a:effectLst>
        </c:spPr>
      </c:pivotFmt>
      <c:pivotFmt>
        <c:idx val="3"/>
        <c:spPr>
          <a:solidFill>
            <a:schemeClr val="accent1"/>
          </a:solidFill>
          <a:ln w="19050" cap="flat" cmpd="dbl">
            <a:solidFill>
              <a:schemeClr val="accent1">
                <a:alpha val="87000"/>
              </a:schemeClr>
            </a:solidFill>
          </a:ln>
          <a:effectLst>
            <a:glow rad="25400">
              <a:schemeClr val="accent1">
                <a:alpha val="40000"/>
              </a:schemeClr>
            </a:glow>
          </a:effectLst>
        </c:spPr>
      </c:pivotFmt>
      <c:pivotFmt>
        <c:idx val="4"/>
        <c:spPr>
          <a:solidFill>
            <a:schemeClr val="accent1"/>
          </a:solidFill>
          <a:ln w="19050" cap="flat" cmpd="dbl">
            <a:solidFill>
              <a:schemeClr val="accent1">
                <a:alpha val="87000"/>
              </a:schemeClr>
            </a:solidFill>
          </a:ln>
          <a:effectLst>
            <a:glow rad="25400">
              <a:schemeClr val="accent1">
                <a:alpha val="40000"/>
              </a:schemeClr>
            </a:glow>
          </a:effectLst>
        </c:spPr>
      </c:pivotFmt>
    </c:pivotFmts>
    <c:plotArea>
      <c:layout>
        <c:manualLayout>
          <c:layoutTarget val="inner"/>
          <c:xMode val="edge"/>
          <c:yMode val="edge"/>
          <c:x val="0.27615563653720976"/>
          <c:y val="0.23731753849320397"/>
          <c:w val="0.45554575608300318"/>
          <c:h val="0.70440883569754476"/>
        </c:manualLayout>
      </c:layout>
      <c:pieChart>
        <c:varyColors val="1"/>
        <c:ser>
          <c:idx val="0"/>
          <c:order val="0"/>
          <c:tx>
            <c:strRef>
              <c:f>'PIVOT TABLE'!$F$4</c:f>
              <c:strCache>
                <c:ptCount val="1"/>
                <c:pt idx="0">
                  <c:v>Total</c:v>
                </c:pt>
              </c:strCache>
            </c:strRef>
          </c:tx>
          <c:spPr>
            <a:ln cap="flat" cmpd="dbl">
              <a:solidFill>
                <a:schemeClr val="accent1">
                  <a:alpha val="87000"/>
                </a:schemeClr>
              </a:solidFill>
            </a:ln>
            <a:effectLst>
              <a:glow rad="25400">
                <a:schemeClr val="accent1">
                  <a:alpha val="40000"/>
                </a:schemeClr>
              </a:glow>
            </a:effectLst>
          </c:spPr>
          <c:dPt>
            <c:idx val="0"/>
            <c:bubble3D val="0"/>
            <c:spPr>
              <a:solidFill>
                <a:schemeClr val="accent1"/>
              </a:solidFill>
              <a:ln w="19050" cap="flat" cmpd="dbl">
                <a:solidFill>
                  <a:schemeClr val="accent1">
                    <a:alpha val="87000"/>
                  </a:schemeClr>
                </a:solidFill>
              </a:ln>
              <a:effectLst>
                <a:glow rad="25400">
                  <a:schemeClr val="accent1">
                    <a:alpha val="40000"/>
                  </a:schemeClr>
                </a:glow>
              </a:effectLst>
            </c:spPr>
            <c:extLst>
              <c:ext xmlns:c16="http://schemas.microsoft.com/office/drawing/2014/chart" uri="{C3380CC4-5D6E-409C-BE32-E72D297353CC}">
                <c16:uniqueId val="{00000001-3FFE-4D4B-826A-18B492747D65}"/>
              </c:ext>
            </c:extLst>
          </c:dPt>
          <c:dPt>
            <c:idx val="1"/>
            <c:bubble3D val="0"/>
            <c:spPr>
              <a:solidFill>
                <a:schemeClr val="accent2"/>
              </a:solidFill>
              <a:ln w="19050" cap="flat" cmpd="dbl">
                <a:solidFill>
                  <a:schemeClr val="accent1">
                    <a:alpha val="87000"/>
                  </a:schemeClr>
                </a:solidFill>
              </a:ln>
              <a:effectLst>
                <a:glow rad="25400">
                  <a:schemeClr val="accent1">
                    <a:alpha val="40000"/>
                  </a:schemeClr>
                </a:glow>
              </a:effectLst>
            </c:spPr>
            <c:extLst>
              <c:ext xmlns:c16="http://schemas.microsoft.com/office/drawing/2014/chart" uri="{C3380CC4-5D6E-409C-BE32-E72D297353CC}">
                <c16:uniqueId val="{00000003-3FFE-4D4B-826A-18B492747D65}"/>
              </c:ext>
            </c:extLst>
          </c:dPt>
          <c:dPt>
            <c:idx val="2"/>
            <c:bubble3D val="0"/>
            <c:spPr>
              <a:solidFill>
                <a:schemeClr val="accent3"/>
              </a:solidFill>
              <a:ln w="19050" cap="flat" cmpd="dbl">
                <a:solidFill>
                  <a:schemeClr val="accent1">
                    <a:alpha val="87000"/>
                  </a:schemeClr>
                </a:solidFill>
              </a:ln>
              <a:effectLst>
                <a:glow rad="25400">
                  <a:schemeClr val="accent1">
                    <a:alpha val="40000"/>
                  </a:schemeClr>
                </a:glow>
              </a:effectLst>
            </c:spPr>
            <c:extLst>
              <c:ext xmlns:c16="http://schemas.microsoft.com/office/drawing/2014/chart" uri="{C3380CC4-5D6E-409C-BE32-E72D297353CC}">
                <c16:uniqueId val="{00000005-3FFE-4D4B-826A-18B492747D65}"/>
              </c:ext>
            </c:extLst>
          </c:dPt>
          <c:cat>
            <c:strRef>
              <c:f>'PIVOT TABLE'!$E$5:$E$8</c:f>
              <c:strCache>
                <c:ptCount val="3"/>
                <c:pt idx="0">
                  <c:v>Female</c:v>
                </c:pt>
                <c:pt idx="1">
                  <c:v>Male</c:v>
                </c:pt>
                <c:pt idx="2">
                  <c:v>Unspecified</c:v>
                </c:pt>
              </c:strCache>
            </c:strRef>
          </c:cat>
          <c:val>
            <c:numRef>
              <c:f>'PIVOT TABLE'!$F$5:$F$8</c:f>
              <c:numCache>
                <c:formatCode>General</c:formatCode>
                <c:ptCount val="3"/>
                <c:pt idx="0">
                  <c:v>331879484.15000004</c:v>
                </c:pt>
                <c:pt idx="1">
                  <c:v>129180465.33999994</c:v>
                </c:pt>
                <c:pt idx="2">
                  <c:v>2659597.2799999998</c:v>
                </c:pt>
              </c:numCache>
            </c:numRef>
          </c:val>
          <c:extLst>
            <c:ext xmlns:c16="http://schemas.microsoft.com/office/drawing/2014/chart" uri="{C3380CC4-5D6E-409C-BE32-E72D297353CC}">
              <c16:uniqueId val="{00000006-3FFE-4D4B-826A-18B492747D6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356428109245002"/>
          <c:y val="0.38626152691559668"/>
          <c:w val="0.19648195821284484"/>
          <c:h val="0.3491614816962770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2.xlsx]PIVOT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Black" panose="02040A04050005020304" pitchFamily="18" charset="0"/>
              </a:rPr>
              <a:t>DOCTOR</a:t>
            </a:r>
            <a:r>
              <a:rPr lang="en-US" b="1" baseline="0">
                <a:latin typeface="Amasis MT Pro Black" panose="02040A04050005020304" pitchFamily="18" charset="0"/>
              </a:rPr>
              <a:t> WISE PATIENT</a:t>
            </a:r>
          </a:p>
          <a:p>
            <a:pPr>
              <a:defRPr/>
            </a:pPr>
            <a:endParaRPr lang="en-US"/>
          </a:p>
        </c:rich>
      </c:tx>
      <c:layout>
        <c:manualLayout>
          <c:xMode val="edge"/>
          <c:yMode val="edge"/>
          <c:x val="0.27617376986550513"/>
          <c:y val="1.208161007818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TABLE'!$M$4</c:f>
              <c:strCache>
                <c:ptCount val="1"/>
                <c:pt idx="0">
                  <c:v>Total</c:v>
                </c:pt>
              </c:strCache>
            </c:strRef>
          </c:tx>
          <c:spPr>
            <a:solidFill>
              <a:schemeClr val="accent1"/>
            </a:solidFill>
            <a:ln>
              <a:noFill/>
            </a:ln>
            <a:effectLst/>
          </c:spPr>
          <c:invertIfNegative val="0"/>
          <c:cat>
            <c:strRef>
              <c:f>'PIVOT TABLE'!$L$5:$L$27</c:f>
              <c:strCache>
                <c:ptCount val="22"/>
                <c:pt idx="0">
                  <c:v>Dr.Anoop Misra</c:v>
                </c:pt>
                <c:pt idx="1">
                  <c:v>Dr.Arvind Bagga</c:v>
                </c:pt>
                <c:pt idx="2">
                  <c:v>Dr.Ashok Seth</c:v>
                </c:pt>
                <c:pt idx="3">
                  <c:v>Dr.Atul Gogia</c:v>
                </c:pt>
                <c:pt idx="4">
                  <c:v>Dr.Devi Shetty</c:v>
                </c:pt>
                <c:pt idx="5">
                  <c:v>Dr.Govind Makharia</c:v>
                </c:pt>
                <c:pt idx="6">
                  <c:v>Dr.Harit Chaturvedi</c:v>
                </c:pt>
                <c:pt idx="7">
                  <c:v>Dr.Harshavardhan Hegde</c:v>
                </c:pt>
                <c:pt idx="8">
                  <c:v>Dr.Krishan Chugh</c:v>
                </c:pt>
                <c:pt idx="9">
                  <c:v>Dr.Mukul Varma</c:v>
                </c:pt>
                <c:pt idx="10">
                  <c:v>Dr.Naresh Trehan</c:v>
                </c:pt>
                <c:pt idx="11">
                  <c:v>Dr.P. N. Renjen</c:v>
                </c:pt>
                <c:pt idx="12">
                  <c:v>Dr.R. K. Singhal</c:v>
                </c:pt>
                <c:pt idx="13">
                  <c:v>Dr.Ramneek Mahajan</c:v>
                </c:pt>
                <c:pt idx="14">
                  <c:v>Dr.Randhir Sud</c:v>
                </c:pt>
                <c:pt idx="15">
                  <c:v>Dr.Sks Marya</c:v>
                </c:pt>
                <c:pt idx="16">
                  <c:v>Dr.Subhash Gupta</c:v>
                </c:pt>
                <c:pt idx="17">
                  <c:v>Dr.Suresh Advani</c:v>
                </c:pt>
                <c:pt idx="18">
                  <c:v>Dr.Sushil Razdan</c:v>
                </c:pt>
                <c:pt idx="19">
                  <c:v>Dr.Unknown</c:v>
                </c:pt>
                <c:pt idx="20">
                  <c:v>Dr.Veena Kalra</c:v>
                </c:pt>
                <c:pt idx="21">
                  <c:v>Dr.Vinod Raina</c:v>
                </c:pt>
              </c:strCache>
            </c:strRef>
          </c:cat>
          <c:val>
            <c:numRef>
              <c:f>'PIVOT TABLE'!$M$5:$M$27</c:f>
              <c:numCache>
                <c:formatCode>General</c:formatCode>
                <c:ptCount val="22"/>
                <c:pt idx="0">
                  <c:v>17</c:v>
                </c:pt>
                <c:pt idx="1">
                  <c:v>16</c:v>
                </c:pt>
                <c:pt idx="2">
                  <c:v>16</c:v>
                </c:pt>
                <c:pt idx="3">
                  <c:v>17</c:v>
                </c:pt>
                <c:pt idx="4">
                  <c:v>11</c:v>
                </c:pt>
                <c:pt idx="5">
                  <c:v>15</c:v>
                </c:pt>
                <c:pt idx="6">
                  <c:v>20</c:v>
                </c:pt>
                <c:pt idx="7">
                  <c:v>16</c:v>
                </c:pt>
                <c:pt idx="8">
                  <c:v>14</c:v>
                </c:pt>
                <c:pt idx="9">
                  <c:v>14</c:v>
                </c:pt>
                <c:pt idx="10">
                  <c:v>18</c:v>
                </c:pt>
                <c:pt idx="11">
                  <c:v>21</c:v>
                </c:pt>
                <c:pt idx="12">
                  <c:v>15</c:v>
                </c:pt>
                <c:pt idx="13">
                  <c:v>18</c:v>
                </c:pt>
                <c:pt idx="14">
                  <c:v>19</c:v>
                </c:pt>
                <c:pt idx="15">
                  <c:v>24</c:v>
                </c:pt>
                <c:pt idx="16">
                  <c:v>17</c:v>
                </c:pt>
                <c:pt idx="17">
                  <c:v>26</c:v>
                </c:pt>
                <c:pt idx="18">
                  <c:v>12</c:v>
                </c:pt>
                <c:pt idx="19">
                  <c:v>18</c:v>
                </c:pt>
                <c:pt idx="20">
                  <c:v>16</c:v>
                </c:pt>
                <c:pt idx="21">
                  <c:v>15</c:v>
                </c:pt>
              </c:numCache>
            </c:numRef>
          </c:val>
          <c:extLst>
            <c:ext xmlns:c16="http://schemas.microsoft.com/office/drawing/2014/chart" uri="{C3380CC4-5D6E-409C-BE32-E72D297353CC}">
              <c16:uniqueId val="{00000000-ED75-4920-A439-A190D20D2D2E}"/>
            </c:ext>
          </c:extLst>
        </c:ser>
        <c:dLbls>
          <c:showLegendKey val="0"/>
          <c:showVal val="0"/>
          <c:showCatName val="0"/>
          <c:showSerName val="0"/>
          <c:showPercent val="0"/>
          <c:showBubbleSize val="0"/>
        </c:dLbls>
        <c:gapWidth val="182"/>
        <c:axId val="283771136"/>
        <c:axId val="442263375"/>
      </c:barChart>
      <c:catAx>
        <c:axId val="28377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263375"/>
        <c:crosses val="autoZero"/>
        <c:auto val="1"/>
        <c:lblAlgn val="ctr"/>
        <c:lblOffset val="100"/>
        <c:noMultiLvlLbl val="0"/>
      </c:catAx>
      <c:valAx>
        <c:axId val="442263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77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2.xlsx]PIVOT TABLE!PivotTable12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TABLE'!$F$19</c:f>
              <c:strCache>
                <c:ptCount val="1"/>
                <c:pt idx="0">
                  <c:v>Total</c:v>
                </c:pt>
              </c:strCache>
            </c:strRef>
          </c:tx>
          <c:spPr>
            <a:solidFill>
              <a:schemeClr val="accent1"/>
            </a:solidFill>
            <a:ln>
              <a:noFill/>
            </a:ln>
            <a:effectLst/>
          </c:spPr>
          <c:invertIfNegative val="0"/>
          <c:cat>
            <c:strRef>
              <c:f>'PIVOT TABLE'!$E$20:$E$28</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TABLE'!$F$20:$F$28</c:f>
              <c:numCache>
                <c:formatCode>General</c:formatCode>
                <c:ptCount val="8"/>
                <c:pt idx="0">
                  <c:v>3004</c:v>
                </c:pt>
                <c:pt idx="1">
                  <c:v>2383</c:v>
                </c:pt>
                <c:pt idx="2">
                  <c:v>1784</c:v>
                </c:pt>
                <c:pt idx="3">
                  <c:v>2266</c:v>
                </c:pt>
                <c:pt idx="4">
                  <c:v>2944</c:v>
                </c:pt>
                <c:pt idx="5">
                  <c:v>2704</c:v>
                </c:pt>
                <c:pt idx="6">
                  <c:v>2151</c:v>
                </c:pt>
                <c:pt idx="7">
                  <c:v>626</c:v>
                </c:pt>
              </c:numCache>
            </c:numRef>
          </c:val>
          <c:extLst>
            <c:ext xmlns:c16="http://schemas.microsoft.com/office/drawing/2014/chart" uri="{C3380CC4-5D6E-409C-BE32-E72D297353CC}">
              <c16:uniqueId val="{00000000-B931-4ED7-A5E9-2A6AC66FAC00}"/>
            </c:ext>
          </c:extLst>
        </c:ser>
        <c:dLbls>
          <c:showLegendKey val="0"/>
          <c:showVal val="0"/>
          <c:showCatName val="0"/>
          <c:showSerName val="0"/>
          <c:showPercent val="0"/>
          <c:showBubbleSize val="0"/>
        </c:dLbls>
        <c:gapWidth val="219"/>
        <c:overlap val="-27"/>
        <c:axId val="332489247"/>
        <c:axId val="442275375"/>
      </c:barChart>
      <c:catAx>
        <c:axId val="33248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42275375"/>
        <c:crosses val="autoZero"/>
        <c:auto val="1"/>
        <c:lblAlgn val="ctr"/>
        <c:lblOffset val="100"/>
        <c:noMultiLvlLbl val="0"/>
      </c:catAx>
      <c:valAx>
        <c:axId val="44227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8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2.xlsx]PIVOT TABLE!PivotTable12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PATIENT</a:t>
            </a:r>
            <a:r>
              <a:rPr lang="en-US" b="1" baseline="0"/>
              <a:t> ID WISE AGE</a:t>
            </a:r>
          </a:p>
          <a:p>
            <a:pPr>
              <a:defRPr/>
            </a:pPr>
            <a:endParaRPr lang="en-US"/>
          </a:p>
        </c:rich>
      </c:tx>
      <c:layout>
        <c:manualLayout>
          <c:xMode val="edge"/>
          <c:yMode val="edge"/>
          <c:x val="0.27125498756154409"/>
          <c:y val="2.5042237452269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TABLE'!$F$19</c:f>
              <c:strCache>
                <c:ptCount val="1"/>
                <c:pt idx="0">
                  <c:v>Total</c:v>
                </c:pt>
              </c:strCache>
            </c:strRef>
          </c:tx>
          <c:spPr>
            <a:solidFill>
              <a:schemeClr val="accent1"/>
            </a:solidFill>
            <a:ln>
              <a:noFill/>
            </a:ln>
            <a:effectLst/>
          </c:spPr>
          <c:invertIfNegative val="0"/>
          <c:cat>
            <c:strRef>
              <c:f>'PIVOT TABLE'!$E$20:$E$28</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TABLE'!$F$20:$F$28</c:f>
              <c:numCache>
                <c:formatCode>General</c:formatCode>
                <c:ptCount val="8"/>
                <c:pt idx="0">
                  <c:v>3004</c:v>
                </c:pt>
                <c:pt idx="1">
                  <c:v>2383</c:v>
                </c:pt>
                <c:pt idx="2">
                  <c:v>1784</c:v>
                </c:pt>
                <c:pt idx="3">
                  <c:v>2266</c:v>
                </c:pt>
                <c:pt idx="4">
                  <c:v>2944</c:v>
                </c:pt>
                <c:pt idx="5">
                  <c:v>2704</c:v>
                </c:pt>
                <c:pt idx="6">
                  <c:v>2151</c:v>
                </c:pt>
                <c:pt idx="7">
                  <c:v>626</c:v>
                </c:pt>
              </c:numCache>
            </c:numRef>
          </c:val>
          <c:extLst>
            <c:ext xmlns:c16="http://schemas.microsoft.com/office/drawing/2014/chart" uri="{C3380CC4-5D6E-409C-BE32-E72D297353CC}">
              <c16:uniqueId val="{00000000-FF11-4A91-836D-E12D7E7E44D6}"/>
            </c:ext>
          </c:extLst>
        </c:ser>
        <c:dLbls>
          <c:showLegendKey val="0"/>
          <c:showVal val="0"/>
          <c:showCatName val="0"/>
          <c:showSerName val="0"/>
          <c:showPercent val="0"/>
          <c:showBubbleSize val="0"/>
        </c:dLbls>
        <c:gapWidth val="182"/>
        <c:axId val="214301200"/>
        <c:axId val="2127104975"/>
      </c:barChart>
      <c:catAx>
        <c:axId val="21430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104975"/>
        <c:crosses val="autoZero"/>
        <c:auto val="1"/>
        <c:lblAlgn val="ctr"/>
        <c:lblOffset val="100"/>
        <c:noMultiLvlLbl val="0"/>
      </c:catAx>
      <c:valAx>
        <c:axId val="2127104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0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179134</xdr:rowOff>
    </xdr:from>
    <xdr:to>
      <xdr:col>5</xdr:col>
      <xdr:colOff>643944</xdr:colOff>
      <xdr:row>22</xdr:row>
      <xdr:rowOff>10734</xdr:rowOff>
    </xdr:to>
    <xdr:graphicFrame macro="">
      <xdr:nvGraphicFramePr>
        <xdr:cNvPr id="8" name="Chart 1">
          <a:extLst>
            <a:ext uri="{FF2B5EF4-FFF2-40B4-BE49-F238E27FC236}">
              <a16:creationId xmlns:a16="http://schemas.microsoft.com/office/drawing/2014/main" id="{67377FC8-0569-21FD-54E4-A3F2DF393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686875</xdr:colOff>
      <xdr:row>7</xdr:row>
      <xdr:rowOff>139521</xdr:rowOff>
    </xdr:from>
    <xdr:to>
      <xdr:col>11</xdr:col>
      <xdr:colOff>311240</xdr:colOff>
      <xdr:row>21</xdr:row>
      <xdr:rowOff>214647</xdr:rowOff>
    </xdr:to>
    <xdr:graphicFrame macro="">
      <xdr:nvGraphicFramePr>
        <xdr:cNvPr id="9" name="Chart 2">
          <a:extLst>
            <a:ext uri="{FF2B5EF4-FFF2-40B4-BE49-F238E27FC236}">
              <a16:creationId xmlns:a16="http://schemas.microsoft.com/office/drawing/2014/main" id="{2DF68C0F-9807-ECEF-A9D3-3DD73A831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343438</xdr:colOff>
      <xdr:row>7</xdr:row>
      <xdr:rowOff>107324</xdr:rowOff>
    </xdr:from>
    <xdr:to>
      <xdr:col>20</xdr:col>
      <xdr:colOff>536621</xdr:colOff>
      <xdr:row>21</xdr:row>
      <xdr:rowOff>203916</xdr:rowOff>
    </xdr:to>
    <xdr:graphicFrame macro="">
      <xdr:nvGraphicFramePr>
        <xdr:cNvPr id="10" name="Chart 3">
          <a:extLst>
            <a:ext uri="{FF2B5EF4-FFF2-40B4-BE49-F238E27FC236}">
              <a16:creationId xmlns:a16="http://schemas.microsoft.com/office/drawing/2014/main" id="{06010C77-2E65-E4B8-9521-B445AE57C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18003</xdr:colOff>
      <xdr:row>22</xdr:row>
      <xdr:rowOff>8148</xdr:rowOff>
    </xdr:from>
    <xdr:to>
      <xdr:col>5</xdr:col>
      <xdr:colOff>676141</xdr:colOff>
      <xdr:row>35</xdr:row>
      <xdr:rowOff>0</xdr:rowOff>
    </xdr:to>
    <xdr:graphicFrame macro="">
      <xdr:nvGraphicFramePr>
        <xdr:cNvPr id="12" name="Chart 6">
          <a:extLst>
            <a:ext uri="{FF2B5EF4-FFF2-40B4-BE49-F238E27FC236}">
              <a16:creationId xmlns:a16="http://schemas.microsoft.com/office/drawing/2014/main" id="{8E14089C-9C69-1C2F-7166-6F7DC3385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675218</xdr:colOff>
      <xdr:row>22</xdr:row>
      <xdr:rowOff>32198</xdr:rowOff>
    </xdr:from>
    <xdr:to>
      <xdr:col>11</xdr:col>
      <xdr:colOff>343437</xdr:colOff>
      <xdr:row>34</xdr:row>
      <xdr:rowOff>225379</xdr:rowOff>
    </xdr:to>
    <xdr:graphicFrame macro="">
      <xdr:nvGraphicFramePr>
        <xdr:cNvPr id="13" name="Chart 8">
          <a:extLst>
            <a:ext uri="{FF2B5EF4-FFF2-40B4-BE49-F238E27FC236}">
              <a16:creationId xmlns:a16="http://schemas.microsoft.com/office/drawing/2014/main" id="{69E5EDAC-7EA6-4BCA-00E0-89389A49A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346171</xdr:colOff>
      <xdr:row>22</xdr:row>
      <xdr:rowOff>20361</xdr:rowOff>
    </xdr:from>
    <xdr:to>
      <xdr:col>20</xdr:col>
      <xdr:colOff>558084</xdr:colOff>
      <xdr:row>35</xdr:row>
      <xdr:rowOff>21465</xdr:rowOff>
    </xdr:to>
    <xdr:graphicFrame macro="">
      <xdr:nvGraphicFramePr>
        <xdr:cNvPr id="15" name="Chart 12">
          <a:extLst>
            <a:ext uri="{FF2B5EF4-FFF2-40B4-BE49-F238E27FC236}">
              <a16:creationId xmlns:a16="http://schemas.microsoft.com/office/drawing/2014/main" id="{0205D3FA-07B3-49DB-A13B-29B375A52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171718</xdr:colOff>
      <xdr:row>35</xdr:row>
      <xdr:rowOff>78669</xdr:rowOff>
    </xdr:from>
    <xdr:to>
      <xdr:col>8</xdr:col>
      <xdr:colOff>739063</xdr:colOff>
      <xdr:row>45</xdr:row>
      <xdr:rowOff>193184</xdr:rowOff>
    </xdr:to>
    <mc:AlternateContent xmlns:mc="http://schemas.openxmlformats.org/markup-compatibility/2006" xmlns:a14="http://schemas.microsoft.com/office/drawing/2010/main">
      <mc:Choice Requires="a14">
        <xdr:graphicFrame macro="">
          <xdr:nvGraphicFramePr>
            <xdr:cNvPr id="16" name="Patient_Name">
              <a:extLst>
                <a:ext uri="{FF2B5EF4-FFF2-40B4-BE49-F238E27FC236}">
                  <a16:creationId xmlns:a16="http://schemas.microsoft.com/office/drawing/2014/main" id="{451A45D3-1F68-30D2-072F-53FF333DF6DB}"/>
                </a:ext>
              </a:extLst>
            </xdr:cNvPr>
            <xdr:cNvGraphicFramePr/>
          </xdr:nvGraphicFramePr>
          <xdr:xfrm>
            <a:off x="0" y="0"/>
            <a:ext cx="0" cy="0"/>
          </xdr:xfrm>
          <a:graphic>
            <a:graphicData uri="http://schemas.microsoft.com/office/drawing/2010/slicer">
              <sle:slicer xmlns:sle="http://schemas.microsoft.com/office/drawing/2010/slicer" name="Patient_Name"/>
            </a:graphicData>
          </a:graphic>
        </xdr:graphicFrame>
      </mc:Choice>
      <mc:Fallback xmlns="">
        <xdr:sp macro="" textlink="">
          <xdr:nvSpPr>
            <xdr:cNvPr id="0" name=""/>
            <xdr:cNvSpPr>
              <a:spLocks noTextEdit="1"/>
            </xdr:cNvSpPr>
          </xdr:nvSpPr>
          <xdr:spPr>
            <a:xfrm>
              <a:off x="3928056" y="8106500"/>
              <a:ext cx="1921099" cy="2368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196725</xdr:colOff>
      <xdr:row>35</xdr:row>
      <xdr:rowOff>75128</xdr:rowOff>
    </xdr:from>
    <xdr:to>
      <xdr:col>5</xdr:col>
      <xdr:colOff>687131</xdr:colOff>
      <xdr:row>45</xdr:row>
      <xdr:rowOff>182451</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77A047C1-6E72-5C9D-021F-9B7CD23381B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31964" y="8102959"/>
              <a:ext cx="1828800" cy="236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51409</xdr:rowOff>
    </xdr:from>
    <xdr:to>
      <xdr:col>2</xdr:col>
      <xdr:colOff>643312</xdr:colOff>
      <xdr:row>45</xdr:row>
      <xdr:rowOff>203915</xdr:rowOff>
    </xdr:to>
    <mc:AlternateContent xmlns:mc="http://schemas.openxmlformats.org/markup-compatibility/2006" xmlns:a14="http://schemas.microsoft.com/office/drawing/2010/main">
      <mc:Choice Requires="a14">
        <xdr:graphicFrame macro="">
          <xdr:nvGraphicFramePr>
            <xdr:cNvPr id="18" name="Doctor">
              <a:extLst>
                <a:ext uri="{FF2B5EF4-FFF2-40B4-BE49-F238E27FC236}">
                  <a16:creationId xmlns:a16="http://schemas.microsoft.com/office/drawing/2014/main" id="{3D3B8EEB-207B-78D8-EF20-F5DCBA085F14}"/>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0" y="8079240"/>
              <a:ext cx="1985492" cy="2406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912254</xdr:colOff>
      <xdr:row>35</xdr:row>
      <xdr:rowOff>46472</xdr:rowOff>
    </xdr:from>
    <xdr:to>
      <xdr:col>11</xdr:col>
      <xdr:colOff>417769</xdr:colOff>
      <xdr:row>45</xdr:row>
      <xdr:rowOff>171719</xdr:rowOff>
    </xdr:to>
    <mc:AlternateContent xmlns:mc="http://schemas.openxmlformats.org/markup-compatibility/2006" xmlns:a14="http://schemas.microsoft.com/office/drawing/2010/main">
      <mc:Choice Requires="a14">
        <xdr:graphicFrame macro="">
          <xdr:nvGraphicFramePr>
            <xdr:cNvPr id="19" name="Payment_Status">
              <a:extLst>
                <a:ext uri="{FF2B5EF4-FFF2-40B4-BE49-F238E27FC236}">
                  <a16:creationId xmlns:a16="http://schemas.microsoft.com/office/drawing/2014/main" id="{9EFB965F-BD10-CD75-B951-5771F88B61F9}"/>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5902817" y="8074303"/>
              <a:ext cx="1928933" cy="237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29881</xdr:colOff>
      <xdr:row>35</xdr:row>
      <xdr:rowOff>59765</xdr:rowOff>
    </xdr:from>
    <xdr:to>
      <xdr:col>20</xdr:col>
      <xdr:colOff>597646</xdr:colOff>
      <xdr:row>45</xdr:row>
      <xdr:rowOff>209176</xdr:rowOff>
    </xdr:to>
    <xdr:sp macro="" textlink="">
      <xdr:nvSpPr>
        <xdr:cNvPr id="2" name="Rectangle 1">
          <a:extLst>
            <a:ext uri="{FF2B5EF4-FFF2-40B4-BE49-F238E27FC236}">
              <a16:creationId xmlns:a16="http://schemas.microsoft.com/office/drawing/2014/main" id="{AD86E2FD-E77B-698E-6148-EFC9920C5FE7}"/>
            </a:ext>
          </a:extLst>
        </xdr:cNvPr>
        <xdr:cNvSpPr/>
      </xdr:nvSpPr>
      <xdr:spPr>
        <a:xfrm>
          <a:off x="7844116" y="8038353"/>
          <a:ext cx="3556001" cy="239058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u="sng">
              <a:latin typeface="Abadi" panose="020F0502020204030204" pitchFamily="34" charset="0"/>
            </a:rPr>
            <a:t>CONCLUSION</a:t>
          </a:r>
        </a:p>
        <a:p>
          <a:pPr algn="ctr"/>
          <a:endParaRPr lang="en-IN" sz="1800" b="1" u="sng">
            <a:latin typeface="Abadi" panose="020F050202020403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tx1"/>
              </a:solidFill>
            </a:rPr>
            <a:t>The hospital dataset helps analyze patient distribution, department performance, and payment status. The analysis highlights the need to improve payment tracking, maintain accurate patient records, and correct data errors to support better hospital management and decision-making.</a:t>
          </a:r>
        </a:p>
        <a:p>
          <a:pPr algn="ctr"/>
          <a:endParaRPr lang="en-IN" sz="1100" b="1" u="sng">
            <a:latin typeface="Abadi" panose="020F050202020403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3.54757141204" createdVersion="8" refreshedVersion="8" minRefreshableVersion="3" recordCount="375" xr:uid="{C2918C0A-4BA1-4EB1-A223-3F6A7BFA7AF6}">
  <cacheSource type="worksheet">
    <worksheetSource name="Table2_1"/>
  </cacheSource>
  <cacheFields count="15">
    <cacheField name="Patient_ID" numFmtId="0">
      <sharedItems/>
    </cacheField>
    <cacheField name="Patient_Name" numFmtId="0">
      <sharedItems count="217">
        <s v="Ritu Singh"/>
        <s v="Pooja Bose"/>
        <s v="Neha Sharma"/>
        <s v="Ananya Gupta"/>
        <s v="Priya Mehta"/>
        <s v="Manoj Verma"/>
        <s v="Ritu Nair"/>
        <s v="Neha Iyer"/>
        <s v="Meera Iyer"/>
        <s v="Kabir Patel"/>
        <s v="Deepak Bose"/>
        <s v="Meera Reddy"/>
        <s v="Ananya Bose"/>
        <s v="Manoj Kumar"/>
        <s v="Vikram Mehta"/>
        <s v="Diya Reddy"/>
        <s v="Anita Iyer"/>
        <s v="Sneha Kumar"/>
        <s v="Vikram Patel"/>
        <s v="Ramesh Nair"/>
        <s v="Kavita Singh"/>
        <s v="Suresh Iyer"/>
        <s v="Kabir Singh"/>
        <s v="Sneha Iyer"/>
        <s v="Ritu Patel"/>
        <s v="Rajesh Sharma"/>
        <s v="Ritu Sharma"/>
        <s v="Anjali Nair"/>
        <s v="Meera Kumar"/>
        <s v="Priya Verma"/>
        <s v="Neha Patel"/>
        <s v="Kabir Mehta"/>
        <s v="Manoj Joshi"/>
        <s v="Deepak_Singh"/>
        <s v="Sunita Gupta"/>
        <s v="Ramesh Bose"/>
        <s v="Meera Patel"/>
        <s v="Manoj Bose"/>
        <s v="Ananya Reddy"/>
        <s v="Ramesh Verma"/>
        <s v="Neha Singh"/>
        <s v="Rohan Patel"/>
        <s v="Sunita Nair"/>
        <s v="Unknown"/>
        <s v="Aarav Bose"/>
        <s v="Sneha Joshi"/>
        <s v="Anjali Verma"/>
        <s v="Priya Nair"/>
        <s v="Meera Mehta"/>
        <s v="Kabir Verma"/>
        <s v="Amit Nair"/>
        <s v="Priya Sharma"/>
        <s v="Ramesh Gupta"/>
        <s v="Suresh Mehta"/>
        <s v="Deepak Kumar"/>
        <s v="Suresh Singh"/>
        <s v="Ritu Mehta"/>
        <s v="Pooja Joshi"/>
        <s v="Rajesh Iyer"/>
        <s v="Aarav Verma"/>
        <s v="Ritu Bose"/>
        <s v="Kavita Iyer"/>
        <s v="Deepak Iyer"/>
        <s v="Pooja Reddy"/>
        <s v="Diya Joshi"/>
        <s v="Priya Reddy"/>
        <s v="Ramesh Mehta"/>
        <s v="Deepak Mehta"/>
        <s v="Deepak Singh"/>
        <s v="Priya Bose"/>
        <s v="Ananya Kumar"/>
        <s v="Anjali Kumar"/>
        <s v="Amit Iyer"/>
        <s v="Vihaan Gupta"/>
        <s v="Kabir_Mehta"/>
        <s v="Manoj Patel"/>
        <s v="Diya_Singh"/>
        <s v="Vihaan Singh"/>
        <s v="Kavita Verma"/>
        <s v="Priya Gupta"/>
        <s v="Rajesh Joshi"/>
        <s v="Vikram Nair"/>
        <s v="Vihaan Reddy"/>
        <s v="Kavita Bose"/>
        <s v="Rohan Sharma"/>
        <s v="Amit Mehta"/>
        <s v="Vikram Reddy"/>
        <s v="Anita Verma"/>
        <s v="Kabir Iyer"/>
        <s v="Rajesh Singh"/>
        <s v="Kavita Sharma"/>
        <s v="Rajesh Kumar"/>
        <s v="Ananya Mehta"/>
        <s v="Kavita Patel"/>
        <s v="Kavita Joshi"/>
        <s v="Pooja Singh"/>
        <s v="Neha Joshi"/>
        <s v="Ananya Joshi"/>
        <s v="Ramesh Sharma"/>
        <s v="Kavita Reddy"/>
        <s v="Aditya Nair"/>
        <s v="Rohan Joshi"/>
        <s v="Deepak Sharma"/>
        <s v="Kabir Nair"/>
        <s v="Ananya Nair"/>
        <s v="Rohan Verma"/>
        <s v="Kavita Mehta"/>
        <s v="Ramesh Singh"/>
        <s v="Kabir Joshi"/>
        <s v="Aarav Gupta"/>
        <s v="Ramesh Joshi"/>
        <s v="Aarav Patel"/>
        <s v="Diya Sharma"/>
        <s v="Rohan Singh"/>
        <s v="Aarav Reddy"/>
        <s v="Priya Joshi"/>
        <s v="Priya Iyer"/>
        <s v="Diya Iyer"/>
        <s v="Anjali Joshi"/>
        <s v="Aarav Joshi"/>
        <s v="Amit Bose"/>
        <s v="Neha Nair"/>
        <s v="Vikram_Nair"/>
        <s v="Ananya Verma"/>
        <s v="Suresh Joshi"/>
        <s v="Anita Reddy"/>
        <s v="Diya Mehta"/>
        <s v="Anjali Reddy"/>
        <s v="Meera Joshi"/>
        <s v="Pooja Patel"/>
        <s v="Aditya Singh"/>
        <s v="Pooja Gupta"/>
        <s v="Aditya Patel"/>
        <s v="Aditya Mehta"/>
        <s v="Vihaan Joshi"/>
        <s v="Diya Verma"/>
        <s v="Rajesh Mehta"/>
        <s v="Vihaan Bose"/>
        <s v="Vihaan Iyer"/>
        <s v="Anita Patel"/>
        <s v="Amit Verma"/>
        <s v="Deepak Nair"/>
        <s v="Amit Kumar"/>
        <s v="Anita Joshi"/>
        <s v="Vikram Joshi"/>
        <s v="Ramesh Iyer"/>
        <s v="Vikram Gupta"/>
        <s v="Neha Gupta"/>
        <s v="Kavita Nair"/>
        <s v="Aditya Verma"/>
        <s v="Sunita_Joshi"/>
        <s v="Ritu Verma"/>
        <s v="Aarav Kumar"/>
        <s v="Anjali Iyer"/>
        <s v="Anita Mehta"/>
        <s v="Suresh Nair"/>
        <s v="Deepak Joshi"/>
        <s v="Pooja Verma"/>
        <s v="Diya Patel"/>
        <s v="Diya Nair"/>
        <s v="Anjali Bose"/>
        <s v="Ananya Iyer"/>
        <s v="Anita Nair"/>
        <s v="Rajesh Reddy"/>
        <s v="Pooja Sharma"/>
        <s v="Anjali Gupta"/>
        <s v="Sneha Gupta"/>
        <s v="Aarav Mehta"/>
        <s v="Aditya Joshi"/>
        <s v="Pooja Kumar"/>
        <s v="Kabir Bose"/>
        <s v="Ramesh Kumar"/>
        <s v="Rajesh_Singh"/>
        <s v="Diya Gupta"/>
        <s v="Kabir Gupta"/>
        <s v="Manoj Reddy"/>
        <s v="Kabir Reddy"/>
        <s v="Sneha Mehta"/>
        <s v="Meera Bose"/>
        <s v="Vihaan Verma"/>
        <s v="Rajesh Gupta"/>
        <s v="Suresh Verma"/>
        <s v="Priya Singh"/>
        <s v="Aditya_Patel"/>
        <s v="Sneha Patel"/>
        <s v="Ritu Reddy"/>
        <s v="Aditya Reddy"/>
        <s v="Suresh Patel"/>
        <s v="Ritu Kumar"/>
        <s v="Sunita Verma"/>
        <s v="Aditya Iyer"/>
        <s v="Neha Bose"/>
        <s v="Manoj Sharma"/>
        <s v="Anjali Patel"/>
        <s v="Ritu Iyer"/>
        <s v="Aarav Iyer"/>
        <s v="Suresh Gupta"/>
        <s v="Vihaan Nair"/>
        <s v="Rajesh Verma"/>
        <s v="Amit Joshi"/>
        <s v="Sunita Joshi"/>
        <s v="Pooja Mehta"/>
        <s v="Ramesh Patel"/>
        <s v="Deepak Verma"/>
        <s v="Amit Singh"/>
        <s v="Vikram Verma"/>
        <s v="Vikram Iyer"/>
        <s v="Manoj Nair"/>
        <s v="Sunita Kumar"/>
        <s v="Rohan Bose"/>
        <s v="Neha Reddy"/>
        <s v="Vihaan Sharma"/>
        <s v="Rohan Kumar"/>
        <s v="Anita Gupta"/>
        <s v="Amit Patel"/>
        <s v="Rohan Nair"/>
        <s v="Ananya Patel"/>
      </sharedItems>
    </cacheField>
    <cacheField name="Age.1" numFmtId="0">
      <sharedItems containsSemiMixedTypes="0" containsString="0" containsNumber="1" containsInteger="1" minValue="1" maxValue="999"/>
    </cacheField>
    <cacheField name="Gender" numFmtId="0">
      <sharedItems count="3">
        <s v="Female"/>
        <s v="Male"/>
        <s v="Unspecified"/>
      </sharedItems>
    </cacheField>
    <cacheField name="City" numFmtId="0">
      <sharedItems/>
    </cacheField>
    <cacheField name="Department" numFmtId="0">
      <sharedItems count="8">
        <s v="Oncology"/>
        <s v="General Medicine"/>
        <s v="Neurology"/>
        <s v="Pediatrics"/>
        <s v="Cardiology"/>
        <s v="Gastroenterology"/>
        <s v="Orthopedics"/>
        <s v="Unknown"/>
      </sharedItems>
    </cacheField>
    <cacheField name="Doctor" numFmtId="0">
      <sharedItems count="22">
        <s v="Dr.Suresh Advani"/>
        <s v="Dr.Anoop Misra"/>
        <s v="Dr.P. N. Renjen"/>
        <s v="Dr.Arvind Bagga"/>
        <s v="Dr.Unknown"/>
        <s v="Dr.R. K. Singhal"/>
        <s v="Dr.Devi Shetty"/>
        <s v="Dr.Randhir Sud"/>
        <s v="Dr.Vinod Raina"/>
        <s v="Dr.Subhash Gupta"/>
        <s v="Dr.Naresh Trehan"/>
        <s v="Dr.Sks Marya"/>
        <s v="Dr.Veena Kalra"/>
        <s v="Dr.Ramneek Mahajan"/>
        <s v="Dr.Mukul Varma"/>
        <s v="Dr.Ashok Seth"/>
        <s v="Dr.Atul Gogia"/>
        <s v="Dr.Harit Chaturvedi"/>
        <s v="Dr.Harshavardhan Hegde"/>
        <s v="Dr.Sushil Razdan"/>
        <s v="Dr.Krishan Chugh"/>
        <s v="Dr.Govind Makharia"/>
      </sharedItems>
    </cacheField>
    <cacheField name="Admission_Date" numFmtId="14">
      <sharedItems containsSemiMixedTypes="0" containsNonDate="0" containsDate="1" containsString="0" minDate="2025-01-01T00:00:00" maxDate="2025-12-28T00:00:00"/>
    </cacheField>
    <cacheField name="Discharge_Date" numFmtId="14">
      <sharedItems containsSemiMixedTypes="0" containsNonDate="0" containsDate="1" containsString="0" minDate="2025-01-02T00:00:00" maxDate="2026-12-02T00:00:00"/>
    </cacheField>
    <cacheField name="Diagnosis" numFmtId="0">
      <sharedItems/>
    </cacheField>
    <cacheField name="Treatment" numFmtId="0">
      <sharedItems/>
    </cacheField>
    <cacheField name="Bill_Amount" numFmtId="0">
      <sharedItems containsSemiMixedTypes="0" containsString="0" containsNumber="1" minValue="-349245.8" maxValue="99999999"/>
    </cacheField>
    <cacheField name="Insurance" numFmtId="0">
      <sharedItems/>
    </cacheField>
    <cacheField name="Payment_Status" numFmtId="0">
      <sharedItems count="8">
        <s v="Disputed"/>
        <s v="Partially Paid"/>
        <s v="Pending"/>
        <s v="Paid"/>
        <s v="Claim Processing"/>
        <s v="Claim_Pending"/>
        <s v="Unknown"/>
        <s v="Unpaid"/>
      </sharedItems>
    </cacheField>
    <cacheField name="Patient_Status" numFmtId="0">
      <sharedItems/>
    </cacheField>
  </cacheFields>
  <extLst>
    <ext xmlns:x14="http://schemas.microsoft.com/office/spreadsheetml/2009/9/main" uri="{725AE2AE-9491-48be-B2B4-4EB974FC3084}">
      <x14:pivotCacheDefinition pivotCacheId="6714152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3.637674652775" createdVersion="8" refreshedVersion="8" minRefreshableVersion="3" recordCount="375" xr:uid="{34CD39B4-C749-46F3-A20E-9042F151A1F3}">
  <cacheSource type="worksheet">
    <worksheetSource name="Table2_1"/>
  </cacheSource>
  <cacheFields count="15">
    <cacheField name="Patient_ID" numFmtId="0">
      <sharedItems/>
    </cacheField>
    <cacheField name="Patient_Name" numFmtId="0">
      <sharedItems/>
    </cacheField>
    <cacheField name="Age.1" numFmtId="0">
      <sharedItems containsSemiMixedTypes="0" containsString="0" containsNumber="1" containsInteger="1" minValue="1" maxValue="999"/>
    </cacheField>
    <cacheField name="Gender" numFmtId="0">
      <sharedItems count="3">
        <s v="Female"/>
        <s v="Male"/>
        <s v="Unspecified"/>
      </sharedItems>
    </cacheField>
    <cacheField name="City" numFmtId="0">
      <sharedItems/>
    </cacheField>
    <cacheField name="Department" numFmtId="0">
      <sharedItems/>
    </cacheField>
    <cacheField name="Doctor" numFmtId="0">
      <sharedItems/>
    </cacheField>
    <cacheField name="Admission_Date" numFmtId="14">
      <sharedItems containsSemiMixedTypes="0" containsNonDate="0" containsDate="1" containsString="0" minDate="2025-01-01T00:00:00" maxDate="2025-12-28T00:00:00"/>
    </cacheField>
    <cacheField name="Discharge_Date" numFmtId="14">
      <sharedItems containsSemiMixedTypes="0" containsNonDate="0" containsDate="1" containsString="0" minDate="2025-01-02T00:00:00" maxDate="2026-12-02T00:00:00"/>
    </cacheField>
    <cacheField name="Diagnosis" numFmtId="0">
      <sharedItems/>
    </cacheField>
    <cacheField name="Treatment" numFmtId="0">
      <sharedItems/>
    </cacheField>
    <cacheField name="Bill_Amount" numFmtId="0">
      <sharedItems containsSemiMixedTypes="0" containsString="0" containsNumber="1" minValue="-349245.8" maxValue="99999999"/>
    </cacheField>
    <cacheField name="Insurance" numFmtId="0">
      <sharedItems/>
    </cacheField>
    <cacheField name="Payment_Status" numFmtId="0">
      <sharedItems/>
    </cacheField>
    <cacheField name="Patient_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3.638263078705" createdVersion="8" refreshedVersion="8" minRefreshableVersion="3" recordCount="375" xr:uid="{3EC5A1D2-3723-4033-8F46-9E59B6FF8A5A}">
  <cacheSource type="worksheet">
    <worksheetSource name="Table2_1"/>
  </cacheSource>
  <cacheFields count="15">
    <cacheField name="Patient_ID" numFmtId="0">
      <sharedItems/>
    </cacheField>
    <cacheField name="Patient_Name" numFmtId="0">
      <sharedItems/>
    </cacheField>
    <cacheField name="Age.1" numFmtId="0">
      <sharedItems containsSemiMixedTypes="0" containsString="0" containsNumber="1" containsInteger="1" minValue="1" maxValue="999"/>
    </cacheField>
    <cacheField name="Gender" numFmtId="0">
      <sharedItems/>
    </cacheField>
    <cacheField name="City" numFmtId="0">
      <sharedItems/>
    </cacheField>
    <cacheField name="Department" numFmtId="0">
      <sharedItems count="8">
        <s v="Oncology"/>
        <s v="General Medicine"/>
        <s v="Neurology"/>
        <s v="Pediatrics"/>
        <s v="Cardiology"/>
        <s v="Gastroenterology"/>
        <s v="Orthopedics"/>
        <s v="Unknown"/>
      </sharedItems>
    </cacheField>
    <cacheField name="Doctor" numFmtId="0">
      <sharedItems/>
    </cacheField>
    <cacheField name="Admission_Date" numFmtId="14">
      <sharedItems containsSemiMixedTypes="0" containsNonDate="0" containsDate="1" containsString="0" minDate="2025-01-01T00:00:00" maxDate="2025-12-28T00:00:00"/>
    </cacheField>
    <cacheField name="Discharge_Date" numFmtId="14">
      <sharedItems containsSemiMixedTypes="0" containsNonDate="0" containsDate="1" containsString="0" minDate="2025-01-02T00:00:00" maxDate="2026-12-02T00:00:00"/>
    </cacheField>
    <cacheField name="Diagnosis" numFmtId="0">
      <sharedItems/>
    </cacheField>
    <cacheField name="Treatment" numFmtId="0">
      <sharedItems/>
    </cacheField>
    <cacheField name="Bill_Amount" numFmtId="0">
      <sharedItems containsSemiMixedTypes="0" containsString="0" containsNumber="1" minValue="-349245.8" maxValue="99999999"/>
    </cacheField>
    <cacheField name="Insurance" numFmtId="0">
      <sharedItems/>
    </cacheField>
    <cacheField name="Payment_Status" numFmtId="0">
      <sharedItems/>
    </cacheField>
    <cacheField name="Patient_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3.639266782404" createdVersion="8" refreshedVersion="8" minRefreshableVersion="3" recordCount="375" xr:uid="{EDC1B56F-5E54-43CE-BE77-7353B2F81136}">
  <cacheSource type="worksheet">
    <worksheetSource name="Table2_1"/>
  </cacheSource>
  <cacheFields count="15">
    <cacheField name="Patient_ID" numFmtId="0">
      <sharedItems count="370">
        <s v="HOSP-10002"/>
        <s v="HOSP-10003"/>
        <s v="HOSP-135"/>
        <s v="HOSP-10005"/>
        <s v="HOSP-10006"/>
        <s v="HOSP-10007"/>
        <s v="HOSP-10009"/>
        <s v="HOSP-10010"/>
        <s v="HOSP-10013"/>
        <s v="Unknown"/>
        <s v="HOSP-10015"/>
        <s v="HOSP-123"/>
        <s v="HOSP-10017"/>
        <s v="HOSP-10019"/>
        <s v="HOSP-10020"/>
        <s v="HOSP-10022"/>
        <s v="HOSP-10023"/>
        <s v="HOSP-10024"/>
        <s v="HOSP-10027"/>
        <s v="HOSP-10028"/>
        <s v="HOSP-10029"/>
        <s v="HOSP-10030"/>
        <s v="HOSP-10031"/>
        <s v="HOSP-10032"/>
        <s v="HOSP-10035"/>
        <s v="HOSP-10036"/>
        <s v="HOSP-10037"/>
        <s v="HOSP-10040"/>
        <s v="HOSP-10041"/>
        <s v="HOSP-10042"/>
        <s v="HOSP-10045"/>
        <s v="HOSP-10047"/>
        <s v="HOSP-131"/>
        <s v="HOSP-113"/>
        <s v="HOSP-10050"/>
        <s v="HOSP-10051"/>
        <s v="HOSP-10052"/>
        <s v="HOSP-10053"/>
        <s v="HOSP-10054"/>
        <s v="HOSP-10055"/>
        <s v="HOSP-10057"/>
        <s v="HOSP-10058"/>
        <s v="HOSP-1059"/>
        <s v="HOSP-10061"/>
        <s v="HOSP-10062"/>
        <s v="HOSP-10064"/>
        <s v="HOSP-10066"/>
        <s v="HOSP-10067"/>
        <s v="HOSP-10068"/>
        <s v="HOSP-10069"/>
        <s v="HOSP-10070"/>
        <s v="HOSP-10071"/>
        <s v="HOSP-10072"/>
        <s v="HOSP-10073"/>
        <s v="HOSP-10075"/>
        <s v="HOSP-10077"/>
        <s v="HOSP-10078"/>
        <s v="HOSP-10079"/>
        <s v="HOSP-10080"/>
        <s v="HOSP-10083"/>
        <s v="HOSP-10084"/>
        <s v="HOSP-10085"/>
        <s v="HOSP-10087"/>
        <s v="HOSP-10088"/>
        <s v="HOSP-10089"/>
        <s v="HOSP-10090"/>
        <s v="HOSP-10091"/>
        <s v="HOSP-10092"/>
        <s v="HOSP-10093"/>
        <s v="HOSP-10095"/>
        <s v="HOSP-10096"/>
        <s v="HOSP-10099"/>
        <s v="HOSP-10101"/>
        <s v="HOSP-10105"/>
        <s v="HOSP-10108"/>
        <s v="HOSP-10113"/>
        <s v="HOSP-10115"/>
        <s v="HOSP-10116"/>
        <s v="HOSP-10117"/>
        <s v="HOSP-10118"/>
        <s v="HOSP-10119"/>
        <s v="HOSP-10120"/>
        <s v="HOSP-10122"/>
        <s v="HOSP-10124"/>
        <s v="HOSP-10125"/>
        <s v="HOSP-10126"/>
        <s v="HOSP-10128"/>
        <s v="HOSP-10129"/>
        <s v="HOSP-10130"/>
        <s v="HOSP-10131"/>
        <s v="HOSP-10132"/>
        <s v="HOSP-10133"/>
        <s v="HOSP-10134"/>
        <s v="HOSP-10136"/>
        <s v="HOSP-10137"/>
        <s v="HOSP-10140"/>
        <s v="HOSP-10141"/>
        <s v="HOSP-10144"/>
        <s v="HOSP-10145"/>
        <s v="HOSP-10146"/>
        <s v="HOSP-10147"/>
        <s v="HOSP-10148"/>
        <s v="HOSP-10149"/>
        <s v="HOSP-10150"/>
        <s v="HOSP-10152"/>
        <s v="HOSP-10154"/>
        <s v="HOSP-10155"/>
        <s v="HOSP-10156"/>
        <s v="HOSP-10157"/>
        <s v="HOSP-10158"/>
        <s v="HOSP-10160"/>
        <s v="HOSP-10161"/>
        <s v="HOSP-10162"/>
        <s v="HOSP-1164"/>
        <s v="HOSP-10165"/>
        <s v="HOSP-10167"/>
        <s v="HOSP-10168"/>
        <s v="HOSP-10169"/>
        <s v="HOSP-10170"/>
        <s v="HOSP-1172"/>
        <s v="HOSP-10173"/>
        <s v="HOSP-10174"/>
        <s v="HOSP-1175"/>
        <s v="HOSP-10176"/>
        <s v="HOSP-10178"/>
        <s v="HOSP-10180"/>
        <s v="HOSP-10181"/>
        <s v="HOSP-10182"/>
        <s v="HOSP-10183"/>
        <s v="HOSP-117"/>
        <s v="HOSP-10185"/>
        <s v="HOSP-10187"/>
        <s v="HOSP-10192"/>
        <s v="HOSP-10193"/>
        <s v="HOSP-10195"/>
        <s v="HOSP-10196"/>
        <s v="HOSP-10197"/>
        <s v="HOSP-10199"/>
        <s v="HOSP-10200"/>
        <s v="HOSP-10201"/>
        <s v="HOSP-10203"/>
        <s v="HOSP-10204"/>
        <s v="HOSP-10205"/>
        <s v="HOSP-10206"/>
        <s v="HOSP-10208"/>
        <s v="HOSP-10209"/>
        <s v="HOSP-10210"/>
        <s v="HOSP-10212"/>
        <s v="HOSP-10213"/>
        <s v="HOSP-10214"/>
        <s v="HOSP-10215"/>
        <s v="HOSP-10216"/>
        <s v="HOSP-10217"/>
        <s v="HOSP-10218"/>
        <s v="HOSP-10219"/>
        <s v="HOSP-10220"/>
        <s v="HOSP-10222"/>
        <s v="HOSP-10223"/>
        <s v="HOSP-10224"/>
        <s v="HOSP-10225"/>
        <s v="HOSP-10226"/>
        <s v="HOSP-10227"/>
        <s v="HOSP-10228"/>
        <s v="HOSP-10229"/>
        <s v="HOSP-10230"/>
        <s v="HOSP-10231"/>
        <s v="HOSP-10234"/>
        <s v="HOSP-10235"/>
        <s v="HOSP-10237"/>
        <s v="HOSP-10238"/>
        <s v="HOSP-10240"/>
        <s v="HOSP-10241"/>
        <s v="HOSP-10242"/>
        <s v="HOSP-126"/>
        <s v="HOSP-10244"/>
        <s v="HOSP-10245"/>
        <s v="HOSP-10248"/>
        <s v="HOSP-10249"/>
        <s v="HOSP-10250"/>
        <s v="HOSP-10252"/>
        <s v="HOSP-10253"/>
        <s v="HOSP-10254"/>
        <s v="HOSP-10256"/>
        <s v="HOSP-10258"/>
        <s v="HOSP-10259"/>
        <s v="HOSP-10260"/>
        <s v="HOSP-10264"/>
        <s v="HOSP-140"/>
        <s v="HOSP-10266"/>
        <s v="HOSP-10267"/>
        <s v="HOSP-10268"/>
        <s v="HOSP-10269"/>
        <s v="HOSP-10270"/>
        <s v="HOSP-10271"/>
        <s v="HOSP-10272"/>
        <s v="HOSP-10273"/>
        <s v="HOSP-10275"/>
        <s v="HOSP-10277"/>
        <s v="HOSP-10278"/>
        <s v="HOSP-10279"/>
        <s v="HOSP-10280"/>
        <s v="HOSP-10281"/>
        <s v="HOSP-10282"/>
        <s v="HOSP-10283"/>
        <s v="HOSP-10284"/>
        <s v="HOSP-10285"/>
        <s v="HOSP-10286"/>
        <s v="HOSP-10288"/>
        <s v="HOSP-10289"/>
        <s v="HOSP-10290"/>
        <s v="HOSP-10291"/>
        <s v="HOSP-10292"/>
        <s v="HOSP-10293"/>
        <s v="HOSP-10294"/>
        <s v="HOSP-10296"/>
        <s v="HOSP-10297"/>
        <s v="HOSP-10298"/>
        <s v="HOSP-10299"/>
        <s v="HOSP-10300"/>
        <s v="HOSP-10301"/>
        <s v="HOSP-10302"/>
        <s v="HOSP-10304"/>
        <s v="HOSP-10306"/>
        <s v="HOSP-10307"/>
        <s v="HOSP-10308"/>
        <s v="HOSP-10309"/>
        <s v="HOSP-10310"/>
        <s v="HOSP-10312"/>
        <s v="HOSP-10314"/>
        <s v="HOSP-10315"/>
        <s v="HOSP-10316"/>
        <s v="HOSP-10317"/>
        <s v="HOSP-10318"/>
        <s v="HOSP-10319"/>
        <s v="HOSP-10320"/>
        <s v="HOSP-10322"/>
        <s v="HOSP-10323"/>
        <s v="HOSP-10325"/>
        <s v="HOSP-10327"/>
        <s v="HOSP-10328"/>
        <s v="HOSP-10331"/>
        <s v="HOSP-10334"/>
        <s v="HOSP-10335"/>
        <s v="HOSP-10336"/>
        <s v="HOSP-10337"/>
        <s v="HOSP-105"/>
        <s v="HOSP-10339"/>
        <s v="HOSP-10340"/>
        <s v="HOSP-10341"/>
        <s v="HOSP-10342"/>
        <s v="HOSP-10344"/>
        <s v="HOSP-10346"/>
        <s v="HOSP-10347"/>
        <s v="HOSP-10348"/>
        <s v="HOSP-10349"/>
        <s v="HOSP-10350"/>
        <s v="HOSP-10351"/>
        <s v="HOSP-10352"/>
        <s v="HOSP-10353"/>
        <s v="HOSP-10354"/>
        <s v="HOSP-10356"/>
        <s v="HOSP-10357"/>
        <s v="HOSP-10358"/>
        <s v="HOSP-10361"/>
        <s v="HOSP-10362"/>
        <s v="HOSP-10363"/>
        <s v="HOSP-10364"/>
        <s v="HOSP-10365"/>
        <s v="HOSP-10367"/>
        <s v="HOSP-10369"/>
        <s v="HOSP-10370"/>
        <s v="HOSP-10371"/>
        <s v="HOSP-10373"/>
        <s v="HOSP-10374"/>
        <s v="HOSP-10375"/>
        <s v="HOSP-10377"/>
        <s v="HOSP-10378"/>
        <s v="HOSP-10379"/>
        <s v="HOSP-10380"/>
        <s v="HOSP-10381"/>
        <s v="HOSP-10384"/>
        <s v="HOSP-10385"/>
        <s v="HOSP-10386"/>
        <s v="HOSP-10387"/>
        <s v="HOSP-10388"/>
        <s v="HOSP-10390"/>
        <s v="HOSP-10391"/>
        <s v="HOSP-10393"/>
        <s v="HOSP-10394"/>
        <s v="HOSP-10395"/>
        <s v="HOSP-10396"/>
        <s v="HOSP-10397"/>
        <s v="HOSP-10399"/>
        <s v="HOSP-10400"/>
        <s v="HOSP-144"/>
        <s v="HOSP-10402"/>
        <s v="HOSP-114"/>
        <s v="HOSP-10404"/>
        <s v="HOSP-10406"/>
        <s v="HOSP-10407"/>
        <s v="HOSP-10410"/>
        <s v="HOSP-10411"/>
        <s v="HOSP-10412"/>
        <s v="HOSP-10413"/>
        <s v="HOSP-10414"/>
        <s v="HOSP-10415"/>
        <s v="HOSP-10418"/>
        <s v="HOSP-10419"/>
        <s v="HOSP-10420"/>
        <s v="HOSP-10421"/>
        <s v="HOSP-10423"/>
        <s v="HOSP-10424"/>
        <s v="HOSP-10425"/>
        <s v="HOSP-10426"/>
        <s v="HOSP-10427"/>
        <s v="HOSP-143"/>
        <s v="HOSP-10429"/>
        <s v="HOSP-10430"/>
        <s v="HOSP-10431"/>
        <s v="HOSP-10432"/>
        <s v="HOSP-10433"/>
        <s v="HOSP-10435"/>
        <s v="HOSP-10436"/>
        <s v="HOSP-10437"/>
        <s v="HOSP-10438"/>
        <s v="HOSP-10440"/>
        <s v="HOSP-10441"/>
        <s v="HOSP-10442"/>
        <s v="HOSP-141"/>
        <s v="HOSP-10445"/>
        <s v="HOSP-10446"/>
        <s v="HOSP-10447"/>
        <s v="HOSP-10448"/>
        <s v="HOSP-10449"/>
        <s v="HOSP-10450"/>
        <s v="HOSP-10452"/>
        <s v="HOSP-10453"/>
        <s v="HOSP-10454"/>
        <s v="HOSP-10455"/>
        <s v="HOSP-10456"/>
        <s v="HOSP-10458"/>
        <s v="HOSP-10459"/>
        <s v="HOSP-10460"/>
        <s v="HOSP-10461"/>
        <s v="HOSP-10462"/>
        <s v="HOSP-10464"/>
        <s v="HOSP-10466"/>
        <s v="HOSP-1467"/>
        <s v="HOSP-10468"/>
        <s v="HOSP-10469"/>
        <s v="HOSP-10470"/>
        <s v="HOSP-10472"/>
        <s v="HOSP-10473"/>
        <s v="HOSP-10475"/>
        <s v="HOSP-10477"/>
        <s v="HOSP-10478"/>
        <s v="HOSP-10479"/>
        <s v="HOSP-10480"/>
        <s v="HOSP-10481"/>
        <s v="HOSP-10483"/>
        <s v="HOSP-10485"/>
        <s v="HOSP-10487"/>
        <s v="HOSP-10488"/>
        <s v="HOSP-132"/>
        <s v="HOSP-10491"/>
        <s v="HOSP-10493"/>
        <s v="HOSP-10494"/>
        <s v="HOSP-10495"/>
        <s v="HOSP-10498"/>
        <s v="HOSP-10499"/>
      </sharedItems>
    </cacheField>
    <cacheField name="Patient_Name" numFmtId="0">
      <sharedItems/>
    </cacheField>
    <cacheField name="Age.1" numFmtId="0">
      <sharedItems containsSemiMixedTypes="0" containsString="0" containsNumber="1" containsInteger="1" minValue="1" maxValue="999"/>
    </cacheField>
    <cacheField name="Gender" numFmtId="0">
      <sharedItems/>
    </cacheField>
    <cacheField name="City" numFmtId="0">
      <sharedItems/>
    </cacheField>
    <cacheField name="Department" numFmtId="0">
      <sharedItems count="8">
        <s v="Oncology"/>
        <s v="General Medicine"/>
        <s v="Neurology"/>
        <s v="Pediatrics"/>
        <s v="Cardiology"/>
        <s v="Gastroenterology"/>
        <s v="Orthopedics"/>
        <s v="Unknown"/>
      </sharedItems>
    </cacheField>
    <cacheField name="Doctor" numFmtId="0">
      <sharedItems/>
    </cacheField>
    <cacheField name="Admission_Date" numFmtId="14">
      <sharedItems containsSemiMixedTypes="0" containsNonDate="0" containsDate="1" containsString="0" minDate="2025-01-01T00:00:00" maxDate="2025-12-28T00:00:00"/>
    </cacheField>
    <cacheField name="Discharge_Date" numFmtId="14">
      <sharedItems containsSemiMixedTypes="0" containsNonDate="0" containsDate="1" containsString="0" minDate="2025-01-02T00:00:00" maxDate="2026-12-02T00:00:00"/>
    </cacheField>
    <cacheField name="Diagnosis" numFmtId="0">
      <sharedItems/>
    </cacheField>
    <cacheField name="Treatment" numFmtId="0">
      <sharedItems/>
    </cacheField>
    <cacheField name="Bill_Amount" numFmtId="0">
      <sharedItems containsSemiMixedTypes="0" containsString="0" containsNumber="1" minValue="-349245.8" maxValue="99999999"/>
    </cacheField>
    <cacheField name="Insurance" numFmtId="0">
      <sharedItems/>
    </cacheField>
    <cacheField name="Payment_Status" numFmtId="0">
      <sharedItems/>
    </cacheField>
    <cacheField name="Patient_Statu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9.470600810186" createdVersion="8" refreshedVersion="8" minRefreshableVersion="3" recordCount="375" xr:uid="{3909DBAB-763D-428F-BA81-79FFEE8AE958}">
  <cacheSource type="worksheet">
    <worksheetSource name="Table2_1"/>
  </cacheSource>
  <cacheFields count="15">
    <cacheField name="Patient_ID" numFmtId="0">
      <sharedItems/>
    </cacheField>
    <cacheField name="Patient_Name" numFmtId="0">
      <sharedItems/>
    </cacheField>
    <cacheField name="Age.1" numFmtId="0">
      <sharedItems containsSemiMixedTypes="0" containsString="0" containsNumber="1" containsInteger="1" minValue="1" maxValue="999"/>
    </cacheField>
    <cacheField name="Gender" numFmtId="0">
      <sharedItems/>
    </cacheField>
    <cacheField name="City" numFmtId="0">
      <sharedItems/>
    </cacheField>
    <cacheField name="Department" numFmtId="0">
      <sharedItems/>
    </cacheField>
    <cacheField name="Doctor" numFmtId="0">
      <sharedItems/>
    </cacheField>
    <cacheField name="Admission_Date" numFmtId="14">
      <sharedItems containsSemiMixedTypes="0" containsNonDate="0" containsDate="1" containsString="0" minDate="2025-01-01T00:00:00" maxDate="2025-12-28T00:00:00"/>
    </cacheField>
    <cacheField name="Discharge_Date" numFmtId="14">
      <sharedItems containsSemiMixedTypes="0" containsNonDate="0" containsDate="1" containsString="0" minDate="2025-01-02T00:00:00" maxDate="2026-12-02T00:00:00"/>
    </cacheField>
    <cacheField name="Diagnosis" numFmtId="0">
      <sharedItems/>
    </cacheField>
    <cacheField name="Treatment" numFmtId="0">
      <sharedItems/>
    </cacheField>
    <cacheField name="Bill_Amount" numFmtId="0">
      <sharedItems containsSemiMixedTypes="0" containsString="0" containsNumber="1" minValue="-349245.8" maxValue="99999999"/>
    </cacheField>
    <cacheField name="Insurance" numFmtId="0">
      <sharedItems/>
    </cacheField>
    <cacheField name="Payment_Status" numFmtId="0">
      <sharedItems/>
    </cacheField>
    <cacheField name="Patient_Status" numFmtId="0">
      <sharedItems count="8">
        <s v="Discharged"/>
        <s v="Admitted"/>
        <s v="Unknown"/>
        <s v="Discharged Against Medical Advice"/>
        <s v="Expired"/>
        <s v="Transferred"/>
        <s v="Deceased"/>
        <s v="In-Patie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s v="HOSP-10002"/>
    <x v="0"/>
    <n v="55"/>
    <x v="0"/>
    <s v="Unknown"/>
    <x v="0"/>
    <x v="0"/>
    <d v="2025-12-01T00:00:00"/>
    <d v="2025-01-24T00:00:00"/>
    <s v="Lung Adenocarcinoma"/>
    <s v="Targeted Therapy"/>
    <n v="100821.63"/>
    <s v="None / Self Pay"/>
    <x v="0"/>
    <s v="Discharged"/>
  </r>
  <r>
    <s v="HOSP-10003"/>
    <x v="1"/>
    <n v="11"/>
    <x v="0"/>
    <s v="Jaipur"/>
    <x v="1"/>
    <x v="1"/>
    <d v="2025-09-11T00:00:00"/>
    <d v="2025-12-23T00:00:00"/>
    <s v="Dengue Fever With Thrombocytopenia"/>
    <s v="Platelet Support"/>
    <n v="159034.31"/>
    <s v="Hdfc Ergo"/>
    <x v="1"/>
    <s v="Admitted"/>
  </r>
  <r>
    <s v="HOSP-135"/>
    <x v="2"/>
    <n v="42"/>
    <x v="0"/>
    <s v="Bangalore"/>
    <x v="2"/>
    <x v="2"/>
    <d v="2025-06-13T00:00:00"/>
    <d v="2025-12-23T00:00:00"/>
    <s v="Parkinson'S Disease"/>
    <s v="Levodopa Therapy"/>
    <n v="201434.4"/>
    <s v="Max Bupa"/>
    <x v="2"/>
    <s v="Admitted"/>
  </r>
  <r>
    <s v="HOSP-10005"/>
    <x v="3"/>
    <n v="52"/>
    <x v="0"/>
    <s v="Delhi"/>
    <x v="3"/>
    <x v="3"/>
    <d v="2025-03-16T00:00:00"/>
    <d v="2025-03-27T00:00:00"/>
    <s v="Viral Gastroenteritis"/>
    <s v="Iv Fluids &amp; Electrolytes"/>
    <n v="130701.41"/>
    <s v="Hdfc Ergo"/>
    <x v="0"/>
    <s v="Discharged"/>
  </r>
  <r>
    <s v="HOSP-10006"/>
    <x v="4"/>
    <n v="6"/>
    <x v="0"/>
    <s v="Jaipur"/>
    <x v="1"/>
    <x v="1"/>
    <d v="2025-10-11T00:00:00"/>
    <d v="2025-10-18T00:00:00"/>
    <s v="Unknown"/>
    <s v="Insulin Titration"/>
    <n v="235214.45"/>
    <s v="Icici Lombard"/>
    <x v="3"/>
    <s v="Unknown"/>
  </r>
  <r>
    <s v="HOSP-10007"/>
    <x v="5"/>
    <n v="44"/>
    <x v="1"/>
    <s v="Mumbai"/>
    <x v="1"/>
    <x v="4"/>
    <d v="2025-02-07T00:00:00"/>
    <d v="2025-07-09T00:00:00"/>
    <s v="Dengue Fever With Thrombocytopenia"/>
    <s v="Platelet Support"/>
    <n v="64345.01"/>
    <s v="None / Self Pay"/>
    <x v="4"/>
    <s v="Discharged Against Medical Advice"/>
  </r>
  <r>
    <s v="HOSP-10009"/>
    <x v="6"/>
    <n v="82"/>
    <x v="0"/>
    <s v="Delhi"/>
    <x v="0"/>
    <x v="0"/>
    <d v="2025-03-19T00:00:00"/>
    <d v="2025-03-25T00:00:00"/>
    <s v="Colorectal Cancer"/>
    <s v="Colectomy"/>
    <n v="70846.91"/>
    <s v="Care Health"/>
    <x v="4"/>
    <s v="Expired"/>
  </r>
  <r>
    <s v="HOSP-10010"/>
    <x v="7"/>
    <n v="8"/>
    <x v="0"/>
    <s v="Chennai"/>
    <x v="1"/>
    <x v="5"/>
    <d v="2025-01-23T00:00:00"/>
    <d v="2025-02-05T00:00:00"/>
    <s v="Urinary Tract Infection"/>
    <s v="Antibiotic Course"/>
    <n v="293150.34999999998"/>
    <s v="None / Self Pay"/>
    <x v="4"/>
    <s v="Discharged"/>
  </r>
  <r>
    <s v="HOSP-10013"/>
    <x v="8"/>
    <n v="32"/>
    <x v="0"/>
    <s v="Mumbai"/>
    <x v="4"/>
    <x v="6"/>
    <d v="2025-11-07T00:00:00"/>
    <d v="2025-11-12T00:00:00"/>
    <s v="Myocardial Infarction"/>
    <s v="Thrombolysis"/>
    <n v="278473.99"/>
    <s v="Star Health"/>
    <x v="2"/>
    <s v="Transferred"/>
  </r>
  <r>
    <s v="Unknown"/>
    <x v="3"/>
    <n v="82"/>
    <x v="0"/>
    <s v="Pune"/>
    <x v="5"/>
    <x v="7"/>
    <d v="2025-10-25T00:00:00"/>
    <d v="2025-11-05T00:00:00"/>
    <s v="Peptic Ulcer Bleeding"/>
    <s v="Endoscopic Banding"/>
    <n v="328729.7"/>
    <s v="Hdfc Ergo"/>
    <x v="3"/>
    <s v="Expired"/>
  </r>
  <r>
    <s v="HOSP-10015"/>
    <x v="9"/>
    <n v="27"/>
    <x v="2"/>
    <s v="Mumbai"/>
    <x v="1"/>
    <x v="4"/>
    <d v="2025-03-31T00:00:00"/>
    <d v="2025-03-26T00:00:00"/>
    <s v="Hypertensive Crisis"/>
    <s v="Iv Labetalol"/>
    <n v="75685.5"/>
    <s v="Bajaj Allianz"/>
    <x v="3"/>
    <s v="Expired"/>
  </r>
  <r>
    <s v="HOSP-123"/>
    <x v="10"/>
    <n v="30"/>
    <x v="1"/>
    <s v="Unknown"/>
    <x v="0"/>
    <x v="8"/>
    <d v="2025-08-14T00:00:00"/>
    <d v="2025-08-25T00:00:00"/>
    <s v="Breast Carcinoma"/>
    <s v="Chemotherapy &amp; Lumpectomy"/>
    <n v="18589.990000000002"/>
    <s v="Max Bupa"/>
    <x v="3"/>
    <s v="Deceased"/>
  </r>
  <r>
    <s v="HOSP-10017"/>
    <x v="9"/>
    <n v="18"/>
    <x v="1"/>
    <s v="Chennai"/>
    <x v="5"/>
    <x v="9"/>
    <d v="2025-07-02T00:00:00"/>
    <d v="2025-07-03T00:00:00"/>
    <s v="Peptic Ulcer Bleeding"/>
    <s v="Endoscopic Banding"/>
    <n v="121300.98"/>
    <s v="Care Health"/>
    <x v="2"/>
    <s v="Discharged Against Medical Advice"/>
  </r>
  <r>
    <s v="HOSP-10019"/>
    <x v="11"/>
    <n v="18"/>
    <x v="0"/>
    <s v="Hyderabad"/>
    <x v="4"/>
    <x v="10"/>
    <d v="2025-09-27T00:00:00"/>
    <d v="2025-07-10T00:00:00"/>
    <s v="Arrhythmia"/>
    <s v="Pacemaker Implantation"/>
    <n v="102930.63"/>
    <s v="Hdfc Ergo"/>
    <x v="5"/>
    <s v="Expired"/>
  </r>
  <r>
    <s v="HOSP-10020"/>
    <x v="12"/>
    <n v="78"/>
    <x v="0"/>
    <s v="Delhi"/>
    <x v="1"/>
    <x v="5"/>
    <d v="2025-01-23T00:00:00"/>
    <d v="2025-12-23T00:00:00"/>
    <s v="Urinary Tract Infection"/>
    <s v="Antibiotic Course"/>
    <n v="296127.5"/>
    <s v="Care Health"/>
    <x v="3"/>
    <s v="Admitted"/>
  </r>
  <r>
    <s v="HOSP-10022"/>
    <x v="13"/>
    <n v="38"/>
    <x v="1"/>
    <s v="Jaipur"/>
    <x v="5"/>
    <x v="7"/>
    <d v="2025-01-06T00:00:00"/>
    <d v="2025-01-08T00:00:00"/>
    <s v="Liver Cirrhosis"/>
    <s v="Paracentesis &amp; Diuretics"/>
    <n v="218725.35"/>
    <s v="Max Bupa"/>
    <x v="3"/>
    <s v="Discharged"/>
  </r>
  <r>
    <s v="HOSP-10023"/>
    <x v="14"/>
    <n v="15"/>
    <x v="1"/>
    <s v="Kolkata"/>
    <x v="1"/>
    <x v="1"/>
    <d v="2025-05-02T00:00:00"/>
    <d v="2025-12-23T00:00:00"/>
    <s v="Urinary Tract Infection"/>
    <s v="Antibiotic Course"/>
    <n v="17679.5"/>
    <s v="Bajaj Allianz"/>
    <x v="2"/>
    <s v="Admitted"/>
  </r>
  <r>
    <s v="HOSP-10024"/>
    <x v="15"/>
    <n v="33"/>
    <x v="0"/>
    <s v="Pune"/>
    <x v="3"/>
    <x v="4"/>
    <d v="2025-09-26T00:00:00"/>
    <d v="2025-10-02T00:00:00"/>
    <s v="Severe Pneumonia"/>
    <s v="Iv Antibiotics"/>
    <n v="345599.6"/>
    <s v="Care Health"/>
    <x v="6"/>
    <s v="Discharged"/>
  </r>
  <r>
    <s v="HOSP-10027"/>
    <x v="16"/>
    <n v="42"/>
    <x v="2"/>
    <s v="Jaipur"/>
    <x v="6"/>
    <x v="11"/>
    <d v="2025-10-14T00:00:00"/>
    <d v="2025-11-01T00:00:00"/>
    <s v="Lumbar Spondylosis"/>
    <s v="Spinal Decompression"/>
    <n v="192645.57"/>
    <s v="Max Bupa"/>
    <x v="2"/>
    <s v="Expired"/>
  </r>
  <r>
    <s v="HOSP-10028"/>
    <x v="17"/>
    <n v="60"/>
    <x v="0"/>
    <s v="Chandigarh"/>
    <x v="3"/>
    <x v="12"/>
    <d v="2025-05-26T00:00:00"/>
    <d v="2025-06-07T00:00:00"/>
    <s v="Severe Pneumonia"/>
    <s v="Iv Antibiotics"/>
    <n v="264892.76"/>
    <s v="Icici Lombard"/>
    <x v="3"/>
    <s v="Unknown"/>
  </r>
  <r>
    <s v="HOSP-10029"/>
    <x v="18"/>
    <n v="1"/>
    <x v="1"/>
    <s v="Hyderabad"/>
    <x v="1"/>
    <x v="1"/>
    <d v="2025-10-29T00:00:00"/>
    <d v="2025-11-07T00:00:00"/>
    <s v="Unknown"/>
    <s v="Iv Labetalol"/>
    <n v="273333.11"/>
    <s v="Star Health"/>
    <x v="4"/>
    <s v="Expired"/>
  </r>
  <r>
    <s v="HOSP-10030"/>
    <x v="19"/>
    <n v="79"/>
    <x v="1"/>
    <s v="Bangalore"/>
    <x v="6"/>
    <x v="13"/>
    <d v="2025-01-06T00:00:00"/>
    <d v="2025-12-23T00:00:00"/>
    <s v="Femur Fracture"/>
    <s v="Internal Fixation"/>
    <n v="222932.36"/>
    <s v="Max Bupa"/>
    <x v="1"/>
    <s v="Admitted"/>
  </r>
  <r>
    <s v="HOSP-10031"/>
    <x v="20"/>
    <n v="65"/>
    <x v="0"/>
    <s v="Chandigarh"/>
    <x v="0"/>
    <x v="0"/>
    <d v="2025-02-11T00:00:00"/>
    <d v="2025-02-12T00:00:00"/>
    <s v="Lung Adenocarcinoma"/>
    <s v="Unknown"/>
    <n v="83463"/>
    <s v="Hdfc Ergo"/>
    <x v="4"/>
    <s v="Expired"/>
  </r>
  <r>
    <s v="HOSP-10032"/>
    <x v="21"/>
    <n v="65"/>
    <x v="1"/>
    <s v="Hyderabad"/>
    <x v="2"/>
    <x v="14"/>
    <d v="2025-01-24T00:00:00"/>
    <d v="2025-02-10T00:00:00"/>
    <s v="Acute Ischemic Stroke"/>
    <s v="Tpa Therapy"/>
    <n v="312331.51"/>
    <s v="Icici Lombard"/>
    <x v="3"/>
    <s v="Transferred"/>
  </r>
  <r>
    <s v="HOSP-10035"/>
    <x v="22"/>
    <n v="14"/>
    <x v="1"/>
    <s v="Hyderabad"/>
    <x v="3"/>
    <x v="12"/>
    <d v="2025-05-07T00:00:00"/>
    <d v="2025-12-05T00:00:00"/>
    <s v="Acute Bronchiolitis"/>
    <s v="Nebulization &amp; O2 Support"/>
    <n v="42926.97"/>
    <s v="Icici Lombard"/>
    <x v="3"/>
    <s v="Discharged Against Medical Advice"/>
  </r>
  <r>
    <s v="HOSP-10036"/>
    <x v="23"/>
    <n v="38"/>
    <x v="0"/>
    <s v="Chandigarh"/>
    <x v="4"/>
    <x v="15"/>
    <d v="2025-04-10T00:00:00"/>
    <d v="2025-03-23T00:00:00"/>
    <s v="Myocardial Infarction"/>
    <s v="Thrombolysis"/>
    <n v="136077.35999999999"/>
    <s v="Care Health"/>
    <x v="3"/>
    <s v="Transferred"/>
  </r>
  <r>
    <s v="HOSP-10037"/>
    <x v="24"/>
    <n v="18"/>
    <x v="0"/>
    <s v="Chennai"/>
    <x v="1"/>
    <x v="16"/>
    <d v="2025-10-05T00:00:00"/>
    <d v="2025-10-18T00:00:00"/>
    <s v="Unknown"/>
    <s v="Antibiotic Course"/>
    <n v="305300.05"/>
    <s v="None"/>
    <x v="1"/>
    <s v="Discharged Against Medical Advice"/>
  </r>
  <r>
    <s v="HOSP-10040"/>
    <x v="2"/>
    <n v="23"/>
    <x v="0"/>
    <s v="Pune"/>
    <x v="6"/>
    <x v="11"/>
    <d v="2025-01-14T00:00:00"/>
    <d v="2025-02-01T00:00:00"/>
    <s v="Osteoarthritis Knee"/>
    <s v="Total Knee Replacement"/>
    <n v="98162.26"/>
    <s v="Star Health"/>
    <x v="0"/>
    <s v="Discharged Against Medical Advice"/>
  </r>
  <r>
    <s v="HOSP-10041"/>
    <x v="25"/>
    <n v="63"/>
    <x v="1"/>
    <s v="Calcutta"/>
    <x v="0"/>
    <x v="8"/>
    <d v="2025-06-28T00:00:00"/>
    <d v="2025-12-23T00:00:00"/>
    <s v="Unknown"/>
    <s v="R-Chop Regimen"/>
    <n v="255824.81"/>
    <s v="Hdfc Ergo"/>
    <x v="4"/>
    <s v="Admitted"/>
  </r>
  <r>
    <s v="HOSP-10042"/>
    <x v="26"/>
    <n v="54"/>
    <x v="0"/>
    <s v="Ahmedabad"/>
    <x v="5"/>
    <x v="7"/>
    <d v="2025-06-14T00:00:00"/>
    <d v="2025-07-02T00:00:00"/>
    <s v="Gallstones / Cholecystitis"/>
    <s v="Laparoscopic Cholecystectomy"/>
    <n v="121026.07"/>
    <s v="Star Health"/>
    <x v="3"/>
    <s v="Discharged Against Medical Advice"/>
  </r>
  <r>
    <s v="HOSP-10045"/>
    <x v="27"/>
    <n v="23"/>
    <x v="0"/>
    <s v="Pune"/>
    <x v="1"/>
    <x v="1"/>
    <d v="2025-04-07T00:00:00"/>
    <d v="2025-04-15T00:00:00"/>
    <s v="Dengue Fever With Thrombocytopenia"/>
    <s v="Platelet Support"/>
    <n v="160725.21"/>
    <s v="None / Self Pay"/>
    <x v="3"/>
    <s v="Transferred"/>
  </r>
  <r>
    <s v="HOSP-10047"/>
    <x v="28"/>
    <n v="3"/>
    <x v="0"/>
    <s v="Chandigarh"/>
    <x v="4"/>
    <x v="6"/>
    <d v="2025-10-23T00:00:00"/>
    <d v="2025-11-01T00:00:00"/>
    <s v="Coronary Artery Disease"/>
    <s v="Angioplasty"/>
    <n v="30598.91"/>
    <s v="Bajaj Allianz"/>
    <x v="0"/>
    <s v="Discharged Against Medical Advice"/>
  </r>
  <r>
    <s v="HOSP-131"/>
    <x v="29"/>
    <n v="55"/>
    <x v="0"/>
    <s v="Hyderabad"/>
    <x v="2"/>
    <x v="14"/>
    <d v="2025-06-26T00:00:00"/>
    <d v="2025-06-30T00:00:00"/>
    <s v="Parkinson'S Disease"/>
    <s v="Levodopa Therapy"/>
    <n v="298691.20000000001"/>
    <s v="None / Self Pay"/>
    <x v="0"/>
    <s v="Discharged Against Medical Advice"/>
  </r>
  <r>
    <s v="HOSP-113"/>
    <x v="30"/>
    <n v="47"/>
    <x v="0"/>
    <s v="Kolkata"/>
    <x v="0"/>
    <x v="17"/>
    <d v="2025-03-16T00:00:00"/>
    <d v="2025-12-23T00:00:00"/>
    <s v="Colorectal Cancer"/>
    <s v="Colectomy"/>
    <n v="341800.01"/>
    <s v="None / Self Pay"/>
    <x v="3"/>
    <s v="Admitted"/>
  </r>
  <r>
    <s v="HOSP-10050"/>
    <x v="31"/>
    <n v="27"/>
    <x v="1"/>
    <s v="Hyderabad"/>
    <x v="6"/>
    <x v="18"/>
    <d v="2025-07-30T00:00:00"/>
    <d v="2025-08-14T00:00:00"/>
    <s v="Lumbar Spondylosis"/>
    <s v="Spinal Decompression"/>
    <n v="153551.82"/>
    <s v="Care Health"/>
    <x v="3"/>
    <s v="Discharged"/>
  </r>
  <r>
    <s v="HOSP-10051"/>
    <x v="32"/>
    <n v="71"/>
    <x v="1"/>
    <s v="Chandigarh"/>
    <x v="3"/>
    <x v="3"/>
    <d v="2025-10-30T00:00:00"/>
    <d v="2025-07-11T00:00:00"/>
    <s v="Neonatal Jaundice"/>
    <s v="Phototherapy"/>
    <n v="166546.48000000001"/>
    <s v="Star Health"/>
    <x v="0"/>
    <s v="Expired"/>
  </r>
  <r>
    <s v="HOSP-10052"/>
    <x v="13"/>
    <n v="18"/>
    <x v="1"/>
    <s v="Bangalore"/>
    <x v="6"/>
    <x v="11"/>
    <d v="2025-09-05T00:00:00"/>
    <d v="2025-09-06T00:00:00"/>
    <s v="Lumbar Spondylosis"/>
    <s v="Spinal Decompression"/>
    <n v="104991.88"/>
    <s v="Bajaj Allianz"/>
    <x v="4"/>
    <s v="Discharged"/>
  </r>
  <r>
    <s v="HOSP-10053"/>
    <x v="33"/>
    <n v="19"/>
    <x v="1"/>
    <s v="Pune"/>
    <x v="2"/>
    <x v="2"/>
    <d v="2025-04-25T00:00:00"/>
    <d v="2025-05-02T00:00:00"/>
    <s v="Parkinson'S Disease"/>
    <s v="Levodopa Therapy"/>
    <n v="158630.85"/>
    <s v="Icici Lombard"/>
    <x v="1"/>
    <s v="Unknown"/>
  </r>
  <r>
    <s v="HOSP-10054"/>
    <x v="34"/>
    <n v="20"/>
    <x v="0"/>
    <s v="Hyderabad"/>
    <x v="5"/>
    <x v="7"/>
    <d v="2025-11-29T00:00:00"/>
    <d v="2025-12-23T00:00:00"/>
    <s v="Gallstones / Cholecystitis"/>
    <s v="Laparoscopic Cholecystectomy"/>
    <n v="259400.48"/>
    <s v="Icici Lombard"/>
    <x v="2"/>
    <s v="Admitted"/>
  </r>
  <r>
    <s v="HOSP-10055"/>
    <x v="35"/>
    <n v="62"/>
    <x v="1"/>
    <s v="Kolkata"/>
    <x v="0"/>
    <x v="8"/>
    <d v="2025-03-31T00:00:00"/>
    <d v="2025-12-23T00:00:00"/>
    <s v="Breast Carcinoma"/>
    <s v="Chemotherapy &amp; Lumpectomy"/>
    <n v="6330.59"/>
    <s v="Max Bupa"/>
    <x v="0"/>
    <s v="Admitted"/>
  </r>
  <r>
    <s v="HOSP-10057"/>
    <x v="36"/>
    <n v="4"/>
    <x v="0"/>
    <s v="Mumbai"/>
    <x v="3"/>
    <x v="3"/>
    <d v="2025-07-07T00:00:00"/>
    <d v="2025-12-23T00:00:00"/>
    <s v="Acute Bronchiolitis"/>
    <s v="Nebulization &amp; O2 Support"/>
    <n v="117856.84"/>
    <s v="Hdfc Ergo"/>
    <x v="3"/>
    <s v="Transferred"/>
  </r>
  <r>
    <s v="HOSP-10058"/>
    <x v="37"/>
    <n v="56"/>
    <x v="1"/>
    <s v="Jaipur"/>
    <x v="2"/>
    <x v="2"/>
    <d v="2025-01-13T00:00:00"/>
    <d v="2025-12-23T00:00:00"/>
    <s v="Parkinson'S Disease"/>
    <s v="Levodopa Therapy"/>
    <n v="135291.62"/>
    <s v="Hdfc Ergo"/>
    <x v="4"/>
    <s v="Admitted"/>
  </r>
  <r>
    <s v="HOSP-1059"/>
    <x v="38"/>
    <n v="71"/>
    <x v="0"/>
    <s v="Bangalore"/>
    <x v="4"/>
    <x v="10"/>
    <d v="2025-03-20T00:00:00"/>
    <d v="2025-03-31T00:00:00"/>
    <s v="Coronary Artery Disease"/>
    <s v="Angioplasty"/>
    <n v="274287.35999999999"/>
    <s v="Care Health"/>
    <x v="2"/>
    <s v="Transferred"/>
  </r>
  <r>
    <s v="HOSP-10061"/>
    <x v="39"/>
    <n v="37"/>
    <x v="1"/>
    <s v="Kolkata"/>
    <x v="7"/>
    <x v="16"/>
    <d v="2025-01-04T00:00:00"/>
    <d v="2025-12-23T00:00:00"/>
    <s v="Dengue Fever With Thrombocytopenia"/>
    <s v="Platelet Support"/>
    <n v="133136.07999999999"/>
    <s v="Max Bupa"/>
    <x v="2"/>
    <s v="Admitted"/>
  </r>
  <r>
    <s v="HOSP-10062"/>
    <x v="40"/>
    <n v="38"/>
    <x v="2"/>
    <s v="Chandigarh"/>
    <x v="2"/>
    <x v="19"/>
    <d v="2025-08-20T00:00:00"/>
    <d v="2025-08-31T00:00:00"/>
    <s v="Acute Ischemic Stroke"/>
    <s v="Tpa Therapy"/>
    <n v="301763.98"/>
    <s v="Bajaj Allianz"/>
    <x v="2"/>
    <s v="Discharged Against Medical Advice"/>
  </r>
  <r>
    <s v="HOSP-10064"/>
    <x v="41"/>
    <n v="18"/>
    <x v="1"/>
    <s v="Mumbai"/>
    <x v="1"/>
    <x v="5"/>
    <d v="2025-12-19T00:00:00"/>
    <d v="2026-01-01T00:00:00"/>
    <s v="Hypertensive Crisis"/>
    <s v="Iv Labetalol"/>
    <n v="40000"/>
    <s v="None / Self Pay"/>
    <x v="3"/>
    <s v="Discharged Against Medical Advice"/>
  </r>
  <r>
    <s v="HOSP-10066"/>
    <x v="42"/>
    <n v="18"/>
    <x v="0"/>
    <s v="Mumbai"/>
    <x v="1"/>
    <x v="1"/>
    <d v="2025-08-21T00:00:00"/>
    <d v="2025-08-28T00:00:00"/>
    <s v="Dengue Fever With Thrombocytopenia"/>
    <s v="Platelet Support"/>
    <n v="20999.67"/>
    <s v="Bajaj Allianz"/>
    <x v="4"/>
    <s v="Expired"/>
  </r>
  <r>
    <s v="HOSP-10067"/>
    <x v="43"/>
    <n v="72"/>
    <x v="0"/>
    <s v="Unknown"/>
    <x v="0"/>
    <x v="17"/>
    <d v="2025-08-11T00:00:00"/>
    <d v="2025-08-25T00:00:00"/>
    <s v="Lymphoma"/>
    <s v="R-Chop Regimen"/>
    <n v="269850.53999999998"/>
    <s v="Hdfc Ergo"/>
    <x v="1"/>
    <s v="Expired"/>
  </r>
  <r>
    <s v="HOSP-10068"/>
    <x v="44"/>
    <n v="32"/>
    <x v="1"/>
    <s v="Chennai"/>
    <x v="2"/>
    <x v="4"/>
    <d v="2025-05-07T00:00:00"/>
    <d v="2025-12-23T00:00:00"/>
    <s v="Epilepsy"/>
    <s v="Anticonvulsant Therapy"/>
    <n v="29938.95"/>
    <s v="Unknown"/>
    <x v="3"/>
    <s v="Admitted"/>
  </r>
  <r>
    <s v="HOSP-10069"/>
    <x v="45"/>
    <n v="77"/>
    <x v="0"/>
    <s v="Ahmedabad"/>
    <x v="6"/>
    <x v="11"/>
    <d v="2025-03-31T00:00:00"/>
    <d v="2025-04-03T00:00:00"/>
    <s v="Lumbar Spondylosis"/>
    <s v="Spinal Decompression"/>
    <n v="146946.73000000001"/>
    <s v="Care Health"/>
    <x v="3"/>
    <s v="Discharged Against Medical Advice"/>
  </r>
  <r>
    <s v="HOSP-10070"/>
    <x v="46"/>
    <n v="8"/>
    <x v="0"/>
    <s v="Pune"/>
    <x v="3"/>
    <x v="3"/>
    <d v="2025-07-16T00:00:00"/>
    <d v="2025-07-24T00:00:00"/>
    <s v="Neonatal Jaundice"/>
    <s v="Phototherapy"/>
    <n v="340423.43"/>
    <s v="Icici Lombard"/>
    <x v="4"/>
    <s v="Discharged"/>
  </r>
  <r>
    <s v="HOSP-10071"/>
    <x v="43"/>
    <n v="18"/>
    <x v="1"/>
    <s v="Jaipur"/>
    <x v="1"/>
    <x v="16"/>
    <d v="2025-07-13T00:00:00"/>
    <d v="2025-07-19T00:00:00"/>
    <s v="Dengue Fever With Thrombocytopenia"/>
    <s v="Platelet Support"/>
    <n v="343098.9"/>
    <s v="Bajaj Allianz"/>
    <x v="4"/>
    <s v="Discharged Against Medical Advice"/>
  </r>
  <r>
    <s v="HOSP-10072"/>
    <x v="44"/>
    <n v="36"/>
    <x v="1"/>
    <s v="Hyderabad"/>
    <x v="7"/>
    <x v="16"/>
    <d v="2025-07-15T00:00:00"/>
    <d v="2025-12-23T00:00:00"/>
    <s v="Dengue Fever With Thrombocytopenia"/>
    <s v="Platelet Support"/>
    <n v="66896.94"/>
    <s v="Max Bupa"/>
    <x v="1"/>
    <s v="Admitted"/>
  </r>
  <r>
    <s v="HOSP-10073"/>
    <x v="47"/>
    <n v="36"/>
    <x v="0"/>
    <s v="Unknown"/>
    <x v="0"/>
    <x v="0"/>
    <d v="2025-07-04T00:00:00"/>
    <d v="2025-07-21T00:00:00"/>
    <s v="Lung Adenocarcinoma"/>
    <s v="Unknown"/>
    <n v="285194.14"/>
    <s v="Care Health"/>
    <x v="4"/>
    <s v="Transferred"/>
  </r>
  <r>
    <s v="HOSP-10075"/>
    <x v="48"/>
    <n v="37"/>
    <x v="2"/>
    <s v="Kolkata"/>
    <x v="2"/>
    <x v="19"/>
    <d v="2025-01-25T00:00:00"/>
    <d v="2025-01-02T00:00:00"/>
    <s v="Migraine Chronic"/>
    <s v="Unknown"/>
    <n v="177019.16"/>
    <s v="Hdfc Ergo"/>
    <x v="4"/>
    <s v="Discharged Against Medical Advice"/>
  </r>
  <r>
    <s v="HOSP-10077"/>
    <x v="49"/>
    <n v="5"/>
    <x v="1"/>
    <s v="Ahmedabad"/>
    <x v="4"/>
    <x v="10"/>
    <d v="2025-05-25T00:00:00"/>
    <d v="2025-12-23T00:00:00"/>
    <s v="Coronary Artery Disease"/>
    <s v="Angioplasty"/>
    <n v="303411.21999999997"/>
    <s v="Star Health"/>
    <x v="3"/>
    <s v="Admitted"/>
  </r>
  <r>
    <s v="HOSP-10078"/>
    <x v="50"/>
    <n v="42"/>
    <x v="1"/>
    <s v="Kolkata"/>
    <x v="0"/>
    <x v="4"/>
    <d v="2025-11-01T00:00:00"/>
    <d v="2025-01-22T00:00:00"/>
    <s v="Lung Adenocarcinoma"/>
    <s v="Targeted Therapy"/>
    <n v="276272.88"/>
    <s v="Max Bupa"/>
    <x v="4"/>
    <s v="Discharged Against Medical Advice"/>
  </r>
  <r>
    <s v="HOSP-10079"/>
    <x v="51"/>
    <n v="2"/>
    <x v="0"/>
    <s v="Chennai"/>
    <x v="0"/>
    <x v="8"/>
    <d v="2025-10-01T00:00:00"/>
    <d v="2025-02-10T00:00:00"/>
    <s v="Lung Adenocarcinoma"/>
    <s v="Targeted Therapy"/>
    <n v="154201.07"/>
    <s v="Icici Lombard"/>
    <x v="3"/>
    <s v="Discharged Against Medical Advice"/>
  </r>
  <r>
    <s v="HOSP-10080"/>
    <x v="52"/>
    <n v="32"/>
    <x v="1"/>
    <s v="Mumbai"/>
    <x v="0"/>
    <x v="17"/>
    <d v="2025-05-27T00:00:00"/>
    <d v="2025-06-06T00:00:00"/>
    <s v="Lymphoma"/>
    <s v="R-Chop Regimen"/>
    <n v="229647.94"/>
    <s v="Hdfc Ergo"/>
    <x v="1"/>
    <s v="Discharged"/>
  </r>
  <r>
    <s v="HOSP-10083"/>
    <x v="1"/>
    <n v="1"/>
    <x v="0"/>
    <s v="Chennai"/>
    <x v="3"/>
    <x v="20"/>
    <d v="2025-11-18T00:00:00"/>
    <d v="2025-11-24T00:00:00"/>
    <s v="Severe Pneumonia"/>
    <s v="Iv Antibiotics"/>
    <n v="144977.74"/>
    <s v="Care Health"/>
    <x v="1"/>
    <s v="Discharged"/>
  </r>
  <r>
    <s v="HOSP-10084"/>
    <x v="53"/>
    <n v="31"/>
    <x v="1"/>
    <s v="Kolkata"/>
    <x v="1"/>
    <x v="16"/>
    <d v="2025-01-04T00:00:00"/>
    <d v="2025-09-01T00:00:00"/>
    <s v="Hypertensive Crisis"/>
    <s v="Iv Labetalol"/>
    <n v="33830.339999999997"/>
    <s v="Max Bupa"/>
    <x v="4"/>
    <s v="Expired"/>
  </r>
  <r>
    <s v="HOSP-10085"/>
    <x v="54"/>
    <n v="73"/>
    <x v="2"/>
    <s v="Chandigarh"/>
    <x v="0"/>
    <x v="0"/>
    <d v="2025-12-04T00:00:00"/>
    <d v="2025-04-22T00:00:00"/>
    <s v="Lymphoma"/>
    <s v="R-Chop Regimen"/>
    <n v="19666.78"/>
    <s v="Care Health"/>
    <x v="4"/>
    <s v="Discharged"/>
  </r>
  <r>
    <s v="HOSP-10087"/>
    <x v="55"/>
    <n v="11"/>
    <x v="1"/>
    <s v="Kolkata"/>
    <x v="0"/>
    <x v="17"/>
    <d v="2025-09-28T00:00:00"/>
    <d v="2025-10-08T00:00:00"/>
    <s v="Lymphoma"/>
    <s v="R-Chop Regimen"/>
    <n v="320565.07"/>
    <s v="Icici Lombard"/>
    <x v="4"/>
    <s v="Expired"/>
  </r>
  <r>
    <s v="HOSP-10088"/>
    <x v="56"/>
    <n v="47"/>
    <x v="0"/>
    <s v="Chandigarh"/>
    <x v="5"/>
    <x v="9"/>
    <d v="2025-10-19T00:00:00"/>
    <d v="2025-10-31T00:00:00"/>
    <s v="Acute Pancreatitis"/>
    <s v="Conservative Management"/>
    <n v="230031.26"/>
    <s v="None"/>
    <x v="1"/>
    <s v="Discharged"/>
  </r>
  <r>
    <s v="HOSP-10089"/>
    <x v="57"/>
    <n v="78"/>
    <x v="0"/>
    <s v="Chandigarh"/>
    <x v="4"/>
    <x v="4"/>
    <d v="2025-05-10T00:00:00"/>
    <d v="2025-05-18T00:00:00"/>
    <s v="Arrhythmia"/>
    <s v="Pacemaker Implantation"/>
    <n v="258859.27"/>
    <s v="None / Self Pay"/>
    <x v="2"/>
    <s v="Discharged"/>
  </r>
  <r>
    <s v="HOSP-10090"/>
    <x v="58"/>
    <n v="40"/>
    <x v="1"/>
    <s v="Jaipur"/>
    <x v="2"/>
    <x v="2"/>
    <d v="2025-09-28T00:00:00"/>
    <d v="2025-10-10T00:00:00"/>
    <s v="Epilepsy"/>
    <s v="Anticonvulsant Therapy"/>
    <n v="133462.39999999999"/>
    <s v="Star Health"/>
    <x v="1"/>
    <s v="Discharged"/>
  </r>
  <r>
    <s v="HOSP-10091"/>
    <x v="59"/>
    <n v="18"/>
    <x v="1"/>
    <s v="Bangalore"/>
    <x v="3"/>
    <x v="12"/>
    <d v="2025-08-13T00:00:00"/>
    <d v="2025-12-23T00:00:00"/>
    <s v="Viral Gastroenteritis"/>
    <s v="Iv Fluids &amp; Electrolytes"/>
    <n v="326064.67"/>
    <s v="Unknown"/>
    <x v="0"/>
    <s v="Admitted"/>
  </r>
  <r>
    <s v="HOSP-10092"/>
    <x v="60"/>
    <n v="16"/>
    <x v="0"/>
    <s v="Delhi"/>
    <x v="5"/>
    <x v="9"/>
    <d v="2025-09-12T00:00:00"/>
    <d v="2025-09-29T00:00:00"/>
    <s v="Peptic Ulcer Bleeding"/>
    <s v="Endoscopic Banding"/>
    <n v="63936.59"/>
    <s v="Bajaj Allianz"/>
    <x v="1"/>
    <s v="Discharged Against Medical Advice"/>
  </r>
  <r>
    <s v="HOSP-10093"/>
    <x v="34"/>
    <n v="43"/>
    <x v="0"/>
    <s v="Pune"/>
    <x v="1"/>
    <x v="5"/>
    <d v="2025-12-20T00:00:00"/>
    <d v="2025-12-31T00:00:00"/>
    <s v="Unknown"/>
    <s v="Iv Labetalol"/>
    <n v="240187.3"/>
    <s v="Star Health"/>
    <x v="1"/>
    <s v="Discharged"/>
  </r>
  <r>
    <s v="HOSP-10095"/>
    <x v="61"/>
    <n v="76"/>
    <x v="0"/>
    <s v="Chandigarh"/>
    <x v="2"/>
    <x v="14"/>
    <d v="2025-02-12T00:00:00"/>
    <d v="2025-02-17T00:00:00"/>
    <s v="Migraine Chronic"/>
    <s v="Botox Injection &amp; Triptans"/>
    <n v="307755.56"/>
    <s v="Bajaj Allianz"/>
    <x v="0"/>
    <s v="Expired"/>
  </r>
  <r>
    <s v="HOSP-10096"/>
    <x v="62"/>
    <n v="58"/>
    <x v="1"/>
    <s v="Chennai"/>
    <x v="6"/>
    <x v="11"/>
    <d v="2025-10-18T00:00:00"/>
    <d v="2025-11-03T00:00:00"/>
    <s v="Osteoarthritis Knee"/>
    <s v="Total Knee Replacement"/>
    <n v="347786.26"/>
    <s v="Bajaj Allianz"/>
    <x v="2"/>
    <s v="Expired"/>
  </r>
  <r>
    <s v="HOSP-10099"/>
    <x v="63"/>
    <n v="85"/>
    <x v="0"/>
    <s v="Chennai"/>
    <x v="5"/>
    <x v="21"/>
    <d v="2025-06-17T00:00:00"/>
    <d v="2025-12-23T00:00:00"/>
    <s v="Unknown"/>
    <s v="Endoscopic Banding"/>
    <n v="281096.51"/>
    <s v="Star Health"/>
    <x v="4"/>
    <s v="Discharged"/>
  </r>
  <r>
    <s v="HOSP-10101"/>
    <x v="26"/>
    <n v="70"/>
    <x v="0"/>
    <s v="Mumbai"/>
    <x v="5"/>
    <x v="7"/>
    <d v="2025-05-23T00:00:00"/>
    <d v="2025-05-31T00:00:00"/>
    <s v="Liver Cirrhosis"/>
    <s v="Paracentesis &amp; Diuretics"/>
    <n v="339192.39"/>
    <s v="Bajaj Allianz"/>
    <x v="4"/>
    <s v="Discharged"/>
  </r>
  <r>
    <s v="HOSP-10105"/>
    <x v="44"/>
    <n v="38"/>
    <x v="2"/>
    <s v="Bangalore"/>
    <x v="5"/>
    <x v="9"/>
    <d v="2025-09-16T00:00:00"/>
    <d v="2025-09-29T00:00:00"/>
    <s v="Acute Pancreatitis"/>
    <s v="Conservative Management"/>
    <n v="84421.63"/>
    <s v="Care Health"/>
    <x v="1"/>
    <s v="Transferred"/>
  </r>
  <r>
    <s v="HOSP-10108"/>
    <x v="47"/>
    <n v="49"/>
    <x v="0"/>
    <s v="Hyderabad"/>
    <x v="2"/>
    <x v="4"/>
    <d v="2025-08-05T00:00:00"/>
    <d v="2025-08-18T00:00:00"/>
    <s v="Epilepsy"/>
    <s v="Anticonvulsant Therapy"/>
    <n v="245228.63"/>
    <s v="None / Self Pay"/>
    <x v="0"/>
    <s v="Transferred"/>
  </r>
  <r>
    <s v="HOSP-10113"/>
    <x v="64"/>
    <n v="72"/>
    <x v="0"/>
    <s v="Jaipur"/>
    <x v="0"/>
    <x v="0"/>
    <d v="2025-05-23T00:00:00"/>
    <d v="2025-06-05T00:00:00"/>
    <s v="Breast Carcinoma"/>
    <s v="Chemotherapy &amp; Lumpectomy"/>
    <n v="20469.05"/>
    <s v="Bajaj Allianz"/>
    <x v="1"/>
    <s v="Discharged"/>
  </r>
  <r>
    <s v="HOSP-10115"/>
    <x v="65"/>
    <n v="54"/>
    <x v="0"/>
    <s v="Hyderabad"/>
    <x v="7"/>
    <x v="4"/>
    <d v="2025-04-28T00:00:00"/>
    <d v="2025-05-13T00:00:00"/>
    <s v="Acute Pancreatitis"/>
    <s v="Conservative Management"/>
    <n v="-60490.93"/>
    <s v="Unknown"/>
    <x v="4"/>
    <s v="Discharged Against Medical Advice"/>
  </r>
  <r>
    <s v="HOSP-10116"/>
    <x v="66"/>
    <n v="68"/>
    <x v="1"/>
    <s v="Kolkata"/>
    <x v="5"/>
    <x v="7"/>
    <d v="2025-06-01T00:00:00"/>
    <d v="2025-01-17T00:00:00"/>
    <s v="Peptic Ulcer Bleeding"/>
    <s v="Endoscopic Banding"/>
    <n v="140940.70000000001"/>
    <s v="Hdfc Ergo"/>
    <x v="3"/>
    <s v="Expired"/>
  </r>
  <r>
    <s v="HOSP-10117"/>
    <x v="67"/>
    <n v="16"/>
    <x v="1"/>
    <s v="Kolkata"/>
    <x v="5"/>
    <x v="7"/>
    <d v="2025-04-04T00:00:00"/>
    <d v="2025-04-16T00:00:00"/>
    <s v="Gallstones / Cholecystitis"/>
    <s v="Laparoscopic Cholecystectomy"/>
    <n v="13022.92"/>
    <s v="Max Bupa"/>
    <x v="1"/>
    <s v="Discharged Against Medical Advice"/>
  </r>
  <r>
    <s v="HOSP-10118"/>
    <x v="68"/>
    <n v="44"/>
    <x v="1"/>
    <s v="Bangalore"/>
    <x v="6"/>
    <x v="11"/>
    <d v="2025-10-10T00:00:00"/>
    <d v="2025-10-16T00:00:00"/>
    <s v="Rotator Cuff Tear"/>
    <s v="Arthroscopic Repair"/>
    <n v="218150.25"/>
    <s v="Care Health"/>
    <x v="0"/>
    <s v="Expired"/>
  </r>
  <r>
    <s v="HOSP-10119"/>
    <x v="38"/>
    <n v="46"/>
    <x v="0"/>
    <s v="Kolkata"/>
    <x v="5"/>
    <x v="9"/>
    <d v="2025-10-12T00:00:00"/>
    <d v="2025-12-23T00:00:00"/>
    <s v="Gallstones / Cholecystitis"/>
    <s v="Laparoscopic Cholecystectomy"/>
    <n v="164587.4"/>
    <s v="Care Health"/>
    <x v="1"/>
    <s v="Admitted"/>
  </r>
  <r>
    <s v="HOSP-10120"/>
    <x v="69"/>
    <n v="35"/>
    <x v="0"/>
    <s v="Hyderabad"/>
    <x v="6"/>
    <x v="13"/>
    <d v="2025-06-20T00:00:00"/>
    <d v="2025-12-23T00:00:00"/>
    <s v="Femur Fracture"/>
    <s v="Internal Fixation"/>
    <n v="110184.01"/>
    <s v="Bajaj Allianz"/>
    <x v="4"/>
    <s v="Unknown"/>
  </r>
  <r>
    <s v="HOSP-10122"/>
    <x v="70"/>
    <n v="83"/>
    <x v="0"/>
    <s v="Chandigarh"/>
    <x v="4"/>
    <x v="15"/>
    <d v="2025-02-03T00:00:00"/>
    <d v="2025-01-31T00:00:00"/>
    <s v="Arrhythmia"/>
    <s v="Pacemaker Implantation"/>
    <n v="342473.08"/>
    <s v="Unknown"/>
    <x v="3"/>
    <s v="Discharged"/>
  </r>
  <r>
    <s v="HOSP-10124"/>
    <x v="71"/>
    <n v="19"/>
    <x v="0"/>
    <s v="Ahmedabad"/>
    <x v="0"/>
    <x v="17"/>
    <d v="2025-05-30T00:00:00"/>
    <d v="2025-06-08T00:00:00"/>
    <s v="Breast Carcinoma"/>
    <s v="Chemotherapy &amp; Lumpectomy"/>
    <n v="120795.08"/>
    <s v="Max Bupa"/>
    <x v="6"/>
    <s v="Discharged"/>
  </r>
  <r>
    <s v="HOSP-10125"/>
    <x v="61"/>
    <n v="51"/>
    <x v="0"/>
    <s v="Bangalore"/>
    <x v="4"/>
    <x v="10"/>
    <d v="2025-03-04T00:00:00"/>
    <d v="2025-03-15T00:00:00"/>
    <s v="Myocardial Infarction"/>
    <s v="Thrombolysis"/>
    <n v="267080.71000000002"/>
    <s v="Star Health"/>
    <x v="0"/>
    <s v="Discharged Against Medical Advice"/>
  </r>
  <r>
    <s v="HOSP-10126"/>
    <x v="64"/>
    <n v="8"/>
    <x v="0"/>
    <s v="Kolkata"/>
    <x v="7"/>
    <x v="2"/>
    <d v="2025-08-29T00:00:00"/>
    <d v="2025-09-05T00:00:00"/>
    <s v="Acute Ischemic Stroke"/>
    <s v="Tpa Therapy"/>
    <n v="274996.57"/>
    <s v="Hdfc Ergo"/>
    <x v="3"/>
    <s v="Discharged"/>
  </r>
  <r>
    <s v="Unknown"/>
    <x v="72"/>
    <n v="5"/>
    <x v="1"/>
    <s v="Pune"/>
    <x v="0"/>
    <x v="8"/>
    <d v="2025-01-15T00:00:00"/>
    <d v="2025-12-23T00:00:00"/>
    <s v="Lymphoma"/>
    <s v="R-Chop Regimen"/>
    <n v="319520.46999999997"/>
    <s v="Icici Lombard"/>
    <x v="0"/>
    <s v="Admitted"/>
  </r>
  <r>
    <s v="HOSP-10128"/>
    <x v="73"/>
    <n v="26"/>
    <x v="1"/>
    <s v="Jaipur"/>
    <x v="3"/>
    <x v="3"/>
    <d v="2025-10-16T00:00:00"/>
    <d v="2025-11-03T00:00:00"/>
    <s v="Viral Gastroenteritis"/>
    <s v="Iv Fluids &amp; Electrolytes"/>
    <n v="171035.99"/>
    <s v="Care Health"/>
    <x v="3"/>
    <s v="Discharged Against Medical Advice"/>
  </r>
  <r>
    <s v="HOSP-10129"/>
    <x v="74"/>
    <n v="56"/>
    <x v="1"/>
    <s v="Chandigarh"/>
    <x v="6"/>
    <x v="18"/>
    <d v="2025-03-30T00:00:00"/>
    <d v="2025-04-16T00:00:00"/>
    <s v="Femur Fracture"/>
    <s v="Internal Fixation"/>
    <n v="185136.82"/>
    <s v="Icici Lombard"/>
    <x v="0"/>
    <s v="Unknown"/>
  </r>
  <r>
    <s v="HOSP-10130"/>
    <x v="13"/>
    <n v="48"/>
    <x v="1"/>
    <s v="Mumbai"/>
    <x v="2"/>
    <x v="14"/>
    <d v="2025-06-23T00:00:00"/>
    <d v="2025-07-07T00:00:00"/>
    <s v="Parkinson'S Disease"/>
    <s v="Unknown"/>
    <n v="94467.58"/>
    <s v="None / Self Pay"/>
    <x v="0"/>
    <s v="Expired"/>
  </r>
  <r>
    <s v="HOSP-10131"/>
    <x v="75"/>
    <n v="25"/>
    <x v="1"/>
    <s v="Jaipur"/>
    <x v="0"/>
    <x v="8"/>
    <d v="2025-06-06T00:00:00"/>
    <d v="2025-06-15T00:00:00"/>
    <s v="Lymphoma"/>
    <s v="R-Chop Regimen"/>
    <n v="20656.7"/>
    <s v="Care Health"/>
    <x v="0"/>
    <s v="Discharged"/>
  </r>
  <r>
    <s v="HOSP-10132"/>
    <x v="76"/>
    <n v="53"/>
    <x v="0"/>
    <s v="Delhi"/>
    <x v="6"/>
    <x v="18"/>
    <d v="2025-01-01T00:00:00"/>
    <d v="2025-01-05T00:00:00"/>
    <s v="Osteoarthritis Knee"/>
    <s v="Total Knee Replacement"/>
    <n v="181016.57"/>
    <s v="Star Health"/>
    <x v="2"/>
    <s v="Expired"/>
  </r>
  <r>
    <s v="HOSP-10133"/>
    <x v="77"/>
    <n v="82"/>
    <x v="1"/>
    <s v="Delhi"/>
    <x v="3"/>
    <x v="3"/>
    <d v="2025-03-21T00:00:00"/>
    <d v="2025-04-04T00:00:00"/>
    <s v="Neonatal Jaundice"/>
    <s v="Phototherapy"/>
    <n v="309912.63"/>
    <s v="Star Health"/>
    <x v="1"/>
    <s v="Discharged"/>
  </r>
  <r>
    <s v="HOSP-10134"/>
    <x v="78"/>
    <n v="27"/>
    <x v="0"/>
    <s v="Bangalore"/>
    <x v="5"/>
    <x v="9"/>
    <d v="2025-08-29T00:00:00"/>
    <d v="2025-12-23T00:00:00"/>
    <s v="Acute Pancreatitis"/>
    <s v="Conservative Management"/>
    <n v="141900.42000000001"/>
    <s v="N/A"/>
    <x v="4"/>
    <s v="Unknown"/>
  </r>
  <r>
    <s v="HOSP-10136"/>
    <x v="79"/>
    <n v="59"/>
    <x v="0"/>
    <s v="Bangalore"/>
    <x v="2"/>
    <x v="19"/>
    <d v="2025-12-06T00:00:00"/>
    <d v="2025-12-23T00:00:00"/>
    <s v="Acute Ischemic Stroke"/>
    <s v="Tpa Therapy"/>
    <n v="68547.92"/>
    <s v="Bajaj Allianz"/>
    <x v="1"/>
    <s v="Discharged"/>
  </r>
  <r>
    <s v="HOSP-10137"/>
    <x v="80"/>
    <n v="52"/>
    <x v="1"/>
    <s v="Chandigarh"/>
    <x v="3"/>
    <x v="20"/>
    <d v="2025-02-03T00:00:00"/>
    <d v="2025-02-12T00:00:00"/>
    <s v="Viral Gastroenteritis"/>
    <s v="Iv Fluids &amp; Electrolytes"/>
    <n v="88870.79"/>
    <s v="Care Health"/>
    <x v="0"/>
    <s v="Expired"/>
  </r>
  <r>
    <s v="HOSP-10140"/>
    <x v="81"/>
    <n v="160"/>
    <x v="1"/>
    <s v="Chandigarh"/>
    <x v="0"/>
    <x v="0"/>
    <d v="2025-01-14T00:00:00"/>
    <d v="2025-01-22T00:00:00"/>
    <s v="Breast Carcinoma"/>
    <s v="Chemotherapy &amp; Lumpectomy"/>
    <n v="221590.42"/>
    <s v="None / Self Pay"/>
    <x v="3"/>
    <s v="Discharged"/>
  </r>
  <r>
    <s v="HOSP-10141"/>
    <x v="82"/>
    <n v="26"/>
    <x v="1"/>
    <s v="Delhi"/>
    <x v="2"/>
    <x v="2"/>
    <d v="2025-03-23T00:00:00"/>
    <d v="2025-12-23T00:00:00"/>
    <s v="Migraine Chronic"/>
    <s v="Botox Injection &amp; Triptans"/>
    <n v="211178.03"/>
    <s v="None / Self Pay"/>
    <x v="4"/>
    <s v="Admitted"/>
  </r>
  <r>
    <s v="Unknown"/>
    <x v="27"/>
    <n v="10"/>
    <x v="0"/>
    <s v="Chennai"/>
    <x v="6"/>
    <x v="11"/>
    <d v="2025-04-10T00:00:00"/>
    <d v="2025-09-12T00:00:00"/>
    <s v="Osteoarthritis Knee"/>
    <s v="Total Knee Replacement"/>
    <n v="99999999"/>
    <s v="N/A"/>
    <x v="0"/>
    <s v="Expired"/>
  </r>
  <r>
    <s v="HOSP-10144"/>
    <x v="83"/>
    <n v="11"/>
    <x v="0"/>
    <s v="Pune"/>
    <x v="2"/>
    <x v="19"/>
    <d v="2025-11-04T00:00:00"/>
    <d v="2025-11-15T00:00:00"/>
    <s v="Acute Ischemic Stroke"/>
    <s v="Tpa Therapy"/>
    <n v="286748.51"/>
    <s v="Hdfc Ergo"/>
    <x v="3"/>
    <s v="Expired"/>
  </r>
  <r>
    <s v="HOSP-10145"/>
    <x v="14"/>
    <n v="45"/>
    <x v="1"/>
    <s v="Chandigarh"/>
    <x v="6"/>
    <x v="13"/>
    <d v="2025-03-26T00:00:00"/>
    <d v="2025-12-23T00:00:00"/>
    <s v="Lumbar Spondylosis"/>
    <s v="Spinal Decompression"/>
    <n v="138546.84"/>
    <s v="Icici Lombard"/>
    <x v="3"/>
    <s v="Admitted"/>
  </r>
  <r>
    <s v="HOSP-10146"/>
    <x v="84"/>
    <n v="18"/>
    <x v="1"/>
    <s v="Hyderabad"/>
    <x v="4"/>
    <x v="15"/>
    <d v="2025-10-20T00:00:00"/>
    <d v="2025-11-05T00:00:00"/>
    <s v="Arrhythmia"/>
    <s v="Pacemaker Implantation"/>
    <n v="347176.11"/>
    <s v="Star Health"/>
    <x v="4"/>
    <s v="Discharged Against Medical Advice"/>
  </r>
  <r>
    <s v="HOSP-10147"/>
    <x v="85"/>
    <n v="45"/>
    <x v="1"/>
    <s v="Mumbai"/>
    <x v="6"/>
    <x v="18"/>
    <d v="2025-04-19T00:00:00"/>
    <d v="2025-04-27T00:00:00"/>
    <s v="Osteoarthritis Knee"/>
    <s v="Total Knee Replacement"/>
    <n v="296274.05"/>
    <s v="Icici Lombard"/>
    <x v="1"/>
    <s v="Expired"/>
  </r>
  <r>
    <s v="HOSP-10148"/>
    <x v="86"/>
    <n v="61"/>
    <x v="1"/>
    <s v="Kolkata"/>
    <x v="5"/>
    <x v="9"/>
    <d v="2025-08-31T00:00:00"/>
    <d v="2025-12-23T00:00:00"/>
    <s v="Liver Cirrhosis"/>
    <s v="Paracentesis &amp; Diuretics"/>
    <n v="263655.98"/>
    <s v="Max Bupa"/>
    <x v="4"/>
    <s v="Admitted"/>
  </r>
  <r>
    <s v="HOSP-10149"/>
    <x v="10"/>
    <n v="18"/>
    <x v="2"/>
    <s v="Unknown"/>
    <x v="6"/>
    <x v="18"/>
    <d v="2025-09-03T00:00:00"/>
    <d v="2025-12-23T00:00:00"/>
    <s v="Lumbar Spondylosis"/>
    <s v="Spinal Decompression"/>
    <n v="274232.43"/>
    <s v="None"/>
    <x v="0"/>
    <s v="Admitted"/>
  </r>
  <r>
    <s v="HOSP-10150"/>
    <x v="87"/>
    <n v="75"/>
    <x v="0"/>
    <s v="Mumbai"/>
    <x v="6"/>
    <x v="18"/>
    <d v="2025-01-10T00:00:00"/>
    <d v="2025-01-27T00:00:00"/>
    <s v="Rotator Cuff Tear"/>
    <s v="Arthroscopic Repair"/>
    <n v="212814.74"/>
    <s v="N/A"/>
    <x v="6"/>
    <s v="Expired"/>
  </r>
  <r>
    <s v="HOSP-10152"/>
    <x v="88"/>
    <n v="42"/>
    <x v="1"/>
    <s v="Ahmedabad"/>
    <x v="6"/>
    <x v="13"/>
    <d v="2025-04-10T00:00:00"/>
    <d v="2025-02-12T00:00:00"/>
    <s v="Femur Fracture"/>
    <s v="Internal Fixation"/>
    <n v="326680.27"/>
    <s v="Hdfc Ergo"/>
    <x v="0"/>
    <s v="Discharged"/>
  </r>
  <r>
    <s v="HOSP-10154"/>
    <x v="89"/>
    <n v="12"/>
    <x v="1"/>
    <s v="Pune"/>
    <x v="4"/>
    <x v="15"/>
    <d v="2025-07-04T00:00:00"/>
    <d v="2025-12-23T00:00:00"/>
    <s v="Arrhythmia"/>
    <s v="Pacemaker Implantation"/>
    <n v="296656.08"/>
    <s v="Icici Lombard"/>
    <x v="2"/>
    <s v="Admitted"/>
  </r>
  <r>
    <s v="HOSP-10155"/>
    <x v="90"/>
    <n v="38"/>
    <x v="0"/>
    <s v="Kolkata"/>
    <x v="3"/>
    <x v="20"/>
    <d v="2025-03-19T00:00:00"/>
    <d v="2025-03-24T00:00:00"/>
    <s v="Viral Gastroenteritis"/>
    <s v="Iv Fluids &amp; Electrolytes"/>
    <n v="319545.57"/>
    <s v="None"/>
    <x v="6"/>
    <s v="Discharged Against Medical Advice"/>
  </r>
  <r>
    <s v="HOSP-10156"/>
    <x v="91"/>
    <n v="67"/>
    <x v="1"/>
    <s v="Delhi"/>
    <x v="3"/>
    <x v="3"/>
    <d v="2025-02-28T00:00:00"/>
    <d v="2025-03-18T00:00:00"/>
    <s v="Acute Bronchiolitis"/>
    <s v="Nebulization &amp; O2 Support"/>
    <n v="288794.3"/>
    <s v="Bajaj Allianz"/>
    <x v="3"/>
    <s v="Transferred"/>
  </r>
  <r>
    <s v="HOSP-10157"/>
    <x v="26"/>
    <n v="88"/>
    <x v="0"/>
    <s v="Delhi"/>
    <x v="3"/>
    <x v="20"/>
    <d v="2025-06-15T00:00:00"/>
    <d v="2025-06-29T00:00:00"/>
    <s v="Neonatal Jaundice"/>
    <s v="Phototherapy"/>
    <n v="216146.47"/>
    <s v="Unknown"/>
    <x v="1"/>
    <s v="Transferred"/>
  </r>
  <r>
    <s v="HOSP-10158"/>
    <x v="92"/>
    <n v="7"/>
    <x v="0"/>
    <s v="Jaipur"/>
    <x v="7"/>
    <x v="12"/>
    <d v="2025-11-09T00:00:00"/>
    <d v="2025-12-23T00:00:00"/>
    <s v="Severe Pneumonia"/>
    <s v="Iv Antibiotics"/>
    <n v="206117.65"/>
    <s v="Bajaj Allianz"/>
    <x v="4"/>
    <s v="Admitted"/>
  </r>
  <r>
    <s v="HOSP-10160"/>
    <x v="93"/>
    <n v="84"/>
    <x v="0"/>
    <s v="Pune"/>
    <x v="1"/>
    <x v="5"/>
    <d v="2025-04-28T00:00:00"/>
    <d v="2025-05-16T00:00:00"/>
    <s v="Dengue Fever With Thrombocytopenia"/>
    <s v="Platelet Support"/>
    <n v="260581.65"/>
    <s v="Care Health"/>
    <x v="1"/>
    <s v="Discharged Against Medical Advice"/>
  </r>
  <r>
    <s v="HOSP-10161"/>
    <x v="94"/>
    <n v="70"/>
    <x v="0"/>
    <s v="Ahmedabad"/>
    <x v="0"/>
    <x v="17"/>
    <d v="2025-01-15T00:00:00"/>
    <d v="2025-01-28T00:00:00"/>
    <s v="Lung Adenocarcinoma"/>
    <s v="Targeted Therapy"/>
    <n v="40000"/>
    <s v="Bajaj Allianz"/>
    <x v="3"/>
    <s v="Discharged Against Medical Advice"/>
  </r>
  <r>
    <s v="HOSP-10162"/>
    <x v="95"/>
    <n v="28"/>
    <x v="0"/>
    <s v="Bangalore"/>
    <x v="0"/>
    <x v="8"/>
    <d v="2025-09-28T00:00:00"/>
    <d v="2025-10-10T00:00:00"/>
    <s v="Unknown"/>
    <s v="Chemotherapy &amp; Lumpectomy"/>
    <n v="325321.69"/>
    <s v="None / Self Pay"/>
    <x v="2"/>
    <s v="Expired"/>
  </r>
  <r>
    <s v="HOSP-1164"/>
    <x v="96"/>
    <n v="79"/>
    <x v="0"/>
    <s v="Mumbai"/>
    <x v="5"/>
    <x v="21"/>
    <d v="2025-01-03T00:00:00"/>
    <d v="2025-12-23T00:00:00"/>
    <s v="Peptic Ulcer Bleeding"/>
    <s v="Endoscopic Banding"/>
    <n v="257496.48"/>
    <s v="Hdfc Ergo"/>
    <x v="0"/>
    <s v="Admitted"/>
  </r>
  <r>
    <s v="HOSP-10165"/>
    <x v="4"/>
    <n v="43"/>
    <x v="0"/>
    <s v="Bangalore"/>
    <x v="1"/>
    <x v="16"/>
    <d v="2025-12-27T00:00:00"/>
    <d v="2025-12-31T00:00:00"/>
    <s v="Type 2 Diabetes Uncontrolled"/>
    <s v="Insulin Titration"/>
    <n v="328694.76"/>
    <s v="Star Health"/>
    <x v="3"/>
    <s v="Discharged Against Medical Advice"/>
  </r>
  <r>
    <s v="HOSP-10167"/>
    <x v="43"/>
    <n v="18"/>
    <x v="1"/>
    <s v="Pune"/>
    <x v="3"/>
    <x v="3"/>
    <d v="2025-03-28T00:00:00"/>
    <d v="2025-04-01T00:00:00"/>
    <s v="Unknown"/>
    <s v="Phototherapy"/>
    <n v="219135.3"/>
    <s v="Star Health"/>
    <x v="3"/>
    <s v="Expired"/>
  </r>
  <r>
    <s v="HOSP-10168"/>
    <x v="97"/>
    <n v="85"/>
    <x v="0"/>
    <s v="Hyderabad"/>
    <x v="0"/>
    <x v="17"/>
    <d v="2025-04-03T00:00:00"/>
    <d v="2025-03-20T00:00:00"/>
    <s v="Breast Carcinoma"/>
    <s v="Chemotherapy &amp; Lumpectomy"/>
    <n v="129775.24"/>
    <s v="Max Bupa"/>
    <x v="0"/>
    <s v="Discharged"/>
  </r>
  <r>
    <s v="HOSP-10169"/>
    <x v="98"/>
    <n v="83"/>
    <x v="1"/>
    <s v="Chandigarh"/>
    <x v="2"/>
    <x v="14"/>
    <d v="2025-05-01T00:00:00"/>
    <d v="2025-05-06T00:00:00"/>
    <s v="Parkinson'S Disease"/>
    <s v="Levodopa Therapy"/>
    <n v="41341.620000000003"/>
    <s v="None"/>
    <x v="0"/>
    <s v="Discharged"/>
  </r>
  <r>
    <s v="HOSP-10170"/>
    <x v="99"/>
    <n v="81"/>
    <x v="0"/>
    <s v="Hyderabad"/>
    <x v="5"/>
    <x v="7"/>
    <d v="2025-01-05T00:00:00"/>
    <d v="2025-01-08T00:00:00"/>
    <s v="Peptic Ulcer Bleeding"/>
    <s v="Endoscopic Banding"/>
    <n v="146620.88"/>
    <s v="None / Self Pay"/>
    <x v="0"/>
    <s v="Discharged Against Medical Advice"/>
  </r>
  <r>
    <s v="HOSP-1172"/>
    <x v="100"/>
    <n v="18"/>
    <x v="1"/>
    <s v="Jaipur"/>
    <x v="3"/>
    <x v="3"/>
    <d v="2025-07-16T00:00:00"/>
    <d v="2025-07-26T00:00:00"/>
    <s v="Viral Gastroenteritis"/>
    <s v="Iv Fluids &amp; Electrolytes"/>
    <n v="47162.34"/>
    <s v="Max Bupa"/>
    <x v="4"/>
    <s v="Discharged"/>
  </r>
  <r>
    <s v="HOSP-10173"/>
    <x v="41"/>
    <n v="18"/>
    <x v="1"/>
    <s v="Delhi"/>
    <x v="2"/>
    <x v="2"/>
    <d v="2025-07-01T00:00:00"/>
    <d v="2025-07-09T00:00:00"/>
    <s v="Acute Ischemic Stroke"/>
    <s v="Tpa Therapy"/>
    <n v="61086.32"/>
    <s v="Hdfc Ergo"/>
    <x v="1"/>
    <s v="Expired"/>
  </r>
  <r>
    <s v="HOSP-10174"/>
    <x v="43"/>
    <n v="39"/>
    <x v="1"/>
    <s v="Pune"/>
    <x v="6"/>
    <x v="18"/>
    <d v="2025-01-11T00:00:00"/>
    <d v="2025-12-01T00:00:00"/>
    <s v="Rotator Cuff Tear"/>
    <s v="Arthroscopic Repair"/>
    <n v="296960.7"/>
    <s v="None"/>
    <x v="3"/>
    <s v="Expired"/>
  </r>
  <r>
    <s v="HOSP-1175"/>
    <x v="101"/>
    <n v="71"/>
    <x v="1"/>
    <s v="Jaipur"/>
    <x v="6"/>
    <x v="18"/>
    <d v="2025-04-10T00:00:00"/>
    <d v="2025-12-23T00:00:00"/>
    <s v="Rotator Cuff Tear"/>
    <s v="Arthroscopic Repair"/>
    <n v="145643.35999999999"/>
    <s v="None / Self Pay"/>
    <x v="2"/>
    <s v="Admitted"/>
  </r>
  <r>
    <s v="HOSP-10176"/>
    <x v="37"/>
    <n v="7"/>
    <x v="1"/>
    <s v="Chennai"/>
    <x v="0"/>
    <x v="0"/>
    <d v="2025-03-05T00:00:00"/>
    <d v="2025-03-07T00:00:00"/>
    <s v="Colorectal Cancer"/>
    <s v="Colectomy"/>
    <n v="122826.86"/>
    <s v="N/A"/>
    <x v="1"/>
    <s v="Discharged Against Medical Advice"/>
  </r>
  <r>
    <s v="HOSP-10178"/>
    <x v="102"/>
    <n v="44"/>
    <x v="1"/>
    <s v="Kolkata"/>
    <x v="1"/>
    <x v="1"/>
    <d v="2025-03-06T00:00:00"/>
    <d v="2025-06-11T00:00:00"/>
    <s v="Urinary Tract Infection"/>
    <s v="Antibiotic Course"/>
    <n v="263979.82"/>
    <s v="Max Bupa"/>
    <x v="0"/>
    <s v="Transferred"/>
  </r>
  <r>
    <s v="HOSP-10180"/>
    <x v="14"/>
    <n v="81"/>
    <x v="1"/>
    <s v="Mumbai"/>
    <x v="3"/>
    <x v="20"/>
    <d v="2025-04-24T00:00:00"/>
    <d v="2025-12-23T00:00:00"/>
    <s v="Severe Pneumonia"/>
    <s v="Iv Antibiotics"/>
    <n v="240033.83"/>
    <s v="Max Bupa"/>
    <x v="1"/>
    <s v="Admitted"/>
  </r>
  <r>
    <s v="HOSP-10181"/>
    <x v="103"/>
    <n v="39"/>
    <x v="1"/>
    <s v="Jaipur"/>
    <x v="6"/>
    <x v="11"/>
    <d v="2025-04-10T00:00:00"/>
    <d v="2025-07-18T00:00:00"/>
    <s v="Osteoarthritis Knee"/>
    <s v="Total Knee Replacement"/>
    <n v="72671.100000000006"/>
    <s v="Icici Lombard"/>
    <x v="3"/>
    <s v="Transferred"/>
  </r>
  <r>
    <s v="HOSP-10182"/>
    <x v="47"/>
    <n v="76"/>
    <x v="0"/>
    <s v="Hyderabad"/>
    <x v="6"/>
    <x v="11"/>
    <d v="2025-04-10T00:00:00"/>
    <d v="2025-12-23T00:00:00"/>
    <s v="Femur Fracture"/>
    <s v="Internal Fixation"/>
    <n v="337302.75"/>
    <s v="None / Self Pay"/>
    <x v="2"/>
    <s v="Admitted"/>
  </r>
  <r>
    <s v="HOSP-10183"/>
    <x v="104"/>
    <n v="88"/>
    <x v="0"/>
    <s v="Delhi"/>
    <x v="4"/>
    <x v="6"/>
    <d v="2025-09-25T00:00:00"/>
    <d v="2025-06-10T00:00:00"/>
    <s v="Heart Failure"/>
    <s v="Ace Inhibitors &amp; Diuretics"/>
    <n v="335905.47"/>
    <s v="Unknown"/>
    <x v="0"/>
    <s v="Transferred"/>
  </r>
  <r>
    <s v="HOSP-117"/>
    <x v="89"/>
    <n v="12"/>
    <x v="1"/>
    <s v="Bangalore"/>
    <x v="1"/>
    <x v="1"/>
    <d v="2025-06-24T00:00:00"/>
    <d v="2025-12-23T00:00:00"/>
    <s v="Dengue Fever With Thrombocytopenia"/>
    <s v="Platelet Support"/>
    <n v="340229.7"/>
    <s v="Icici Lombard"/>
    <x v="1"/>
    <s v="Admitted"/>
  </r>
  <r>
    <s v="HOSP-10185"/>
    <x v="105"/>
    <n v="41"/>
    <x v="1"/>
    <s v="Mumbai"/>
    <x v="6"/>
    <x v="18"/>
    <d v="2025-04-10T00:00:00"/>
    <d v="2025-11-16T00:00:00"/>
    <s v="Lumbar Spondylosis"/>
    <s v="Spinal Decompression"/>
    <n v="40000"/>
    <s v="N/A"/>
    <x v="3"/>
    <s v="Transferred"/>
  </r>
  <r>
    <s v="HOSP-10187"/>
    <x v="57"/>
    <n v="85"/>
    <x v="0"/>
    <s v="Bangalore"/>
    <x v="5"/>
    <x v="7"/>
    <d v="2025-09-21T00:00:00"/>
    <d v="2025-10-06T00:00:00"/>
    <s v="Gallstones / Cholecystitis"/>
    <s v="Laparoscopic Cholecystectomy"/>
    <n v="337085.85"/>
    <s v="Hdfc Ergo"/>
    <x v="3"/>
    <s v="Discharged"/>
  </r>
  <r>
    <s v="HOSP-10192"/>
    <x v="106"/>
    <n v="42"/>
    <x v="0"/>
    <s v="Hyderabad"/>
    <x v="2"/>
    <x v="2"/>
    <d v="2025-04-10T00:00:00"/>
    <d v="2025-02-15T00:00:00"/>
    <s v="Migraine Chronic"/>
    <s v="Botox Injection &amp; Triptans"/>
    <n v="310615.59999999998"/>
    <s v="Care Health"/>
    <x v="2"/>
    <s v="Discharged"/>
  </r>
  <r>
    <s v="HOSP-10193"/>
    <x v="107"/>
    <n v="22"/>
    <x v="1"/>
    <s v="Kolkata"/>
    <x v="1"/>
    <x v="5"/>
    <d v="2025-10-08T00:00:00"/>
    <d v="2025-10-22T00:00:00"/>
    <s v="Type 2 Diabetes Uncontrolled"/>
    <s v="Insulin Titration"/>
    <n v="348616.66"/>
    <s v="Star Health"/>
    <x v="2"/>
    <s v="Discharged"/>
  </r>
  <r>
    <s v="HOSP-10195"/>
    <x v="108"/>
    <n v="2"/>
    <x v="1"/>
    <s v="Kolkata"/>
    <x v="6"/>
    <x v="11"/>
    <d v="2025-12-09T00:00:00"/>
    <d v="2025-12-24T00:00:00"/>
    <s v="Osteoarthritis Knee"/>
    <s v="Total Knee Replacement"/>
    <n v="107724.71"/>
    <s v="Bajaj Allianz"/>
    <x v="2"/>
    <s v="Transferred"/>
  </r>
  <r>
    <s v="HOSP-10196"/>
    <x v="109"/>
    <n v="50"/>
    <x v="1"/>
    <s v="Chennai"/>
    <x v="2"/>
    <x v="14"/>
    <d v="2025-12-02T00:00:00"/>
    <d v="2025-02-13T00:00:00"/>
    <s v="Epilepsy"/>
    <s v="Anticonvulsant Therapy"/>
    <n v="272521.56"/>
    <s v="Max Bupa"/>
    <x v="1"/>
    <s v="Transferred"/>
  </r>
  <r>
    <s v="HOSP-10197"/>
    <x v="110"/>
    <n v="62"/>
    <x v="1"/>
    <s v="Delhi"/>
    <x v="7"/>
    <x v="5"/>
    <d v="2025-01-02T00:00:00"/>
    <d v="2025-01-13T00:00:00"/>
    <s v="Urinary Tract Infection"/>
    <s v="Unknown"/>
    <n v="88182.91"/>
    <s v="Care Health"/>
    <x v="3"/>
    <s v="Discharged"/>
  </r>
  <r>
    <s v="HOSP-10199"/>
    <x v="111"/>
    <n v="27"/>
    <x v="1"/>
    <s v="Chandigarh"/>
    <x v="5"/>
    <x v="21"/>
    <d v="2025-07-22T00:00:00"/>
    <d v="2025-07-29T00:00:00"/>
    <s v="Peptic Ulcer Bleeding"/>
    <s v="Endoscopic Banding"/>
    <n v="88203.79"/>
    <s v="None"/>
    <x v="0"/>
    <s v="Expired"/>
  </r>
  <r>
    <s v="HOSP-10200"/>
    <x v="20"/>
    <n v="71"/>
    <x v="0"/>
    <s v="Chandigarh"/>
    <x v="7"/>
    <x v="2"/>
    <d v="2025-07-01T00:00:00"/>
    <d v="2025-07-19T00:00:00"/>
    <s v="Migraine Chronic"/>
    <s v="Botox Injection &amp; Triptans"/>
    <n v="330817.42"/>
    <s v="Unknown"/>
    <x v="1"/>
    <s v="Expired"/>
  </r>
  <r>
    <s v="HOSP-10201"/>
    <x v="112"/>
    <n v="72"/>
    <x v="0"/>
    <s v="Mumbai"/>
    <x v="6"/>
    <x v="11"/>
    <d v="2025-11-14T00:00:00"/>
    <d v="2025-11-25T00:00:00"/>
    <s v="Osteoarthritis Knee"/>
    <s v="Total Knee Replacement"/>
    <n v="40000"/>
    <s v="Unknown"/>
    <x v="2"/>
    <s v="Discharged Against Medical Advice"/>
  </r>
  <r>
    <s v="HOSP-10203"/>
    <x v="113"/>
    <n v="18"/>
    <x v="1"/>
    <s v="Jaipur"/>
    <x v="1"/>
    <x v="5"/>
    <d v="2025-04-30T00:00:00"/>
    <d v="2025-12-23T00:00:00"/>
    <s v="Type 2 Diabetes Uncontrolled"/>
    <s v="Insulin Titration"/>
    <n v="94965.17"/>
    <s v="None / Self Pay"/>
    <x v="2"/>
    <s v="Admitted"/>
  </r>
  <r>
    <s v="HOSP-10204"/>
    <x v="103"/>
    <n v="18"/>
    <x v="1"/>
    <s v="Delhi"/>
    <x v="0"/>
    <x v="17"/>
    <d v="2025-09-01T00:00:00"/>
    <d v="2025-09-18T00:00:00"/>
    <s v="Lung Adenocarcinoma"/>
    <s v="Targeted Therapy"/>
    <n v="266670.65000000002"/>
    <s v="None / Self Pay"/>
    <x v="3"/>
    <s v="Discharged Against Medical Advice"/>
  </r>
  <r>
    <s v="HOSP-10205"/>
    <x v="114"/>
    <n v="27"/>
    <x v="1"/>
    <s v="Jaipur"/>
    <x v="1"/>
    <x v="4"/>
    <d v="2025-06-18T00:00:00"/>
    <d v="2025-12-23T00:00:00"/>
    <s v="Hypertensive Crisis"/>
    <s v="Iv Labetalol"/>
    <n v="52142.03"/>
    <s v="Star Health"/>
    <x v="4"/>
    <s v="Admitted"/>
  </r>
  <r>
    <s v="HOSP-10206"/>
    <x v="115"/>
    <n v="52"/>
    <x v="0"/>
    <s v="Hyderabad"/>
    <x v="4"/>
    <x v="15"/>
    <d v="2025-10-01T00:00:00"/>
    <d v="2025-12-23T00:00:00"/>
    <s v="Heart Failure"/>
    <s v="Ace Inhibitors &amp; Diuretics"/>
    <n v="101756.58"/>
    <s v="None / Self Pay"/>
    <x v="3"/>
    <s v="Admitted"/>
  </r>
  <r>
    <s v="HOSP-10208"/>
    <x v="116"/>
    <n v="160"/>
    <x v="0"/>
    <s v="Ahmedabad"/>
    <x v="0"/>
    <x v="17"/>
    <d v="2025-12-09T00:00:00"/>
    <d v="2025-12-26T00:00:00"/>
    <s v="Lymphoma"/>
    <s v="R-Chop Regimen"/>
    <n v="41236.160000000003"/>
    <s v="N/A"/>
    <x v="1"/>
    <s v="In-Patient"/>
  </r>
  <r>
    <s v="HOSP-10209"/>
    <x v="11"/>
    <n v="47"/>
    <x v="0"/>
    <s v="Pune"/>
    <x v="3"/>
    <x v="3"/>
    <d v="2025-09-27T00:00:00"/>
    <d v="2025-10-10T00:00:00"/>
    <s v="Viral Gastroenteritis"/>
    <s v="Iv Fluids &amp; Electrolytes"/>
    <n v="224317.54"/>
    <s v="None / Self Pay"/>
    <x v="2"/>
    <s v="Expired"/>
  </r>
  <r>
    <s v="HOSP-10210"/>
    <x v="117"/>
    <n v="81"/>
    <x v="0"/>
    <s v="Jaipur"/>
    <x v="2"/>
    <x v="14"/>
    <d v="2025-07-23T00:00:00"/>
    <d v="2025-08-04T00:00:00"/>
    <s v="Parkinson'S Disease"/>
    <s v="Levodopa Therapy"/>
    <n v="141814.6"/>
    <s v="Max Bupa"/>
    <x v="5"/>
    <s v="Discharged"/>
  </r>
  <r>
    <s v="Unknown"/>
    <x v="118"/>
    <n v="87"/>
    <x v="0"/>
    <s v="Chandigarh"/>
    <x v="4"/>
    <x v="15"/>
    <d v="2025-01-18T00:00:00"/>
    <d v="2025-01-25T00:00:00"/>
    <s v="Heart Failure"/>
    <s v="Ace Inhibitors &amp; Diuretics"/>
    <n v="258112.74"/>
    <s v="None"/>
    <x v="3"/>
    <s v="Discharged"/>
  </r>
  <r>
    <s v="HOSP-10212"/>
    <x v="3"/>
    <n v="16"/>
    <x v="0"/>
    <s v="Jaipur"/>
    <x v="6"/>
    <x v="13"/>
    <d v="2025-11-01T00:00:00"/>
    <d v="2025-12-23T00:00:00"/>
    <s v="Rotator Cuff Tear"/>
    <s v="Arthroscopic Repair"/>
    <n v="255614.72"/>
    <s v="Max Bupa"/>
    <x v="5"/>
    <s v="Admitted"/>
  </r>
  <r>
    <s v="HOSP-10213"/>
    <x v="119"/>
    <n v="40"/>
    <x v="2"/>
    <s v="Hyderabad"/>
    <x v="3"/>
    <x v="12"/>
    <d v="2025-10-10T00:00:00"/>
    <d v="2025-12-23T00:00:00"/>
    <s v="Neonatal Jaundice"/>
    <s v="Phototherapy"/>
    <n v="317722.57"/>
    <s v="Max Bupa"/>
    <x v="2"/>
    <s v="Admitted"/>
  </r>
  <r>
    <s v="HOSP-10214"/>
    <x v="120"/>
    <n v="70"/>
    <x v="1"/>
    <s v="Ahmedabad"/>
    <x v="2"/>
    <x v="14"/>
    <d v="2025-11-01T00:00:00"/>
    <d v="2025-01-15T00:00:00"/>
    <s v="Parkinson'S Disease"/>
    <s v="Levodopa Therapy"/>
    <n v="259754.43"/>
    <s v="Care Health"/>
    <x v="2"/>
    <s v="Discharged Against Medical Advice"/>
  </r>
  <r>
    <s v="HOSP-10215"/>
    <x v="43"/>
    <n v="29"/>
    <x v="1"/>
    <s v="Mumbai"/>
    <x v="4"/>
    <x v="10"/>
    <d v="2025-04-04T00:00:00"/>
    <d v="2025-04-07T00:00:00"/>
    <s v="Heart Failure"/>
    <s v="Ace Inhibitors &amp; Diuretics"/>
    <n v="43156.46"/>
    <s v="Bajaj Allianz"/>
    <x v="0"/>
    <s v="Unknown"/>
  </r>
  <r>
    <s v="HOSP-10216"/>
    <x v="121"/>
    <n v="69"/>
    <x v="0"/>
    <s v="Chennai"/>
    <x v="0"/>
    <x v="8"/>
    <d v="2025-04-14T00:00:00"/>
    <d v="2025-12-23T00:00:00"/>
    <s v="Lung Adenocarcinoma"/>
    <s v="Targeted Therapy"/>
    <n v="8472.35"/>
    <s v="Star Health"/>
    <x v="2"/>
    <s v="Admitted"/>
  </r>
  <r>
    <s v="HOSP-10217"/>
    <x v="122"/>
    <n v="6"/>
    <x v="1"/>
    <s v="Delhi"/>
    <x v="3"/>
    <x v="12"/>
    <d v="2025-11-11T00:00:00"/>
    <d v="2025-11-23T00:00:00"/>
    <s v="Severe Pneumonia"/>
    <s v="Iv Antibiotics"/>
    <n v="287606.32"/>
    <s v="Max Bupa"/>
    <x v="4"/>
    <s v="Discharged"/>
  </r>
  <r>
    <s v="HOSP-10218"/>
    <x v="38"/>
    <n v="24"/>
    <x v="0"/>
    <s v="Jaipur"/>
    <x v="5"/>
    <x v="21"/>
    <d v="2025-04-06T00:00:00"/>
    <d v="2025-12-23T00:00:00"/>
    <s v="Gallstones / Cholecystitis"/>
    <s v="Laparoscopic Cholecystectomy"/>
    <n v="289092.03000000003"/>
    <s v="Icici Lombard"/>
    <x v="4"/>
    <s v="Admitted"/>
  </r>
  <r>
    <s v="HOSP-10219"/>
    <x v="123"/>
    <n v="54"/>
    <x v="2"/>
    <s v="Bangalore"/>
    <x v="5"/>
    <x v="7"/>
    <d v="2025-12-12T00:00:00"/>
    <d v="2025-12-30T00:00:00"/>
    <s v="Liver Cirrhosis"/>
    <s v="Paracentesis &amp; Diuretics"/>
    <n v="33757.449999999997"/>
    <s v="Max Bupa"/>
    <x v="7"/>
    <s v="Transferred"/>
  </r>
  <r>
    <s v="HOSP-10220"/>
    <x v="124"/>
    <n v="73"/>
    <x v="1"/>
    <s v="Unknown"/>
    <x v="3"/>
    <x v="12"/>
    <d v="2025-07-13T00:00:00"/>
    <d v="2025-07-25T00:00:00"/>
    <s v="Neonatal Jaundice"/>
    <s v="Phototherapy"/>
    <n v="137604.06"/>
    <s v="Icici Lombard"/>
    <x v="0"/>
    <s v="Discharged Against Medical Advice"/>
  </r>
  <r>
    <s v="HOSP-10222"/>
    <x v="125"/>
    <n v="65"/>
    <x v="0"/>
    <s v="Bangalore"/>
    <x v="6"/>
    <x v="13"/>
    <d v="2025-03-04T00:00:00"/>
    <d v="2025-12-23T00:00:00"/>
    <s v="Rotator Cuff Tear"/>
    <s v="Arthroscopic Repair"/>
    <n v="270774.19"/>
    <s v="None / Self Pay"/>
    <x v="6"/>
    <s v="Admitted"/>
  </r>
  <r>
    <s v="HOSP-10223"/>
    <x v="126"/>
    <n v="65"/>
    <x v="0"/>
    <s v="Jaipur"/>
    <x v="6"/>
    <x v="11"/>
    <d v="2025-03-21T00:00:00"/>
    <d v="2025-03-29T00:00:00"/>
    <s v="Lumbar Spondylosis"/>
    <s v="Spinal Decompression"/>
    <n v="337793.92"/>
    <s v="None"/>
    <x v="0"/>
    <s v="Discharged Against Medical Advice"/>
  </r>
  <r>
    <s v="HOSP-10224"/>
    <x v="127"/>
    <n v="5"/>
    <x v="0"/>
    <s v="Bangalore"/>
    <x v="1"/>
    <x v="4"/>
    <d v="2025-12-23T00:00:00"/>
    <d v="2025-12-23T00:00:00"/>
    <s v="Dengue Fever With Thrombocytopenia"/>
    <s v="Platelet Support"/>
    <n v="288515.28999999998"/>
    <s v="Hdfc Ergo"/>
    <x v="4"/>
    <s v="Admitted"/>
  </r>
  <r>
    <s v="HOSP-10225"/>
    <x v="81"/>
    <n v="16"/>
    <x v="1"/>
    <s v="Hyderabad"/>
    <x v="1"/>
    <x v="1"/>
    <d v="2025-07-13T00:00:00"/>
    <d v="2025-07-22T00:00:00"/>
    <s v="Urinary Tract Infection"/>
    <s v="Antibiotic Course"/>
    <n v="330046.03999999998"/>
    <s v="Icici Lombard"/>
    <x v="0"/>
    <s v="Discharged"/>
  </r>
  <r>
    <s v="HOSP-10226"/>
    <x v="128"/>
    <n v="31"/>
    <x v="0"/>
    <s v="Ahmedabad"/>
    <x v="1"/>
    <x v="16"/>
    <d v="2025-04-10T00:00:00"/>
    <d v="2025-12-23T00:00:00"/>
    <s v="Type 2 Diabetes Uncontrolled"/>
    <s v="Insulin Titration"/>
    <n v="64734.19"/>
    <s v="Max Bupa"/>
    <x v="2"/>
    <s v="Admitted"/>
  </r>
  <r>
    <s v="HOSP-10227"/>
    <x v="50"/>
    <n v="84"/>
    <x v="1"/>
    <s v="Delhi"/>
    <x v="3"/>
    <x v="12"/>
    <d v="2025-01-10T00:00:00"/>
    <d v="2025-01-11T00:00:00"/>
    <s v="Unknown"/>
    <s v="Iv Antibiotics"/>
    <n v="340459.81"/>
    <s v="Hdfc Ergo"/>
    <x v="0"/>
    <s v="Discharged"/>
  </r>
  <r>
    <s v="HOSP-10228"/>
    <x v="13"/>
    <n v="63"/>
    <x v="1"/>
    <s v="Mumbai"/>
    <x v="0"/>
    <x v="0"/>
    <d v="2025-06-10T00:00:00"/>
    <d v="2025-12-23T00:00:00"/>
    <s v="Lung Adenocarcinoma"/>
    <s v="Targeted Therapy"/>
    <n v="82982.5"/>
    <s v="Bajaj Allianz"/>
    <x v="3"/>
    <s v="Unknown"/>
  </r>
  <r>
    <s v="HOSP-10229"/>
    <x v="124"/>
    <n v="40"/>
    <x v="1"/>
    <s v="Hyderabad"/>
    <x v="1"/>
    <x v="1"/>
    <d v="2025-05-06T00:00:00"/>
    <d v="2025-12-23T00:00:00"/>
    <s v="Urinary Tract Infection"/>
    <s v="Antibiotic Course"/>
    <n v="99999999"/>
    <s v="Hdfc Ergo"/>
    <x v="0"/>
    <s v="Admitted"/>
  </r>
  <r>
    <s v="HOSP-10230"/>
    <x v="129"/>
    <n v="64"/>
    <x v="2"/>
    <s v="Hyderabad"/>
    <x v="2"/>
    <x v="2"/>
    <d v="2025-05-02T00:00:00"/>
    <d v="2025-02-19T00:00:00"/>
    <s v="Acute Ischemic Stroke"/>
    <s v="Tpa Therapy"/>
    <n v="324747.28000000003"/>
    <s v="Icici Lombard"/>
    <x v="2"/>
    <s v="Transferred"/>
  </r>
  <r>
    <s v="HOSP-10231"/>
    <x v="130"/>
    <n v="43"/>
    <x v="1"/>
    <s v="Delhi"/>
    <x v="1"/>
    <x v="5"/>
    <d v="2025-01-02T00:00:00"/>
    <d v="2025-01-03T00:00:00"/>
    <s v="Type 2 Diabetes Uncontrolled"/>
    <s v="Insulin Titration"/>
    <n v="40000"/>
    <s v="None / Self Pay"/>
    <x v="4"/>
    <s v="Discharged"/>
  </r>
  <r>
    <s v="HOSP-10234"/>
    <x v="27"/>
    <n v="8"/>
    <x v="0"/>
    <s v="Chennai"/>
    <x v="3"/>
    <x v="3"/>
    <d v="2025-11-17T00:00:00"/>
    <d v="2025-12-23T00:00:00"/>
    <s v="Severe Pneumonia"/>
    <s v="Iv Antibiotics"/>
    <n v="-287384.84000000003"/>
    <s v="Icici Lombard"/>
    <x v="3"/>
    <s v="Expired"/>
  </r>
  <r>
    <s v="HOSP-10235"/>
    <x v="43"/>
    <n v="83"/>
    <x v="0"/>
    <s v="Ahmedabad"/>
    <x v="3"/>
    <x v="20"/>
    <d v="2025-01-29T00:00:00"/>
    <d v="2025-02-13T00:00:00"/>
    <s v="Acute Bronchiolitis"/>
    <s v="Nebulization &amp; O2 Support"/>
    <n v="339754.62"/>
    <s v="Bajaj Allianz"/>
    <x v="4"/>
    <s v="Expired"/>
  </r>
  <r>
    <s v="HOSP-10237"/>
    <x v="4"/>
    <n v="57"/>
    <x v="0"/>
    <s v="Chandigarh"/>
    <x v="7"/>
    <x v="4"/>
    <d v="2025-08-26T00:00:00"/>
    <d v="2025-09-08T00:00:00"/>
    <s v="Heart Failure"/>
    <s v="Ace Inhibitors &amp; Diuretics"/>
    <n v="293518.03000000003"/>
    <s v="Icici Lombard"/>
    <x v="0"/>
    <s v="Transferred"/>
  </r>
  <r>
    <s v="HOSP-10238"/>
    <x v="43"/>
    <n v="86"/>
    <x v="0"/>
    <s v="Delhi"/>
    <x v="0"/>
    <x v="17"/>
    <d v="2025-02-28T00:00:00"/>
    <d v="2025-03-18T00:00:00"/>
    <s v="Lymphoma"/>
    <s v="R-Chop Regimen"/>
    <n v="114030.49"/>
    <s v="Max Bupa"/>
    <x v="1"/>
    <s v="Discharged Against Medical Advice"/>
  </r>
  <r>
    <s v="HOSP-10240"/>
    <x v="104"/>
    <n v="52"/>
    <x v="0"/>
    <s v="Hyderabad"/>
    <x v="6"/>
    <x v="13"/>
    <d v="2025-08-21T00:00:00"/>
    <d v="2025-08-28T00:00:00"/>
    <s v="Lumbar Spondylosis"/>
    <s v="Spinal Decompression"/>
    <n v="266163.46999999997"/>
    <s v="None / Self Pay"/>
    <x v="2"/>
    <s v="Expired"/>
  </r>
  <r>
    <s v="HOSP-10241"/>
    <x v="35"/>
    <n v="32"/>
    <x v="1"/>
    <s v="Chennai"/>
    <x v="5"/>
    <x v="9"/>
    <d v="2025-09-12T00:00:00"/>
    <d v="2025-12-23T00:00:00"/>
    <s v="Gallstones / Cholecystitis"/>
    <s v="Laparoscopic Cholecystectomy"/>
    <n v="306146.28999999998"/>
    <s v="Hdfc Ergo"/>
    <x v="5"/>
    <s v="Admitted"/>
  </r>
  <r>
    <s v="HOSP-10242"/>
    <x v="131"/>
    <n v="38"/>
    <x v="0"/>
    <s v="Chennai"/>
    <x v="2"/>
    <x v="19"/>
    <d v="2025-12-12T00:00:00"/>
    <d v="2025-12-23T00:00:00"/>
    <s v="Migraine Chronic"/>
    <s v="Botox Injection &amp; Triptans"/>
    <n v="165780.85"/>
    <s v="Max Bupa"/>
    <x v="0"/>
    <s v="Transferred"/>
  </r>
  <r>
    <s v="HOSP-126"/>
    <x v="131"/>
    <n v="45"/>
    <x v="0"/>
    <s v="Mumbai"/>
    <x v="2"/>
    <x v="19"/>
    <d v="2025-03-15T00:00:00"/>
    <d v="2025-03-22T00:00:00"/>
    <s v="Parkinson'S Disease"/>
    <s v="Levodopa Therapy"/>
    <n v="293503.23"/>
    <s v="Hdfc Ergo"/>
    <x v="1"/>
    <s v="Expired"/>
  </r>
  <r>
    <s v="HOSP-10244"/>
    <x v="132"/>
    <n v="49"/>
    <x v="1"/>
    <s v="Kolkata"/>
    <x v="1"/>
    <x v="1"/>
    <d v="2025-04-10T00:00:00"/>
    <d v="2025-11-04T00:00:00"/>
    <s v="Dengue Fever With Thrombocytopenia"/>
    <s v="Platelet Support"/>
    <n v="28693.03"/>
    <s v="Care Health"/>
    <x v="3"/>
    <s v="Discharged"/>
  </r>
  <r>
    <s v="HOSP-10245"/>
    <x v="17"/>
    <n v="60"/>
    <x v="0"/>
    <s v="Jaipur"/>
    <x v="4"/>
    <x v="15"/>
    <d v="2025-03-08T00:00:00"/>
    <d v="2025-03-10T00:00:00"/>
    <s v="Coronary Artery Disease"/>
    <s v="Angioplasty"/>
    <n v="28640.639999999999"/>
    <s v="None / Self Pay"/>
    <x v="0"/>
    <s v="Discharged"/>
  </r>
  <r>
    <s v="HOSP-10248"/>
    <x v="130"/>
    <n v="42"/>
    <x v="1"/>
    <s v="Ahmedabad"/>
    <x v="3"/>
    <x v="20"/>
    <d v="2025-08-10T00:00:00"/>
    <d v="2025-12-23T00:00:00"/>
    <s v="Severe Pneumonia"/>
    <s v="Iv Antibiotics"/>
    <n v="218046.64"/>
    <s v="Hdfc Ergo"/>
    <x v="1"/>
    <s v="Admitted"/>
  </r>
  <r>
    <s v="HOSP-10249"/>
    <x v="133"/>
    <n v="69"/>
    <x v="1"/>
    <s v="Pune"/>
    <x v="1"/>
    <x v="1"/>
    <d v="2025-04-20T00:00:00"/>
    <d v="2025-08-05T00:00:00"/>
    <s v="Type 2 Diabetes Uncontrolled"/>
    <s v="Insulin Titration"/>
    <n v="40000"/>
    <s v="Hdfc Ergo"/>
    <x v="2"/>
    <s v="Expired"/>
  </r>
  <r>
    <s v="HOSP-10250"/>
    <x v="134"/>
    <n v="8"/>
    <x v="1"/>
    <s v="Hyderabad"/>
    <x v="0"/>
    <x v="17"/>
    <d v="2025-02-10T00:00:00"/>
    <d v="2025-02-22T00:00:00"/>
    <s v="Breast Carcinoma"/>
    <s v="Chemotherapy &amp; Lumpectomy"/>
    <n v="213386.28"/>
    <s v="None"/>
    <x v="1"/>
    <s v="Transferred"/>
  </r>
  <r>
    <s v="HOSP-10252"/>
    <x v="135"/>
    <n v="68"/>
    <x v="0"/>
    <s v="Pune"/>
    <x v="0"/>
    <x v="0"/>
    <d v="2025-02-22T00:00:00"/>
    <d v="2025-03-05T00:00:00"/>
    <s v="Breast Carcinoma"/>
    <s v="Chemotherapy &amp; Lumpectomy"/>
    <n v="114914.67"/>
    <s v="Bajaj Allianz"/>
    <x v="2"/>
    <s v="Discharged Against Medical Advice"/>
  </r>
  <r>
    <s v="HOSP-10253"/>
    <x v="136"/>
    <n v="2"/>
    <x v="1"/>
    <s v="Hyderabad"/>
    <x v="4"/>
    <x v="10"/>
    <d v="2025-09-05T00:00:00"/>
    <d v="2025-09-21T00:00:00"/>
    <s v="Coronary Artery Disease"/>
    <s v="Angioplasty"/>
    <n v="167818.16"/>
    <s v="Hdfc Ergo"/>
    <x v="4"/>
    <s v="Unknown"/>
  </r>
  <r>
    <s v="HOSP-10254"/>
    <x v="137"/>
    <n v="31"/>
    <x v="2"/>
    <s v="Pune"/>
    <x v="1"/>
    <x v="16"/>
    <d v="2025-02-02T00:00:00"/>
    <d v="2025-12-23T00:00:00"/>
    <s v="Dengue Fever With Thrombocytopenia"/>
    <s v="Unknown"/>
    <n v="47432.59"/>
    <s v="Care Health"/>
    <x v="0"/>
    <s v="Discharged"/>
  </r>
  <r>
    <s v="HOSP-10256"/>
    <x v="138"/>
    <n v="55"/>
    <x v="1"/>
    <s v="Jaipur"/>
    <x v="5"/>
    <x v="21"/>
    <d v="2025-07-26T00:00:00"/>
    <d v="2025-07-29T00:00:00"/>
    <s v="Liver Cirrhosis"/>
    <s v="Paracentesis &amp; Diuretics"/>
    <n v="110914.54"/>
    <s v="Star Health"/>
    <x v="0"/>
    <s v="Discharged"/>
  </r>
  <r>
    <s v="HOSP-10258"/>
    <x v="139"/>
    <n v="31"/>
    <x v="0"/>
    <s v="Hyderabad"/>
    <x v="4"/>
    <x v="6"/>
    <d v="2025-04-17T00:00:00"/>
    <d v="2025-04-24T00:00:00"/>
    <s v="Coronary Artery Disease"/>
    <s v="Angioplasty"/>
    <n v="161347.78"/>
    <s v="Star Health"/>
    <x v="0"/>
    <s v="Expired"/>
  </r>
  <r>
    <s v="HOSP-10259"/>
    <x v="140"/>
    <n v="57"/>
    <x v="1"/>
    <s v="Chennai"/>
    <x v="0"/>
    <x v="0"/>
    <d v="2025-03-01T00:00:00"/>
    <d v="2025-01-05T00:00:00"/>
    <s v="Lung Adenocarcinoma"/>
    <s v="Targeted Therapy"/>
    <n v="138047.97"/>
    <s v="Max Bupa"/>
    <x v="4"/>
    <s v="Discharged"/>
  </r>
  <r>
    <s v="HOSP-10260"/>
    <x v="141"/>
    <n v="35"/>
    <x v="1"/>
    <s v="Chennai"/>
    <x v="2"/>
    <x v="2"/>
    <d v="2025-07-15T00:00:00"/>
    <d v="2025-07-25T00:00:00"/>
    <s v="Migraine Chronic"/>
    <s v="Botox Injection &amp; Triptans"/>
    <n v="307451.11"/>
    <s v="None / Self Pay"/>
    <x v="2"/>
    <s v="Discharged Against Medical Advice"/>
  </r>
  <r>
    <s v="HOSP-10264"/>
    <x v="142"/>
    <n v="66"/>
    <x v="1"/>
    <s v="Chandigarh"/>
    <x v="2"/>
    <x v="2"/>
    <d v="2025-12-16T00:00:00"/>
    <d v="2025-12-23T00:00:00"/>
    <s v="Acute Ischemic Stroke"/>
    <s v="Tpa Therapy"/>
    <n v="40000"/>
    <s v="None / Self Pay"/>
    <x v="3"/>
    <s v="Admitted"/>
  </r>
  <r>
    <s v="HOSP-140"/>
    <x v="68"/>
    <n v="10"/>
    <x v="1"/>
    <s v="Bombay"/>
    <x v="4"/>
    <x v="10"/>
    <d v="2025-05-12T00:00:00"/>
    <d v="2025-12-16T00:00:00"/>
    <s v="Unknown"/>
    <s v="Angioplasty"/>
    <n v="337690.34"/>
    <s v="None"/>
    <x v="2"/>
    <s v="Discharged"/>
  </r>
  <r>
    <s v="HOSP-10266"/>
    <x v="51"/>
    <n v="64"/>
    <x v="0"/>
    <s v="Pune"/>
    <x v="0"/>
    <x v="8"/>
    <d v="2025-12-16T00:00:00"/>
    <d v="2025-12-21T00:00:00"/>
    <s v="Breast Carcinoma"/>
    <s v="Chemotherapy &amp; Lumpectomy"/>
    <n v="81267.360000000001"/>
    <s v="Star Health"/>
    <x v="7"/>
    <s v="Discharged Against Medical Advice"/>
  </r>
  <r>
    <s v="HOSP-10267"/>
    <x v="143"/>
    <n v="12"/>
    <x v="0"/>
    <s v="Jaipur"/>
    <x v="1"/>
    <x v="16"/>
    <d v="2025-01-11T00:00:00"/>
    <d v="2025-01-13T00:00:00"/>
    <s v="Urinary Tract Infection"/>
    <s v="Antibiotic Course"/>
    <n v="197038.65"/>
    <s v="Star Health"/>
    <x v="2"/>
    <s v="Discharged"/>
  </r>
  <r>
    <s v="HOSP-10268"/>
    <x v="144"/>
    <n v="72"/>
    <x v="1"/>
    <s v="Chennai"/>
    <x v="5"/>
    <x v="21"/>
    <d v="2025-01-02T00:00:00"/>
    <d v="2025-12-23T00:00:00"/>
    <s v="Gallstones / Cholecystitis"/>
    <s v="Laparoscopic Cholecystectomy"/>
    <n v="68996.850000000006"/>
    <s v="Care Health"/>
    <x v="2"/>
    <s v="Admitted"/>
  </r>
  <r>
    <s v="HOSP-10269"/>
    <x v="145"/>
    <n v="34"/>
    <x v="1"/>
    <s v="Chandigarh"/>
    <x v="6"/>
    <x v="11"/>
    <d v="2025-03-20T00:00:00"/>
    <d v="2025-03-23T00:00:00"/>
    <s v="Rotator Cuff Tear"/>
    <s v="Arthroscopic Repair"/>
    <n v="53213.08"/>
    <s v="Star Health"/>
    <x v="4"/>
    <s v="Expired"/>
  </r>
  <r>
    <s v="HOSP-10270"/>
    <x v="73"/>
    <n v="45"/>
    <x v="1"/>
    <s v="Chennai"/>
    <x v="2"/>
    <x v="2"/>
    <d v="2025-04-09T00:00:00"/>
    <d v="2025-09-20T00:00:00"/>
    <s v="Parkinson'S Disease"/>
    <s v="Levodopa Therapy"/>
    <n v="280669.32"/>
    <s v="Hdfc Ergo"/>
    <x v="3"/>
    <s v="Expired"/>
  </r>
  <r>
    <s v="HOSP-10271"/>
    <x v="98"/>
    <n v="31"/>
    <x v="1"/>
    <s v="Delhi"/>
    <x v="6"/>
    <x v="13"/>
    <d v="2025-04-04T00:00:00"/>
    <d v="2025-12-23T00:00:00"/>
    <s v="Rotator Cuff Tear"/>
    <s v="Arthroscopic Repair"/>
    <n v="260700.39"/>
    <s v="Max Bupa"/>
    <x v="1"/>
    <s v="Transferred"/>
  </r>
  <r>
    <s v="HOSP-10272"/>
    <x v="13"/>
    <n v="31"/>
    <x v="1"/>
    <s v="Kolkata"/>
    <x v="3"/>
    <x v="3"/>
    <d v="2025-07-11T00:00:00"/>
    <d v="2025-12-23T00:00:00"/>
    <s v="Unknown"/>
    <s v="Iv Antibiotics"/>
    <n v="270122.58"/>
    <s v="Max Bupa"/>
    <x v="4"/>
    <s v="Expired"/>
  </r>
  <r>
    <s v="HOSP-10273"/>
    <x v="146"/>
    <n v="28"/>
    <x v="1"/>
    <s v="Delhi"/>
    <x v="4"/>
    <x v="15"/>
    <d v="2025-02-24T00:00:00"/>
    <d v="2025-03-10T00:00:00"/>
    <s v="Myocardial Infarction"/>
    <s v="Thrombolysis"/>
    <n v="57284.61"/>
    <s v="Icici Lombard"/>
    <x v="3"/>
    <s v="Discharged"/>
  </r>
  <r>
    <s v="HOSP-10275"/>
    <x v="147"/>
    <n v="9"/>
    <x v="0"/>
    <s v="Ahmedabad"/>
    <x v="5"/>
    <x v="9"/>
    <d v="2025-08-13T00:00:00"/>
    <d v="2025-08-21T00:00:00"/>
    <s v="Gallstones / Cholecystitis"/>
    <s v="Laparoscopic Cholecystectomy"/>
    <n v="256236.26"/>
    <s v="Hdfc Ergo"/>
    <x v="2"/>
    <s v="Transferred"/>
  </r>
  <r>
    <s v="HOSP-10277"/>
    <x v="148"/>
    <n v="68"/>
    <x v="0"/>
    <s v="Pune"/>
    <x v="2"/>
    <x v="19"/>
    <d v="2025-03-04T00:00:00"/>
    <d v="2025-03-17T00:00:00"/>
    <s v="Epilepsy"/>
    <s v="Anticonvulsant Therapy"/>
    <n v="185996.43"/>
    <s v="Icici Lombard"/>
    <x v="3"/>
    <s v="Discharged Against Medical Advice"/>
  </r>
  <r>
    <s v="HOSP-10278"/>
    <x v="9"/>
    <n v="21"/>
    <x v="1"/>
    <s v="Jaipur"/>
    <x v="5"/>
    <x v="7"/>
    <d v="2025-01-11T00:00:00"/>
    <d v="2025-01-18T00:00:00"/>
    <s v="Liver Cirrhosis"/>
    <s v="Paracentesis &amp; Diuretics"/>
    <n v="215957.52"/>
    <s v="Star Health"/>
    <x v="2"/>
    <s v="Discharged Against Medical Advice"/>
  </r>
  <r>
    <s v="HOSP-10279"/>
    <x v="149"/>
    <n v="85"/>
    <x v="1"/>
    <s v="Ahmedabad"/>
    <x v="6"/>
    <x v="13"/>
    <d v="2025-11-24T00:00:00"/>
    <d v="2025-11-12T00:00:00"/>
    <s v="Osteoarthritis Knee"/>
    <s v="Total Knee Replacement"/>
    <n v="222845.48"/>
    <s v="Star Health"/>
    <x v="4"/>
    <s v="Discharged Against Medical Advice"/>
  </r>
  <r>
    <s v="HOSP-10280"/>
    <x v="103"/>
    <n v="53"/>
    <x v="1"/>
    <s v="Jaipur"/>
    <x v="5"/>
    <x v="9"/>
    <d v="2025-12-11T00:00:00"/>
    <d v="2025-12-24T00:00:00"/>
    <s v="Acute Pancreatitis"/>
    <s v="Conservative Management"/>
    <n v="263822.09000000003"/>
    <s v="Icici Lombard"/>
    <x v="0"/>
    <s v="Transferred"/>
  </r>
  <r>
    <s v="HOSP-10281"/>
    <x v="94"/>
    <n v="42"/>
    <x v="0"/>
    <s v="Chandigarh"/>
    <x v="5"/>
    <x v="9"/>
    <d v="2025-07-07T00:00:00"/>
    <d v="2025-07-09T00:00:00"/>
    <s v="Unknown"/>
    <s v="Laparoscopic Cholecystectomy"/>
    <n v="104636.58"/>
    <s v="Icici Lombard"/>
    <x v="3"/>
    <s v="Discharged"/>
  </r>
  <r>
    <s v="HOSP-10282"/>
    <x v="48"/>
    <n v="43"/>
    <x v="0"/>
    <s v="Unknown"/>
    <x v="1"/>
    <x v="5"/>
    <d v="2025-08-20T00:00:00"/>
    <d v="2025-08-24T00:00:00"/>
    <s v="Dengue Fever With Thrombocytopenia"/>
    <s v="Platelet Support"/>
    <n v="28616.080000000002"/>
    <s v="None / Self Pay"/>
    <x v="4"/>
    <s v="Discharged"/>
  </r>
  <r>
    <s v="HOSP-10283"/>
    <x v="150"/>
    <n v="65"/>
    <x v="0"/>
    <s v="Ahmedabad"/>
    <x v="1"/>
    <x v="16"/>
    <d v="2025-10-14T00:00:00"/>
    <d v="2025-10-27T00:00:00"/>
    <s v="Urinary Tract Infection"/>
    <s v="Antibiotic Course"/>
    <n v="213497.15"/>
    <s v="Hdfc Ergo"/>
    <x v="0"/>
    <s v="Transferred"/>
  </r>
  <r>
    <s v="HOSP-10284"/>
    <x v="65"/>
    <n v="59"/>
    <x v="2"/>
    <s v="Mumbai"/>
    <x v="2"/>
    <x v="2"/>
    <d v="2025-01-06T00:00:00"/>
    <d v="2025-06-11T00:00:00"/>
    <s v="Epilepsy"/>
    <s v="Anticonvulsant Therapy"/>
    <n v="40000"/>
    <s v="Care Health"/>
    <x v="4"/>
    <s v="Transferred"/>
  </r>
  <r>
    <s v="HOSP-10285"/>
    <x v="43"/>
    <n v="999"/>
    <x v="0"/>
    <s v="Pune"/>
    <x v="4"/>
    <x v="6"/>
    <d v="2025-05-29T00:00:00"/>
    <d v="2025-12-23T00:00:00"/>
    <s v="Coronary Artery Disease"/>
    <s v="Angioplasty"/>
    <n v="300360.06"/>
    <s v="Icici Lombard"/>
    <x v="1"/>
    <s v="Admitted"/>
  </r>
  <r>
    <s v="HOSP-10286"/>
    <x v="4"/>
    <n v="8"/>
    <x v="0"/>
    <s v="Mumbai"/>
    <x v="6"/>
    <x v="18"/>
    <d v="2025-10-18T00:00:00"/>
    <d v="2025-12-23T00:00:00"/>
    <s v="Osteoarthritis Knee"/>
    <s v="Total Knee Replacement"/>
    <n v="125286.57"/>
    <s v="Icici Lombard"/>
    <x v="3"/>
    <s v="Admitted"/>
  </r>
  <r>
    <s v="HOSP-10288"/>
    <x v="151"/>
    <n v="65"/>
    <x v="0"/>
    <s v="Chandigarh"/>
    <x v="7"/>
    <x v="0"/>
    <d v="2025-08-03T00:00:00"/>
    <d v="2025-12-23T00:00:00"/>
    <s v="Colorectal Cancer"/>
    <s v="Colectomy"/>
    <n v="-186594.85"/>
    <s v="None / Self Pay"/>
    <x v="2"/>
    <s v="Admitted"/>
  </r>
  <r>
    <s v="HOSP-10289"/>
    <x v="152"/>
    <n v="53"/>
    <x v="1"/>
    <s v="Mumbai"/>
    <x v="6"/>
    <x v="18"/>
    <d v="2025-11-22T00:00:00"/>
    <d v="2025-11-28T00:00:00"/>
    <s v="Osteoarthritis Knee"/>
    <s v="Total Knee Replacement"/>
    <n v="150874.89000000001"/>
    <s v="Max Bupa"/>
    <x v="4"/>
    <s v="Expired"/>
  </r>
  <r>
    <s v="HOSP-10290"/>
    <x v="132"/>
    <n v="16"/>
    <x v="1"/>
    <s v="Mumbai"/>
    <x v="5"/>
    <x v="21"/>
    <d v="2025-01-07T00:00:00"/>
    <d v="2025-07-07T00:00:00"/>
    <s v="Acute Pancreatitis"/>
    <s v="Conservative Management"/>
    <n v="161842.22"/>
    <s v="N/A"/>
    <x v="5"/>
    <s v="Discharged Against Medical Advice"/>
  </r>
  <r>
    <s v="HOSP-10291"/>
    <x v="153"/>
    <n v="53"/>
    <x v="0"/>
    <s v="Bangalore"/>
    <x v="6"/>
    <x v="11"/>
    <d v="2025-07-04T00:00:00"/>
    <d v="2025-12-23T00:00:00"/>
    <s v="Femur Fracture"/>
    <s v="Internal Fixation"/>
    <n v="40000"/>
    <s v="None"/>
    <x v="2"/>
    <s v="Admitted"/>
  </r>
  <r>
    <s v="HOSP-10292"/>
    <x v="154"/>
    <n v="3"/>
    <x v="0"/>
    <s v="Unknown"/>
    <x v="0"/>
    <x v="17"/>
    <d v="2025-01-11T00:00:00"/>
    <d v="2025-01-21T00:00:00"/>
    <s v="Lymphoma"/>
    <s v="R-Chop Regimen"/>
    <n v="208374.36"/>
    <s v="Hdfc Ergo"/>
    <x v="0"/>
    <s v="Transferred"/>
  </r>
  <r>
    <s v="HOSP-10293"/>
    <x v="155"/>
    <n v="66"/>
    <x v="1"/>
    <s v="Kolkata"/>
    <x v="4"/>
    <x v="15"/>
    <d v="2025-03-14T00:00:00"/>
    <d v="2025-04-01T00:00:00"/>
    <s v="Myocardial Infarction"/>
    <s v="Thrombolysis"/>
    <n v="76422.86"/>
    <s v="Care Health"/>
    <x v="2"/>
    <s v="Discharged"/>
  </r>
  <r>
    <s v="HOSP-10294"/>
    <x v="156"/>
    <n v="88"/>
    <x v="1"/>
    <s v="Kolkata"/>
    <x v="0"/>
    <x v="8"/>
    <d v="2025-08-01T00:00:00"/>
    <d v="2025-08-04T00:00:00"/>
    <s v="Breast Carcinoma"/>
    <s v="Unknown"/>
    <n v="215647.84"/>
    <s v="Star Health"/>
    <x v="0"/>
    <s v="Discharged"/>
  </r>
  <r>
    <s v="HOSP-10296"/>
    <x v="126"/>
    <n v="65"/>
    <x v="0"/>
    <s v="Ahmedabad"/>
    <x v="6"/>
    <x v="13"/>
    <d v="2025-01-17T00:00:00"/>
    <d v="2025-01-22T00:00:00"/>
    <s v="Femur Fracture"/>
    <s v="Internal Fixation"/>
    <n v="92369.02"/>
    <s v="None / Self Pay"/>
    <x v="0"/>
    <s v="Discharged Against Medical Advice"/>
  </r>
  <r>
    <s v="HOSP-10297"/>
    <x v="126"/>
    <n v="33"/>
    <x v="0"/>
    <s v="Chennai"/>
    <x v="2"/>
    <x v="19"/>
    <d v="2025-04-03T00:00:00"/>
    <d v="2025-08-04T00:00:00"/>
    <s v="Parkinson'S Disease"/>
    <s v="Levodopa Therapy"/>
    <n v="273508.17"/>
    <s v="Star Health"/>
    <x v="3"/>
    <s v="Discharged"/>
  </r>
  <r>
    <s v="HOSP-10298"/>
    <x v="157"/>
    <n v="20"/>
    <x v="0"/>
    <s v="Hyderabad"/>
    <x v="3"/>
    <x v="20"/>
    <d v="2025-04-10T00:00:00"/>
    <d v="2025-12-23T00:00:00"/>
    <s v="Unknown"/>
    <s v="Iv Fluids &amp; Electrolytes"/>
    <n v="159154.76999999999"/>
    <s v="Bajaj Allianz"/>
    <x v="0"/>
    <s v="Admitted"/>
  </r>
  <r>
    <s v="HOSP-10299"/>
    <x v="64"/>
    <n v="31"/>
    <x v="0"/>
    <s v="Chandigarh"/>
    <x v="5"/>
    <x v="21"/>
    <d v="2025-06-22T00:00:00"/>
    <d v="2025-12-23T00:00:00"/>
    <s v="Gallstones / Cholecystitis"/>
    <s v="Laparoscopic Cholecystectomy"/>
    <n v="137168.85999999999"/>
    <s v="Hdfc Ergo"/>
    <x v="0"/>
    <s v="Transferred"/>
  </r>
  <r>
    <s v="HOSP-10300"/>
    <x v="131"/>
    <n v="88"/>
    <x v="0"/>
    <s v="Hyderabad"/>
    <x v="5"/>
    <x v="9"/>
    <d v="2025-01-14T00:00:00"/>
    <d v="2025-01-27T00:00:00"/>
    <s v="Gallstones / Cholecystitis"/>
    <s v="Laparoscopic Cholecystectomy"/>
    <n v="99999999"/>
    <s v="Icici Lombard"/>
    <x v="0"/>
    <s v="Expired"/>
  </r>
  <r>
    <s v="HOSP-10301"/>
    <x v="109"/>
    <n v="160"/>
    <x v="1"/>
    <s v="Ahmedabad"/>
    <x v="1"/>
    <x v="16"/>
    <d v="2025-02-11T00:00:00"/>
    <d v="2025-02-25T00:00:00"/>
    <s v="Dengue Fever With Thrombocytopenia"/>
    <s v="Platelet Support"/>
    <n v="-234724.28"/>
    <s v="Icici Lombard"/>
    <x v="0"/>
    <s v="Transferred"/>
  </r>
  <r>
    <s v="HOSP-10302"/>
    <x v="158"/>
    <n v="67"/>
    <x v="0"/>
    <s v="Pune"/>
    <x v="6"/>
    <x v="11"/>
    <d v="2025-03-28T00:00:00"/>
    <d v="2025-04-03T00:00:00"/>
    <s v="Femur Fracture"/>
    <s v="Internal Fixation"/>
    <n v="330025.55"/>
    <s v="Icici Lombard"/>
    <x v="2"/>
    <s v="Transferred"/>
  </r>
  <r>
    <s v="HOSP-10304"/>
    <x v="159"/>
    <n v="42"/>
    <x v="0"/>
    <s v="Chandigarh"/>
    <x v="7"/>
    <x v="14"/>
    <d v="2025-05-29T00:00:00"/>
    <d v="2025-06-16T00:00:00"/>
    <s v="Epilepsy"/>
    <s v="Anticonvulsant Therapy"/>
    <n v="121793.68"/>
    <s v="None"/>
    <x v="3"/>
    <s v="Discharged"/>
  </r>
  <r>
    <s v="HOSP-10306"/>
    <x v="160"/>
    <n v="76"/>
    <x v="0"/>
    <s v="Hyderabad"/>
    <x v="5"/>
    <x v="9"/>
    <d v="2025-06-02T00:00:00"/>
    <d v="2025-06-09T00:00:00"/>
    <s v="Gallstones / Cholecystitis"/>
    <s v="Laparoscopic Cholecystectomy"/>
    <n v="35097.68"/>
    <s v="Hdfc Ergo"/>
    <x v="0"/>
    <s v="Expired"/>
  </r>
  <r>
    <s v="HOSP-10307"/>
    <x v="131"/>
    <n v="39"/>
    <x v="0"/>
    <s v="Bangalore"/>
    <x v="1"/>
    <x v="5"/>
    <d v="2025-05-11T00:00:00"/>
    <d v="2025-05-17T00:00:00"/>
    <s v="Urinary Tract Infection"/>
    <s v="Antibiotic Course"/>
    <n v="138020.31"/>
    <s v="Care Health"/>
    <x v="4"/>
    <s v="Transferred"/>
  </r>
  <r>
    <s v="HOSP-10308"/>
    <x v="161"/>
    <n v="45"/>
    <x v="0"/>
    <s v="Kolkata"/>
    <x v="0"/>
    <x v="17"/>
    <d v="2025-10-02T00:00:00"/>
    <d v="2025-10-18T00:00:00"/>
    <s v="Lung Adenocarcinoma"/>
    <s v="Targeted Therapy"/>
    <n v="346942.33"/>
    <s v="None"/>
    <x v="4"/>
    <s v="Discharged Against Medical Advice"/>
  </r>
  <r>
    <s v="HOSP-10309"/>
    <x v="43"/>
    <n v="75"/>
    <x v="1"/>
    <s v="Jaipur"/>
    <x v="4"/>
    <x v="15"/>
    <d v="2025-06-06T00:00:00"/>
    <d v="2025-06-02T00:00:00"/>
    <s v="Arrhythmia"/>
    <s v="Pacemaker Implantation"/>
    <n v="-91922.240000000005"/>
    <s v="Hdfc Ergo"/>
    <x v="0"/>
    <s v="Transferred"/>
  </r>
  <r>
    <s v="HOSP-10310"/>
    <x v="130"/>
    <n v="48"/>
    <x v="1"/>
    <s v="Jaipur"/>
    <x v="2"/>
    <x v="19"/>
    <d v="2025-10-23T00:00:00"/>
    <d v="2025-11-04T00:00:00"/>
    <s v="Acute Ischemic Stroke"/>
    <s v="Tpa Therapy"/>
    <n v="40000"/>
    <s v="Hdfc Ergo"/>
    <x v="1"/>
    <s v="Discharged"/>
  </r>
  <r>
    <s v="HOSP-10312"/>
    <x v="63"/>
    <n v="72"/>
    <x v="0"/>
    <s v="Kolkata"/>
    <x v="4"/>
    <x v="10"/>
    <d v="2025-03-03T00:00:00"/>
    <d v="2025-12-23T00:00:00"/>
    <s v="Heart Failure"/>
    <s v="Ace Inhibitors &amp; Diuretics"/>
    <n v="342444.11"/>
    <s v="None / Self Pay"/>
    <x v="2"/>
    <s v="Admitted"/>
  </r>
  <r>
    <s v="HOSP-10314"/>
    <x v="162"/>
    <n v="18"/>
    <x v="0"/>
    <s v="Chennai"/>
    <x v="2"/>
    <x v="19"/>
    <d v="2025-11-08T00:00:00"/>
    <d v="2025-12-23T00:00:00"/>
    <s v="Acute Ischemic Stroke"/>
    <s v="Tpa Therapy"/>
    <n v="269352.28000000003"/>
    <s v="Bajaj Allianz"/>
    <x v="0"/>
    <s v="Admitted"/>
  </r>
  <r>
    <s v="HOSP-10315"/>
    <x v="163"/>
    <n v="73"/>
    <x v="1"/>
    <s v="Mumbai"/>
    <x v="0"/>
    <x v="0"/>
    <d v="2025-06-10T00:00:00"/>
    <d v="2025-06-28T00:00:00"/>
    <s v="Breast Carcinoma"/>
    <s v="Chemotherapy &amp; Lumpectomy"/>
    <n v="197586.65"/>
    <s v="Hdfc Ergo"/>
    <x v="4"/>
    <s v="Expired"/>
  </r>
  <r>
    <s v="HOSP-10316"/>
    <x v="157"/>
    <n v="5"/>
    <x v="0"/>
    <s v="Delhi"/>
    <x v="5"/>
    <x v="4"/>
    <d v="2025-07-02T00:00:00"/>
    <d v="2025-07-05T00:00:00"/>
    <s v="Acute Pancreatitis"/>
    <s v="Conservative Management"/>
    <n v="87118.18"/>
    <s v="Care Health"/>
    <x v="1"/>
    <s v="Discharged Against Medical Advice"/>
  </r>
  <r>
    <s v="HOSP-10317"/>
    <x v="164"/>
    <n v="6"/>
    <x v="0"/>
    <s v="Pune"/>
    <x v="4"/>
    <x v="6"/>
    <d v="2025-11-08T00:00:00"/>
    <d v="2025-11-14T00:00:00"/>
    <s v="Heart Failure"/>
    <s v="Ace Inhibitors &amp; Diuretics"/>
    <n v="173699.35"/>
    <s v="Max Bupa"/>
    <x v="1"/>
    <s v="Expired"/>
  </r>
  <r>
    <s v="HOSP-10318"/>
    <x v="165"/>
    <n v="70"/>
    <x v="0"/>
    <s v="Bombay"/>
    <x v="6"/>
    <x v="13"/>
    <d v="2025-12-06T00:00:00"/>
    <d v="2025-06-15T00:00:00"/>
    <s v="Osteoarthritis Knee"/>
    <s v="Total Knee Replacement"/>
    <n v="183816.01"/>
    <s v="Bajaj Allianz"/>
    <x v="0"/>
    <s v="Discharged"/>
  </r>
  <r>
    <s v="HOSP-10319"/>
    <x v="161"/>
    <n v="13"/>
    <x v="0"/>
    <s v="Hyderabad"/>
    <x v="3"/>
    <x v="3"/>
    <d v="2025-08-12T00:00:00"/>
    <d v="2025-08-21T00:00:00"/>
    <s v="Viral Gastroenteritis"/>
    <s v="Iv Fluids &amp; Electrolytes"/>
    <n v="43425.63"/>
    <s v="Star Health"/>
    <x v="0"/>
    <s v="Expired"/>
  </r>
  <r>
    <s v="HOSP-10320"/>
    <x v="166"/>
    <n v="49"/>
    <x v="0"/>
    <s v="Pune"/>
    <x v="1"/>
    <x v="5"/>
    <d v="2025-06-11T00:00:00"/>
    <d v="2025-11-19T00:00:00"/>
    <s v="Hypertensive Crisis"/>
    <s v="Iv Labetalol"/>
    <n v="40000"/>
    <s v="Care Health"/>
    <x v="0"/>
    <s v="Transferred"/>
  </r>
  <r>
    <s v="HOSP-10322"/>
    <x v="167"/>
    <n v="73"/>
    <x v="1"/>
    <s v="Delhi"/>
    <x v="2"/>
    <x v="2"/>
    <d v="2025-11-02T00:00:00"/>
    <d v="2025-02-12T00:00:00"/>
    <s v="Acute Ischemic Stroke"/>
    <s v="Tpa Therapy"/>
    <n v="270260.96999999997"/>
    <s v="None"/>
    <x v="6"/>
    <s v="Transferred"/>
  </r>
  <r>
    <s v="HOSP-10323"/>
    <x v="166"/>
    <n v="85"/>
    <x v="0"/>
    <s v="Chandigarh"/>
    <x v="0"/>
    <x v="17"/>
    <d v="2025-01-31T00:00:00"/>
    <d v="2025-10-02T00:00:00"/>
    <s v="Lymphoma"/>
    <s v="R-Chop Regimen"/>
    <n v="292075.46000000002"/>
    <s v="N/A"/>
    <x v="3"/>
    <s v="Discharged Against Medical Advice"/>
  </r>
  <r>
    <s v="HOSP-10325"/>
    <x v="168"/>
    <n v="58"/>
    <x v="1"/>
    <s v="Mumbai"/>
    <x v="4"/>
    <x v="10"/>
    <d v="2025-09-25T00:00:00"/>
    <d v="2025-09-28T00:00:00"/>
    <s v="Coronary Artery Disease"/>
    <s v="Angioplasty"/>
    <n v="272662.94"/>
    <s v="Bajaj Allianz"/>
    <x v="0"/>
    <s v="Discharged Against Medical Advice"/>
  </r>
  <r>
    <s v="HOSP-10327"/>
    <x v="2"/>
    <n v="23"/>
    <x v="0"/>
    <s v="Chandigarh"/>
    <x v="0"/>
    <x v="0"/>
    <d v="2025-01-23T00:00:00"/>
    <d v="2025-02-05T00:00:00"/>
    <s v="Colorectal Cancer"/>
    <s v="Colectomy"/>
    <n v="73899.320000000007"/>
    <s v="None / Self Pay"/>
    <x v="2"/>
    <s v="Transferred"/>
  </r>
  <r>
    <s v="HOSP-10328"/>
    <x v="169"/>
    <n v="13"/>
    <x v="0"/>
    <s v="Kolkata"/>
    <x v="0"/>
    <x v="0"/>
    <d v="2025-09-12T00:00:00"/>
    <d v="2025-09-19T00:00:00"/>
    <s v="Lung Adenocarcinoma"/>
    <s v="Targeted Therapy"/>
    <n v="260952.41"/>
    <s v="Care Health"/>
    <x v="4"/>
    <s v="Expired"/>
  </r>
  <r>
    <s v="HOSP-10331"/>
    <x v="56"/>
    <n v="160"/>
    <x v="0"/>
    <s v="Jaipur"/>
    <x v="6"/>
    <x v="11"/>
    <d v="2025-06-30T00:00:00"/>
    <d v="2025-07-08T00:00:00"/>
    <s v="Unknown"/>
    <s v="Internal Fixation"/>
    <n v="14889.03"/>
    <s v="Star Health"/>
    <x v="1"/>
    <s v="Transferred"/>
  </r>
  <r>
    <s v="HOSP-10334"/>
    <x v="170"/>
    <n v="58"/>
    <x v="1"/>
    <s v="Delhi"/>
    <x v="5"/>
    <x v="7"/>
    <d v="2025-03-02T00:00:00"/>
    <d v="2025-03-16T00:00:00"/>
    <s v="Peptic Ulcer Bleeding"/>
    <s v="Endoscopic Banding"/>
    <n v="27887.8"/>
    <s v="None / Self Pay"/>
    <x v="0"/>
    <s v="Discharged Against Medical Advice"/>
  </r>
  <r>
    <s v="HOSP-10335"/>
    <x v="171"/>
    <n v="75"/>
    <x v="1"/>
    <s v="Chennai"/>
    <x v="6"/>
    <x v="11"/>
    <d v="2025-12-10T00:00:00"/>
    <d v="2025-12-24T00:00:00"/>
    <s v="Rotator Cuff Tear"/>
    <s v="Arthroscopic Repair"/>
    <n v="207167.51"/>
    <s v="Bajaj Allianz"/>
    <x v="3"/>
    <s v="Discharged Against Medical Advice"/>
  </r>
  <r>
    <s v="HOSP-10336"/>
    <x v="110"/>
    <n v="30"/>
    <x v="1"/>
    <s v="Chandigarh"/>
    <x v="6"/>
    <x v="11"/>
    <d v="2025-06-07T00:00:00"/>
    <d v="2025-07-08T00:00:00"/>
    <s v="Femur Fracture"/>
    <s v="Internal Fixation"/>
    <n v="160039.89000000001"/>
    <s v="Max Bupa"/>
    <x v="3"/>
    <s v="Discharged"/>
  </r>
  <r>
    <s v="HOSP-10337"/>
    <x v="172"/>
    <n v="76"/>
    <x v="1"/>
    <s v="Unknown"/>
    <x v="5"/>
    <x v="21"/>
    <d v="2025-07-17T00:00:00"/>
    <d v="2025-12-23T00:00:00"/>
    <s v="Liver Cirrhosis"/>
    <s v="Paracentesis &amp; Diuretics"/>
    <n v="333754.68"/>
    <s v="Max Bupa"/>
    <x v="1"/>
    <s v="Admitted"/>
  </r>
  <r>
    <s v="HOSP-105"/>
    <x v="173"/>
    <n v="18"/>
    <x v="0"/>
    <s v="Jaipur"/>
    <x v="6"/>
    <x v="13"/>
    <d v="2025-11-06T00:00:00"/>
    <d v="2025-12-23T00:00:00"/>
    <s v="Femur Fracture"/>
    <s v="Internal Fixation"/>
    <n v="65658.62"/>
    <s v="Star Health"/>
    <x v="0"/>
    <s v="Admitted"/>
  </r>
  <r>
    <s v="HOSP-10339"/>
    <x v="91"/>
    <n v="47"/>
    <x v="1"/>
    <s v="Chandigarh"/>
    <x v="5"/>
    <x v="9"/>
    <d v="2025-04-12T00:00:00"/>
    <d v="2025-12-23T00:00:00"/>
    <s v="Liver Cirrhosis"/>
    <s v="Paracentesis &amp; Diuretics"/>
    <n v="100093.93"/>
    <s v="Hdfc Ergo"/>
    <x v="2"/>
    <s v="Discharged Against Medical Advice"/>
  </r>
  <r>
    <s v="HOSP-10340"/>
    <x v="90"/>
    <n v="19"/>
    <x v="0"/>
    <s v="Chennai"/>
    <x v="4"/>
    <x v="10"/>
    <d v="2025-10-04T00:00:00"/>
    <d v="2025-04-17T00:00:00"/>
    <s v="Heart Failure"/>
    <s v="Ace Inhibitors &amp; Diuretics"/>
    <n v="251416.32000000001"/>
    <s v="Icici Lombard"/>
    <x v="0"/>
    <s v="Expired"/>
  </r>
  <r>
    <s v="HOSP-10341"/>
    <x v="95"/>
    <n v="7"/>
    <x v="0"/>
    <s v="Mumbai"/>
    <x v="1"/>
    <x v="5"/>
    <d v="2025-06-10T00:00:00"/>
    <d v="2025-06-27T00:00:00"/>
    <s v="Dengue Fever With Thrombocytopenia"/>
    <s v="Platelet Support"/>
    <n v="267165.83"/>
    <s v="None / Self Pay"/>
    <x v="1"/>
    <s v="Discharged"/>
  </r>
  <r>
    <s v="HOSP-10342"/>
    <x v="130"/>
    <n v="62"/>
    <x v="1"/>
    <s v="Chennai"/>
    <x v="5"/>
    <x v="9"/>
    <d v="2025-09-09T00:00:00"/>
    <d v="2025-09-23T00:00:00"/>
    <s v="Acute Pancreatitis"/>
    <s v="Conservative Management"/>
    <n v="288098.34000000003"/>
    <s v="Max Bupa"/>
    <x v="4"/>
    <s v="Expired"/>
  </r>
  <r>
    <s v="HOSP-10344"/>
    <x v="168"/>
    <n v="70"/>
    <x v="1"/>
    <s v="Jaipur"/>
    <x v="6"/>
    <x v="11"/>
    <d v="2025-02-16T00:00:00"/>
    <d v="2025-02-22T00:00:00"/>
    <s v="Osteoarthritis Knee"/>
    <s v="Total Knee Replacement"/>
    <n v="28856.82"/>
    <s v="Care Health"/>
    <x v="1"/>
    <s v="Discharged"/>
  </r>
  <r>
    <s v="HOSP-10346"/>
    <x v="0"/>
    <n v="60"/>
    <x v="0"/>
    <s v="Mumbai"/>
    <x v="4"/>
    <x v="6"/>
    <d v="2025-05-13T00:00:00"/>
    <d v="2025-12-23T00:00:00"/>
    <s v="Heart Failure"/>
    <s v="Ace Inhibitors &amp; Diuretics"/>
    <n v="24847.62"/>
    <s v="Care Health"/>
    <x v="2"/>
    <s v="Admitted"/>
  </r>
  <r>
    <s v="HOSP-10347"/>
    <x v="174"/>
    <n v="24"/>
    <x v="1"/>
    <s v="Mumbai"/>
    <x v="0"/>
    <x v="8"/>
    <d v="2025-11-22T00:00:00"/>
    <d v="2025-11-30T00:00:00"/>
    <s v="Colorectal Cancer"/>
    <s v="Colectomy"/>
    <n v="75690.77"/>
    <s v="Care Health"/>
    <x v="3"/>
    <s v="Transferred"/>
  </r>
  <r>
    <s v="HOSP-10348"/>
    <x v="73"/>
    <n v="18"/>
    <x v="1"/>
    <s v="Mumbai"/>
    <x v="7"/>
    <x v="17"/>
    <d v="2025-12-26T00:00:00"/>
    <d v="2026-01-09T00:00:00"/>
    <s v="Colorectal Cancer"/>
    <s v="Colectomy"/>
    <n v="292142.3"/>
    <s v="Icici Lombard"/>
    <x v="3"/>
    <s v="Discharged"/>
  </r>
  <r>
    <s v="HOSP-10349"/>
    <x v="175"/>
    <n v="56"/>
    <x v="1"/>
    <s v="Unknown"/>
    <x v="5"/>
    <x v="7"/>
    <d v="2025-11-16T00:00:00"/>
    <d v="2025-12-23T00:00:00"/>
    <s v="Peptic Ulcer Bleeding"/>
    <s v="Endoscopic Banding"/>
    <n v="218516.52"/>
    <s v="Icici Lombard"/>
    <x v="1"/>
    <s v="Admitted"/>
  </r>
  <r>
    <s v="HOSP-10350"/>
    <x v="176"/>
    <n v="10"/>
    <x v="1"/>
    <s v="Mumbai"/>
    <x v="2"/>
    <x v="2"/>
    <d v="2025-05-08T00:00:00"/>
    <d v="2025-05-22T00:00:00"/>
    <s v="Parkinson'S Disease"/>
    <s v="Levodopa Therapy"/>
    <n v="169398.15"/>
    <s v="Hdfc Ergo"/>
    <x v="0"/>
    <s v="Expired"/>
  </r>
  <r>
    <s v="HOSP-10351"/>
    <x v="177"/>
    <n v="19"/>
    <x v="0"/>
    <s v="Chandigarh"/>
    <x v="1"/>
    <x v="1"/>
    <d v="2025-10-04T00:00:00"/>
    <d v="2025-12-23T00:00:00"/>
    <s v="Type 2 Diabetes Uncontrolled"/>
    <s v="Insulin Titration"/>
    <n v="267621"/>
    <s v="Bajaj Allianz"/>
    <x v="0"/>
    <s v="Admitted"/>
  </r>
  <r>
    <s v="HOSP-10352"/>
    <x v="178"/>
    <n v="61"/>
    <x v="0"/>
    <s v="Ahmedabad"/>
    <x v="2"/>
    <x v="14"/>
    <d v="2025-04-10T00:00:00"/>
    <d v="2025-04-29T00:00:00"/>
    <s v="Epilepsy"/>
    <s v="Anticonvulsant Therapy"/>
    <n v="234451"/>
    <s v="Care Health"/>
    <x v="3"/>
    <s v="Discharged Against Medical Advice"/>
  </r>
  <r>
    <s v="HOSP-10353"/>
    <x v="42"/>
    <n v="20"/>
    <x v="2"/>
    <s v="Kolkata"/>
    <x v="0"/>
    <x v="8"/>
    <d v="2025-04-10T00:00:00"/>
    <d v="2025-12-23T00:00:00"/>
    <s v="Breast Carcinoma"/>
    <s v="Chemotherapy &amp; Lumpectomy"/>
    <n v="65515.33"/>
    <s v="Max Bupa"/>
    <x v="4"/>
    <s v="Unknown"/>
  </r>
  <r>
    <s v="HOSP-10354"/>
    <x v="109"/>
    <n v="58"/>
    <x v="1"/>
    <s v="Mumbai"/>
    <x v="4"/>
    <x v="15"/>
    <d v="2025-02-20T00:00:00"/>
    <d v="2025-02-24T00:00:00"/>
    <s v="Myocardial Infarction"/>
    <s v="Thrombolysis"/>
    <n v="11310.31"/>
    <s v="Hdfc Ergo"/>
    <x v="4"/>
    <s v="Discharged Against Medical Advice"/>
  </r>
  <r>
    <s v="HOSP-10356"/>
    <x v="48"/>
    <n v="75"/>
    <x v="0"/>
    <s v="Jaipur"/>
    <x v="1"/>
    <x v="5"/>
    <d v="2025-09-12T00:00:00"/>
    <d v="2025-09-13T00:00:00"/>
    <s v="Hypertensive Crisis"/>
    <s v="Iv Labetalol"/>
    <n v="70627.63"/>
    <s v="Star Health"/>
    <x v="3"/>
    <s v="Transferred"/>
  </r>
  <r>
    <s v="HOSP-10357"/>
    <x v="36"/>
    <n v="79"/>
    <x v="0"/>
    <s v="Ahmedabad"/>
    <x v="4"/>
    <x v="10"/>
    <d v="2025-08-18T00:00:00"/>
    <d v="2025-08-26T00:00:00"/>
    <s v="Heart Failure"/>
    <s v="Ace Inhibitors &amp; Diuretics"/>
    <n v="219686.66"/>
    <s v="Icici Lombard"/>
    <x v="0"/>
    <s v="Transferred"/>
  </r>
  <r>
    <s v="HOSP-10358"/>
    <x v="158"/>
    <n v="72"/>
    <x v="0"/>
    <s v="Bangalore"/>
    <x v="6"/>
    <x v="13"/>
    <d v="2025-08-26T00:00:00"/>
    <d v="2025-12-23T00:00:00"/>
    <s v="Lumbar Spondylosis"/>
    <s v="Spinal Decompression"/>
    <n v="40000"/>
    <s v="Bajaj Allianz"/>
    <x v="4"/>
    <s v="Admitted"/>
  </r>
  <r>
    <s v="HOSP-10361"/>
    <x v="179"/>
    <n v="45"/>
    <x v="1"/>
    <s v="Hyderabad"/>
    <x v="0"/>
    <x v="17"/>
    <d v="2025-06-27T00:00:00"/>
    <d v="2025-12-23T00:00:00"/>
    <s v="Colorectal Cancer"/>
    <s v="Colectomy"/>
    <n v="328188.99"/>
    <s v="Star Health"/>
    <x v="0"/>
    <s v="Admitted"/>
  </r>
  <r>
    <s v="HOSP-10362"/>
    <x v="145"/>
    <n v="2"/>
    <x v="1"/>
    <s v="Mumbai"/>
    <x v="4"/>
    <x v="10"/>
    <d v="2025-05-29T00:00:00"/>
    <d v="2025-12-23T00:00:00"/>
    <s v="Myocardial Infarction"/>
    <s v="Thrombolysis"/>
    <n v="176910.39"/>
    <s v="Star Health"/>
    <x v="1"/>
    <s v="In-Patient"/>
  </r>
  <r>
    <s v="HOSP-10363"/>
    <x v="85"/>
    <n v="10"/>
    <x v="1"/>
    <s v="Bangalore"/>
    <x v="2"/>
    <x v="2"/>
    <d v="2025-06-23T00:00:00"/>
    <d v="2025-12-23T00:00:00"/>
    <s v="Parkinson'S Disease"/>
    <s v="Levodopa Therapy"/>
    <n v="142933.82"/>
    <s v="Max Bupa"/>
    <x v="2"/>
    <s v="Admitted"/>
  </r>
  <r>
    <s v="HOSP-10364"/>
    <x v="36"/>
    <n v="81"/>
    <x v="0"/>
    <s v="Kolkata"/>
    <x v="3"/>
    <x v="20"/>
    <d v="2025-09-06T00:00:00"/>
    <d v="2025-06-12T00:00:00"/>
    <s v="Neonatal Jaundice"/>
    <s v="Phototherapy"/>
    <n v="40000"/>
    <s v="None"/>
    <x v="1"/>
    <s v="Discharged Against Medical Advice"/>
  </r>
  <r>
    <s v="HOSP-10365"/>
    <x v="180"/>
    <n v="80"/>
    <x v="1"/>
    <s v="Kolkata"/>
    <x v="2"/>
    <x v="2"/>
    <d v="2025-10-24T00:00:00"/>
    <d v="2025-10-26T00:00:00"/>
    <s v="Epilepsy"/>
    <s v="Anticonvulsant Therapy"/>
    <n v="149246.6"/>
    <s v="Bajaj Allianz"/>
    <x v="1"/>
    <s v="Transferred"/>
  </r>
  <r>
    <s v="HOSP-10367"/>
    <x v="144"/>
    <n v="6"/>
    <x v="1"/>
    <s v="Chandigarh"/>
    <x v="5"/>
    <x v="7"/>
    <d v="2025-08-22T00:00:00"/>
    <d v="2025-08-25T00:00:00"/>
    <s v="Liver Cirrhosis"/>
    <s v="Paracentesis &amp; Diuretics"/>
    <n v="255209.04"/>
    <s v="Max Bupa"/>
    <x v="4"/>
    <s v="Expired"/>
  </r>
  <r>
    <s v="HOSP-10369"/>
    <x v="9"/>
    <n v="51"/>
    <x v="1"/>
    <s v="Chandigarh"/>
    <x v="2"/>
    <x v="19"/>
    <d v="2025-07-04T00:00:00"/>
    <d v="2025-12-23T00:00:00"/>
    <s v="Parkinson'S Disease"/>
    <s v="Levodopa Therapy"/>
    <n v="100750.51"/>
    <s v="Max Bupa"/>
    <x v="1"/>
    <s v="Admitted"/>
  </r>
  <r>
    <s v="HOSP-10370"/>
    <x v="59"/>
    <n v="3"/>
    <x v="1"/>
    <s v="Mumbai"/>
    <x v="3"/>
    <x v="20"/>
    <d v="2025-09-20T00:00:00"/>
    <d v="2025-09-26T00:00:00"/>
    <s v="Severe Pneumonia"/>
    <s v="Iv Antibiotics"/>
    <n v="168972.32"/>
    <s v="Bajaj Allianz"/>
    <x v="0"/>
    <s v="Expired"/>
  </r>
  <r>
    <s v="HOSP-10371"/>
    <x v="23"/>
    <n v="41"/>
    <x v="0"/>
    <s v="Mumbai"/>
    <x v="5"/>
    <x v="9"/>
    <d v="2025-01-24T00:00:00"/>
    <d v="2025-02-04T00:00:00"/>
    <s v="Acute Pancreatitis"/>
    <s v="Conservative Management"/>
    <n v="153334.01999999999"/>
    <s v="Icici Lombard"/>
    <x v="0"/>
    <s v="Discharged Against Medical Advice"/>
  </r>
  <r>
    <s v="HOSP-10373"/>
    <x v="173"/>
    <n v="8"/>
    <x v="0"/>
    <s v="Bangalore"/>
    <x v="1"/>
    <x v="16"/>
    <d v="2025-06-14T00:00:00"/>
    <d v="2025-06-20T00:00:00"/>
    <s v="Hypertensive Crisis"/>
    <s v="Iv Labetalol"/>
    <n v="273053.57"/>
    <s v="Icici Lombard"/>
    <x v="3"/>
    <s v="Expired"/>
  </r>
  <r>
    <s v="HOSP-10374"/>
    <x v="54"/>
    <n v="68"/>
    <x v="1"/>
    <s v="Unknown"/>
    <x v="2"/>
    <x v="14"/>
    <d v="2025-05-22T00:00:00"/>
    <d v="2025-06-06T00:00:00"/>
    <s v="Epilepsy"/>
    <s v="Anticonvulsant Therapy"/>
    <n v="42562.48"/>
    <s v="Bajaj Allianz"/>
    <x v="3"/>
    <s v="Transferred"/>
  </r>
  <r>
    <s v="HOSP-10375"/>
    <x v="181"/>
    <n v="56"/>
    <x v="1"/>
    <s v="Jaipur"/>
    <x v="4"/>
    <x v="10"/>
    <d v="2025-01-02T00:00:00"/>
    <d v="2025-01-20T00:00:00"/>
    <s v="Myocardial Infarction"/>
    <s v="Thrombolysis"/>
    <n v="273509.90999999997"/>
    <s v="N/A"/>
    <x v="2"/>
    <s v="Transferred"/>
  </r>
  <r>
    <s v="HOSP-10377"/>
    <x v="108"/>
    <n v="85"/>
    <x v="1"/>
    <s v="Delhi"/>
    <x v="4"/>
    <x v="6"/>
    <d v="2025-07-06T00:00:00"/>
    <d v="2025-12-23T00:00:00"/>
    <s v="Myocardial Infarction"/>
    <s v="Thrombolysis"/>
    <n v="15445.5"/>
    <s v="None"/>
    <x v="1"/>
    <s v="Admitted"/>
  </r>
  <r>
    <s v="HOSP-10378"/>
    <x v="182"/>
    <n v="38"/>
    <x v="0"/>
    <s v="Kolkata"/>
    <x v="2"/>
    <x v="2"/>
    <d v="2025-01-16T00:00:00"/>
    <d v="2025-12-23T00:00:00"/>
    <s v="Parkinson'S Disease"/>
    <s v="Levodopa Therapy"/>
    <n v="229227.12"/>
    <s v="Care Health"/>
    <x v="4"/>
    <s v="Admitted"/>
  </r>
  <r>
    <s v="HOSP-10379"/>
    <x v="133"/>
    <n v="59"/>
    <x v="1"/>
    <s v="Kolkata"/>
    <x v="6"/>
    <x v="18"/>
    <d v="2025-05-26T00:00:00"/>
    <d v="2025-06-08T00:00:00"/>
    <s v="Lumbar Spondylosis"/>
    <s v="Spinal Decompression"/>
    <n v="92715.25"/>
    <s v="Care Health"/>
    <x v="1"/>
    <s v="Transferred"/>
  </r>
  <r>
    <s v="HOSP-10380"/>
    <x v="183"/>
    <n v="18"/>
    <x v="1"/>
    <s v="Mumbai"/>
    <x v="7"/>
    <x v="17"/>
    <d v="2025-01-26T00:00:00"/>
    <d v="2025-02-10T00:00:00"/>
    <s v="Lung Adenocarcinoma"/>
    <s v="Targeted Therapy"/>
    <n v="39164.58"/>
    <s v="Star Health"/>
    <x v="2"/>
    <s v="Transferred"/>
  </r>
  <r>
    <s v="HOSP-10381"/>
    <x v="115"/>
    <n v="72"/>
    <x v="0"/>
    <s v="Jaipur"/>
    <x v="4"/>
    <x v="15"/>
    <d v="2025-06-10T00:00:00"/>
    <d v="2025-06-24T00:00:00"/>
    <s v="Coronary Artery Disease"/>
    <s v="Angioplasty"/>
    <n v="256933.8"/>
    <s v="Star Health"/>
    <x v="2"/>
    <s v="Discharged"/>
  </r>
  <r>
    <s v="HOSP-10384"/>
    <x v="184"/>
    <n v="86"/>
    <x v="0"/>
    <s v="Mumbai"/>
    <x v="3"/>
    <x v="20"/>
    <d v="2025-08-29T00:00:00"/>
    <d v="2025-08-28T00:00:00"/>
    <s v="Acute Bronchiolitis"/>
    <s v="Nebulization &amp; O2 Support"/>
    <n v="266992.5"/>
    <s v="Icici Lombard"/>
    <x v="3"/>
    <s v="Discharged Against Medical Advice"/>
  </r>
  <r>
    <s v="HOSP-10385"/>
    <x v="185"/>
    <n v="77"/>
    <x v="0"/>
    <s v="Kolkata"/>
    <x v="6"/>
    <x v="18"/>
    <d v="2025-05-10T00:00:00"/>
    <d v="2025-05-25T00:00:00"/>
    <s v="Femur Fracture"/>
    <s v="Internal Fixation"/>
    <n v="210266.08"/>
    <s v="Hdfc Ergo"/>
    <x v="3"/>
    <s v="Discharged"/>
  </r>
  <r>
    <s v="HOSP-10386"/>
    <x v="186"/>
    <n v="59"/>
    <x v="1"/>
    <s v="Kolkata"/>
    <x v="3"/>
    <x v="4"/>
    <d v="2025-11-17T00:00:00"/>
    <d v="2025-11-24T00:00:00"/>
    <s v="Severe Pneumonia"/>
    <s v="Iv Antibiotics"/>
    <n v="45237.98"/>
    <s v="Max Bupa"/>
    <x v="3"/>
    <s v="Discharged Against Medical Advice"/>
  </r>
  <r>
    <s v="HOSP-10387"/>
    <x v="187"/>
    <n v="59"/>
    <x v="1"/>
    <s v="Delhi"/>
    <x v="1"/>
    <x v="16"/>
    <d v="2025-12-26T00:00:00"/>
    <d v="2026-12-01T00:00:00"/>
    <s v="Hypertensive Crisis"/>
    <s v="Iv Labetalol"/>
    <n v="286366.02"/>
    <s v="Hdfc Ergo"/>
    <x v="3"/>
    <s v="Discharged Against Medical Advice"/>
  </r>
  <r>
    <s v="HOSP-10388"/>
    <x v="78"/>
    <n v="45"/>
    <x v="0"/>
    <s v="Jaipur"/>
    <x v="5"/>
    <x v="9"/>
    <d v="2025-11-02T00:00:00"/>
    <d v="2025-11-16T00:00:00"/>
    <s v="Peptic Ulcer Bleeding"/>
    <s v="Unknown"/>
    <n v="321069.3"/>
    <s v="Unknown"/>
    <x v="4"/>
    <s v="Unknown"/>
  </r>
  <r>
    <s v="HOSP-10390"/>
    <x v="62"/>
    <n v="25"/>
    <x v="1"/>
    <s v="Kolkata"/>
    <x v="4"/>
    <x v="15"/>
    <d v="2025-11-03T00:00:00"/>
    <d v="2025-11-13T00:00:00"/>
    <s v="Coronary Artery Disease"/>
    <s v="Angioplasty"/>
    <n v="205456.56"/>
    <s v="Care Health"/>
    <x v="0"/>
    <s v="Discharged Against Medical Advice"/>
  </r>
  <r>
    <s v="HOSP-10391"/>
    <x v="135"/>
    <n v="12"/>
    <x v="0"/>
    <s v="Chennai"/>
    <x v="1"/>
    <x v="1"/>
    <d v="2025-01-24T00:00:00"/>
    <d v="2025-02-02T00:00:00"/>
    <s v="Hypertensive Crisis"/>
    <s v="Iv Labetalol"/>
    <n v="220121.52"/>
    <s v="Max Bupa"/>
    <x v="2"/>
    <s v="Discharged Against Medical Advice"/>
  </r>
  <r>
    <s v="HOSP-10393"/>
    <x v="59"/>
    <n v="9"/>
    <x v="1"/>
    <s v="Chennai"/>
    <x v="1"/>
    <x v="1"/>
    <d v="2025-01-12T00:00:00"/>
    <d v="2025-01-26T00:00:00"/>
    <s v="Dengue Fever With Thrombocytopenia"/>
    <s v="Platelet Support"/>
    <n v="274018.15999999997"/>
    <s v="Star Health"/>
    <x v="3"/>
    <s v="Discharged Against Medical Advice"/>
  </r>
  <r>
    <s v="HOSP-10394"/>
    <x v="188"/>
    <n v="58"/>
    <x v="0"/>
    <s v="Ahmedabad"/>
    <x v="4"/>
    <x v="6"/>
    <d v="2025-02-15T00:00:00"/>
    <d v="2025-02-17T00:00:00"/>
    <s v="Myocardial Infarction"/>
    <s v="Thrombolysis"/>
    <n v="258752.78"/>
    <s v="None / Self Pay"/>
    <x v="0"/>
    <s v="Expired"/>
  </r>
  <r>
    <s v="HOSP-10395"/>
    <x v="107"/>
    <n v="62"/>
    <x v="1"/>
    <s v="Mumbai"/>
    <x v="3"/>
    <x v="12"/>
    <d v="2025-11-27T00:00:00"/>
    <d v="2025-12-23T00:00:00"/>
    <s v="Acute Bronchiolitis"/>
    <s v="Nebulization &amp; O2 Support"/>
    <n v="331071.07"/>
    <s v="Care Health"/>
    <x v="4"/>
    <s v="Unknown"/>
  </r>
  <r>
    <s v="HOSP-10396"/>
    <x v="158"/>
    <n v="78"/>
    <x v="0"/>
    <s v="Ahmedabad"/>
    <x v="4"/>
    <x v="15"/>
    <d v="2025-08-18T00:00:00"/>
    <d v="2025-08-19T00:00:00"/>
    <s v="Heart Failure"/>
    <s v="Ace Inhibitors &amp; Diuretics"/>
    <n v="98132.13"/>
    <s v="Bajaj Allianz"/>
    <x v="1"/>
    <s v="Discharged"/>
  </r>
  <r>
    <s v="HOSP-10397"/>
    <x v="189"/>
    <n v="54"/>
    <x v="0"/>
    <s v="Jaipur"/>
    <x v="6"/>
    <x v="18"/>
    <d v="2025-08-23T00:00:00"/>
    <d v="2025-09-01T00:00:00"/>
    <s v="Femur Fracture"/>
    <s v="Internal Fixation"/>
    <n v="-251314.05"/>
    <s v="Icici Lombard"/>
    <x v="6"/>
    <s v="Discharged Against Medical Advice"/>
  </r>
  <r>
    <s v="HOSP-10399"/>
    <x v="154"/>
    <n v="85"/>
    <x v="0"/>
    <s v="Chennai"/>
    <x v="3"/>
    <x v="12"/>
    <d v="2025-03-22T00:00:00"/>
    <d v="2025-04-09T00:00:00"/>
    <s v="Neonatal Jaundice"/>
    <s v="Phototherapy"/>
    <n v="269120.03999999998"/>
    <s v="Star Health"/>
    <x v="6"/>
    <s v="Expired"/>
  </r>
  <r>
    <s v="HOSP-10400"/>
    <x v="92"/>
    <n v="32"/>
    <x v="0"/>
    <s v="Pune"/>
    <x v="4"/>
    <x v="10"/>
    <d v="2025-08-25T00:00:00"/>
    <d v="2025-08-27T00:00:00"/>
    <s v="Arrhythmia"/>
    <s v="Pacemaker Implantation"/>
    <n v="147820.29"/>
    <s v="Star Health"/>
    <x v="1"/>
    <s v="Discharged"/>
  </r>
  <r>
    <s v="HOSP-144"/>
    <x v="189"/>
    <n v="31"/>
    <x v="0"/>
    <s v="Delhi"/>
    <x v="0"/>
    <x v="17"/>
    <d v="2025-09-06T00:00:00"/>
    <d v="2025-08-09T00:00:00"/>
    <s v="Lymphoma"/>
    <s v="R-Chop Regimen"/>
    <n v="310729.95"/>
    <s v="Care Health"/>
    <x v="1"/>
    <s v="Discharged Against Medical Advice"/>
  </r>
  <r>
    <s v="HOSP-10402"/>
    <x v="190"/>
    <n v="34"/>
    <x v="1"/>
    <s v="Jaipur"/>
    <x v="1"/>
    <x v="16"/>
    <d v="2025-11-01T00:00:00"/>
    <d v="2025-11-10T00:00:00"/>
    <s v="Hypertensive Crisis"/>
    <s v="Iv Labetalol"/>
    <n v="174458.85"/>
    <s v="Icici Lombard"/>
    <x v="2"/>
    <s v="Discharged"/>
  </r>
  <r>
    <s v="HOSP-114"/>
    <x v="191"/>
    <n v="7"/>
    <x v="0"/>
    <s v="Jaipur"/>
    <x v="6"/>
    <x v="13"/>
    <d v="2025-11-28T00:00:00"/>
    <d v="2025-12-23T00:00:00"/>
    <s v="Osteoarthritis Knee"/>
    <s v="Total Knee Replacement"/>
    <n v="316907.76"/>
    <s v="Star Health"/>
    <x v="1"/>
    <s v="Admitted"/>
  </r>
  <r>
    <s v="HOSP-10404"/>
    <x v="48"/>
    <n v="69"/>
    <x v="0"/>
    <s v="Pune"/>
    <x v="5"/>
    <x v="4"/>
    <d v="2025-04-10T00:00:00"/>
    <d v="2025-10-01T00:00:00"/>
    <s v="Peptic Ulcer Bleeding"/>
    <s v="Endoscopic Banding"/>
    <n v="142969.68"/>
    <s v="None"/>
    <x v="4"/>
    <s v="Transferred"/>
  </r>
  <r>
    <s v="HOSP-10406"/>
    <x v="49"/>
    <n v="67"/>
    <x v="1"/>
    <s v="Jaipur"/>
    <x v="5"/>
    <x v="7"/>
    <d v="2025-01-06T00:00:00"/>
    <d v="2025-01-20T00:00:00"/>
    <s v="Acute Pancreatitis"/>
    <s v="Conservative Management"/>
    <n v="200127.72"/>
    <s v="Icici Lombard"/>
    <x v="0"/>
    <s v="Discharged"/>
  </r>
  <r>
    <s v="HOSP-10407"/>
    <x v="192"/>
    <n v="40"/>
    <x v="1"/>
    <s v="Delhi"/>
    <x v="6"/>
    <x v="13"/>
    <d v="2025-04-04T00:00:00"/>
    <d v="2025-12-23T00:00:00"/>
    <s v="Femur Fracture"/>
    <s v="Internal Fixation"/>
    <n v="165777.60000000001"/>
    <s v="Care Health"/>
    <x v="4"/>
    <s v="Admitted"/>
  </r>
  <r>
    <s v="HOSP-10410"/>
    <x v="43"/>
    <n v="45"/>
    <x v="0"/>
    <s v="Ahmedabad"/>
    <x v="0"/>
    <x v="0"/>
    <d v="2025-07-07T00:00:00"/>
    <d v="2025-12-23T00:00:00"/>
    <s v="Lung Adenocarcinoma"/>
    <s v="Targeted Therapy"/>
    <n v="281407.65999999997"/>
    <s v="Icici Lombard"/>
    <x v="4"/>
    <s v="Admitted"/>
  </r>
  <r>
    <s v="HOSP-10411"/>
    <x v="193"/>
    <n v="5"/>
    <x v="0"/>
    <s v="Kolkata"/>
    <x v="1"/>
    <x v="16"/>
    <d v="2025-09-09T00:00:00"/>
    <d v="2025-09-12T00:00:00"/>
    <s v="Hypertensive Crisis"/>
    <s v="Iv Labetalol"/>
    <n v="40000"/>
    <s v="None / Self Pay"/>
    <x v="6"/>
    <s v="Expired"/>
  </r>
  <r>
    <s v="HOSP-10412"/>
    <x v="166"/>
    <n v="47"/>
    <x v="0"/>
    <s v="Chennai"/>
    <x v="0"/>
    <x v="0"/>
    <d v="2025-04-10T00:00:00"/>
    <d v="2025-12-23T00:00:00"/>
    <s v="Lung Adenocarcinoma"/>
    <s v="Targeted Therapy"/>
    <n v="174532.25"/>
    <s v="Bajaj Allianz"/>
    <x v="4"/>
    <s v="Admitted"/>
  </r>
  <r>
    <s v="HOSP-10413"/>
    <x v="43"/>
    <n v="47"/>
    <x v="0"/>
    <s v="Jaipur"/>
    <x v="4"/>
    <x v="10"/>
    <d v="2025-03-06T00:00:00"/>
    <d v="2025-12-23T00:00:00"/>
    <s v="Coronary Artery Disease"/>
    <s v="Angioplasty"/>
    <n v="72763.16"/>
    <s v="None / Self Pay"/>
    <x v="1"/>
    <s v="Admitted"/>
  </r>
  <r>
    <s v="HOSP-10414"/>
    <x v="37"/>
    <n v="62"/>
    <x v="1"/>
    <s v="Pune"/>
    <x v="1"/>
    <x v="16"/>
    <d v="2025-08-05T00:00:00"/>
    <d v="2025-11-08T00:00:00"/>
    <s v="Urinary Tract Infection"/>
    <s v="Antibiotic Course"/>
    <n v="177051.77"/>
    <s v="Icici Lombard"/>
    <x v="3"/>
    <s v="Expired"/>
  </r>
  <r>
    <s v="HOSP-10415"/>
    <x v="45"/>
    <n v="65"/>
    <x v="0"/>
    <s v="Chennai"/>
    <x v="3"/>
    <x v="20"/>
    <d v="2025-10-08T00:00:00"/>
    <d v="2025-10-24T00:00:00"/>
    <s v="Unknown"/>
    <s v="Nebulization &amp; O2 Support"/>
    <n v="51762.55"/>
    <s v="Max Bupa"/>
    <x v="0"/>
    <s v="Discharged Against Medical Advice"/>
  </r>
  <r>
    <s v="HOSP-10418"/>
    <x v="194"/>
    <n v="38"/>
    <x v="0"/>
    <s v="Chandigarh"/>
    <x v="2"/>
    <x v="2"/>
    <d v="2025-08-08T00:00:00"/>
    <d v="2025-08-14T00:00:00"/>
    <s v="Migraine Chronic"/>
    <s v="Botox Injection &amp; Triptans"/>
    <n v="144237.31"/>
    <s v="Icici Lombard"/>
    <x v="1"/>
    <s v="Transferred"/>
  </r>
  <r>
    <s v="HOSP-10419"/>
    <x v="142"/>
    <n v="17"/>
    <x v="1"/>
    <s v="Chennai"/>
    <x v="6"/>
    <x v="18"/>
    <d v="2025-07-12T00:00:00"/>
    <d v="2025-12-23T00:00:00"/>
    <s v="Osteoarthritis Knee"/>
    <s v="Total Knee Replacement"/>
    <n v="154474.9"/>
    <s v="Bajaj Allianz"/>
    <x v="2"/>
    <s v="Admitted"/>
  </r>
  <r>
    <s v="HOSP-10420"/>
    <x v="29"/>
    <n v="28"/>
    <x v="0"/>
    <s v="Chandigarh"/>
    <x v="6"/>
    <x v="11"/>
    <d v="2025-10-13T00:00:00"/>
    <d v="2025-12-23T00:00:00"/>
    <s v="Osteoarthritis Knee"/>
    <s v="Total Knee Replacement"/>
    <n v="-271072.07"/>
    <s v="Star Health"/>
    <x v="3"/>
    <s v="Discharged"/>
  </r>
  <r>
    <s v="HOSP-10421"/>
    <x v="8"/>
    <n v="78"/>
    <x v="0"/>
    <s v="Unknown"/>
    <x v="0"/>
    <x v="0"/>
    <d v="2025-04-26T00:00:00"/>
    <d v="2025-05-14T00:00:00"/>
    <s v="Colorectal Cancer"/>
    <s v="Colectomy"/>
    <n v="40000"/>
    <s v="Icici Lombard"/>
    <x v="2"/>
    <s v="Discharged Against Medical Advice"/>
  </r>
  <r>
    <s v="HOSP-10423"/>
    <x v="114"/>
    <n v="86"/>
    <x v="1"/>
    <s v="Bangalore"/>
    <x v="7"/>
    <x v="6"/>
    <d v="2025-08-30T00:00:00"/>
    <d v="2025-09-11T00:00:00"/>
    <s v="Myocardial Infarction"/>
    <s v="Thrombolysis"/>
    <n v="47767.94"/>
    <s v="Hdfc Ergo"/>
    <x v="1"/>
    <s v="Transferred"/>
  </r>
  <r>
    <s v="HOSP-10424"/>
    <x v="104"/>
    <n v="78"/>
    <x v="0"/>
    <s v="Pune"/>
    <x v="1"/>
    <x v="16"/>
    <d v="2025-03-29T00:00:00"/>
    <d v="2025-04-04T00:00:00"/>
    <s v="Type 2 Diabetes Uncontrolled"/>
    <s v="Insulin Titration"/>
    <n v="42917.919999999998"/>
    <s v="Bajaj Allianz"/>
    <x v="3"/>
    <s v="Discharged Against Medical Advice"/>
  </r>
  <r>
    <s v="HOSP-10425"/>
    <x v="80"/>
    <n v="57"/>
    <x v="1"/>
    <s v="Mumbai"/>
    <x v="6"/>
    <x v="11"/>
    <d v="2025-01-18T00:00:00"/>
    <d v="2025-02-02T00:00:00"/>
    <s v="Rotator Cuff Tear"/>
    <s v="Arthroscopic Repair"/>
    <n v="276405.78000000003"/>
    <s v="None / Self Pay"/>
    <x v="6"/>
    <s v="Discharged"/>
  </r>
  <r>
    <s v="HOSP-10426"/>
    <x v="173"/>
    <n v="32"/>
    <x v="0"/>
    <s v="Chandigarh"/>
    <x v="3"/>
    <x v="12"/>
    <d v="2025-09-03T00:00:00"/>
    <d v="2025-08-09T00:00:00"/>
    <s v="Severe Pneumonia"/>
    <s v="Iv Antibiotics"/>
    <n v="270242.33"/>
    <s v="Bajaj Allianz"/>
    <x v="0"/>
    <s v="Discharged Against Medical Advice"/>
  </r>
  <r>
    <s v="HOSP-10427"/>
    <x v="195"/>
    <n v="83"/>
    <x v="1"/>
    <s v="Mumbai"/>
    <x v="2"/>
    <x v="14"/>
    <d v="2025-10-03T00:00:00"/>
    <d v="2025-10-15T00:00:00"/>
    <s v="Epilepsy"/>
    <s v="Anticonvulsant Therapy"/>
    <n v="243996.75"/>
    <s v="Unknown"/>
    <x v="3"/>
    <s v="Discharged Against Medical Advice"/>
  </r>
  <r>
    <s v="HOSP-143"/>
    <x v="43"/>
    <n v="21"/>
    <x v="1"/>
    <s v="Pune"/>
    <x v="6"/>
    <x v="11"/>
    <d v="2025-02-10T00:00:00"/>
    <d v="2025-12-23T00:00:00"/>
    <s v="Osteoarthritis Knee"/>
    <s v="Total Knee Replacement"/>
    <n v="27887.200000000001"/>
    <s v="Unknown"/>
    <x v="0"/>
    <s v="Admitted"/>
  </r>
  <r>
    <s v="HOSP-10429"/>
    <x v="196"/>
    <n v="48"/>
    <x v="1"/>
    <s v="Hyderabad"/>
    <x v="0"/>
    <x v="17"/>
    <d v="2025-08-23T00:00:00"/>
    <d v="2025-09-06T00:00:00"/>
    <s v="Lung Adenocarcinoma"/>
    <s v="Targeted Therapy"/>
    <n v="94685.56"/>
    <s v="Max Bupa"/>
    <x v="2"/>
    <s v="Discharged Against Medical Advice"/>
  </r>
  <r>
    <s v="HOSP-10430"/>
    <x v="29"/>
    <n v="28"/>
    <x v="0"/>
    <s v="Pune"/>
    <x v="5"/>
    <x v="21"/>
    <d v="2025-03-02T00:00:00"/>
    <d v="2025-03-05T00:00:00"/>
    <s v="Peptic Ulcer Bleeding"/>
    <s v="Endoscopic Banding"/>
    <n v="297160.62"/>
    <s v="None"/>
    <x v="0"/>
    <s v="In-Patient"/>
  </r>
  <r>
    <s v="HOSP-10431"/>
    <x v="197"/>
    <n v="2"/>
    <x v="1"/>
    <s v="Pune"/>
    <x v="7"/>
    <x v="11"/>
    <d v="2025-07-28T00:00:00"/>
    <d v="2025-08-12T00:00:00"/>
    <s v="Rotator Cuff Tear"/>
    <s v="Arthroscopic Repair"/>
    <n v="226360.94"/>
    <s v="Max Bupa"/>
    <x v="4"/>
    <s v="Transferred"/>
  </r>
  <r>
    <s v="HOSP-10432"/>
    <x v="179"/>
    <n v="19"/>
    <x v="1"/>
    <s v="Pune"/>
    <x v="0"/>
    <x v="0"/>
    <d v="2025-11-09T00:00:00"/>
    <d v="2025-12-23T00:00:00"/>
    <s v="Breast Carcinoma"/>
    <s v="Chemotherapy &amp; Lumpectomy"/>
    <n v="67171.45"/>
    <s v="Star Health"/>
    <x v="3"/>
    <s v="Admitted"/>
  </r>
  <r>
    <s v="HOSP-10433"/>
    <x v="119"/>
    <n v="6"/>
    <x v="1"/>
    <s v="Mumbai"/>
    <x v="5"/>
    <x v="21"/>
    <d v="2025-06-23T00:00:00"/>
    <d v="2025-06-29T00:00:00"/>
    <s v="Liver Cirrhosis"/>
    <s v="Paracentesis &amp; Diuretics"/>
    <n v="269392.61"/>
    <s v="Max Bupa"/>
    <x v="1"/>
    <s v="Discharged Against Medical Advice"/>
  </r>
  <r>
    <s v="HOSP-123"/>
    <x v="67"/>
    <n v="19"/>
    <x v="1"/>
    <s v="Hyderabad"/>
    <x v="6"/>
    <x v="13"/>
    <d v="2025-11-12T00:00:00"/>
    <d v="2025-11-16T00:00:00"/>
    <s v="Femur Fracture"/>
    <s v="Internal Fixation"/>
    <n v="58427.63"/>
    <s v="Icici Lombard"/>
    <x v="3"/>
    <s v="Expired"/>
  </r>
  <r>
    <s v="HOSP-10435"/>
    <x v="198"/>
    <n v="82"/>
    <x v="1"/>
    <s v="Mumbai"/>
    <x v="2"/>
    <x v="4"/>
    <d v="2025-12-09T00:00:00"/>
    <d v="2025-12-17T00:00:00"/>
    <s v="Epilepsy"/>
    <s v="Anticonvulsant Therapy"/>
    <n v="231726.06"/>
    <s v="None / Self Pay"/>
    <x v="3"/>
    <s v="Discharged Against Medical Advice"/>
  </r>
  <r>
    <s v="HOSP-10436"/>
    <x v="190"/>
    <n v="8"/>
    <x v="1"/>
    <s v="Chandigarh"/>
    <x v="1"/>
    <x v="1"/>
    <d v="2025-03-30T00:00:00"/>
    <d v="2025-04-15T00:00:00"/>
    <s v="Hypertensive Crisis"/>
    <s v="Iv Labetalol"/>
    <n v="40000"/>
    <s v="Care Health"/>
    <x v="0"/>
    <s v="Expired"/>
  </r>
  <r>
    <s v="HOSP-10437"/>
    <x v="199"/>
    <n v="17"/>
    <x v="1"/>
    <s v="Jaipur"/>
    <x v="0"/>
    <x v="8"/>
    <d v="2025-09-29T00:00:00"/>
    <d v="2025-03-10T00:00:00"/>
    <s v="Unknown"/>
    <s v="R-Chop Regimen"/>
    <n v="-32263.040000000001"/>
    <s v="Care Health"/>
    <x v="0"/>
    <s v="Transferred"/>
  </r>
  <r>
    <s v="HOSP-10438"/>
    <x v="27"/>
    <n v="12"/>
    <x v="0"/>
    <s v="Delhi"/>
    <x v="4"/>
    <x v="10"/>
    <d v="2025-04-10T00:00:00"/>
    <d v="2025-02-23T00:00:00"/>
    <s v="Myocardial Infarction"/>
    <s v="Thrombolysis"/>
    <n v="330944.7"/>
    <s v="Bajaj Allianz"/>
    <x v="2"/>
    <s v="Discharged"/>
  </r>
  <r>
    <s v="HOSP-10440"/>
    <x v="45"/>
    <n v="52"/>
    <x v="0"/>
    <s v="Bangalore"/>
    <x v="0"/>
    <x v="0"/>
    <d v="2025-06-18T00:00:00"/>
    <d v="2025-06-19T00:00:00"/>
    <s v="Lung Adenocarcinoma"/>
    <s v="Targeted Therapy"/>
    <n v="15338.44"/>
    <s v="Care Health"/>
    <x v="0"/>
    <s v="Transferred"/>
  </r>
  <r>
    <s v="HOSP-10441"/>
    <x v="56"/>
    <n v="73"/>
    <x v="0"/>
    <s v="Hyderabad"/>
    <x v="0"/>
    <x v="0"/>
    <d v="2025-02-08T00:00:00"/>
    <d v="2025-02-21T00:00:00"/>
    <s v="Lymphoma"/>
    <s v="R-Chop Regimen"/>
    <n v="301563.46000000002"/>
    <s v="Max Bupa"/>
    <x v="0"/>
    <s v="Expired"/>
  </r>
  <r>
    <s v="HOSP-10442"/>
    <x v="28"/>
    <n v="38"/>
    <x v="0"/>
    <s v="Unknown"/>
    <x v="4"/>
    <x v="10"/>
    <d v="2025-10-03T00:00:00"/>
    <d v="2025-10-16T00:00:00"/>
    <s v="Coronary Artery Disease"/>
    <s v="Angioplasty"/>
    <n v="266848.95"/>
    <s v="Bajaj Allianz"/>
    <x v="2"/>
    <s v="Discharged"/>
  </r>
  <r>
    <s v="HOSP-141"/>
    <x v="195"/>
    <n v="56"/>
    <x v="1"/>
    <s v="Ahmedabad"/>
    <x v="4"/>
    <x v="15"/>
    <d v="2025-04-10T00:00:00"/>
    <d v="2025-12-23T00:00:00"/>
    <s v="Arrhythmia"/>
    <s v="Pacemaker Implantation"/>
    <n v="-349245.8"/>
    <s v="N/A"/>
    <x v="3"/>
    <s v="Admitted"/>
  </r>
  <r>
    <s v="HOSP-10445"/>
    <x v="5"/>
    <n v="62"/>
    <x v="1"/>
    <s v="Kolkata"/>
    <x v="3"/>
    <x v="12"/>
    <d v="2025-08-27T00:00:00"/>
    <d v="2025-12-23T00:00:00"/>
    <s v="Unknown"/>
    <s v="Iv Fluids &amp; Electrolytes"/>
    <n v="257045.17"/>
    <s v="Bajaj Allianz"/>
    <x v="2"/>
    <s v="Admitted"/>
  </r>
  <r>
    <s v="HOSP-10446"/>
    <x v="77"/>
    <n v="80"/>
    <x v="1"/>
    <s v="Chennai"/>
    <x v="0"/>
    <x v="0"/>
    <d v="2025-04-10T00:00:00"/>
    <d v="2025-10-21T00:00:00"/>
    <s v="Colorectal Cancer"/>
    <s v="Colectomy"/>
    <n v="113667.33"/>
    <s v="Care Health"/>
    <x v="3"/>
    <s v="Transferred"/>
  </r>
  <r>
    <s v="HOSP-10447"/>
    <x v="136"/>
    <n v="33"/>
    <x v="1"/>
    <s v="Pune"/>
    <x v="0"/>
    <x v="0"/>
    <d v="2025-05-26T00:00:00"/>
    <d v="2025-12-23T00:00:00"/>
    <s v="Lung Adenocarcinoma"/>
    <s v="Targeted Therapy"/>
    <n v="327664.96000000002"/>
    <s v="Care Health"/>
    <x v="0"/>
    <s v="Admitted"/>
  </r>
  <r>
    <s v="HOSP-10448"/>
    <x v="200"/>
    <n v="77"/>
    <x v="0"/>
    <s v="Ahmedabad"/>
    <x v="6"/>
    <x v="13"/>
    <d v="2025-03-19T00:00:00"/>
    <d v="2025-03-31T00:00:00"/>
    <s v="Rotator Cuff Tear"/>
    <s v="Arthroscopic Repair"/>
    <n v="14412.2"/>
    <s v="Star Health"/>
    <x v="3"/>
    <s v="Discharged Against Medical Advice"/>
  </r>
  <r>
    <s v="HOSP-10449"/>
    <x v="201"/>
    <n v="69"/>
    <x v="0"/>
    <s v="Hyderabad"/>
    <x v="3"/>
    <x v="3"/>
    <d v="2025-10-27T00:00:00"/>
    <d v="2025-11-02T00:00:00"/>
    <s v="Acute Bronchiolitis"/>
    <s v="Nebulization &amp; O2 Support"/>
    <n v="206432.71"/>
    <s v="Icici Lombard"/>
    <x v="2"/>
    <s v="Expired"/>
  </r>
  <r>
    <s v="HOSP-10450"/>
    <x v="202"/>
    <n v="17"/>
    <x v="1"/>
    <s v="Chennai"/>
    <x v="2"/>
    <x v="14"/>
    <d v="2025-05-04T00:00:00"/>
    <d v="2025-05-15T00:00:00"/>
    <s v="Unknown"/>
    <s v="Tpa Therapy"/>
    <n v="-115728.64"/>
    <s v="Hdfc Ergo"/>
    <x v="2"/>
    <s v="Transferred"/>
  </r>
  <r>
    <s v="HOSP-10452"/>
    <x v="77"/>
    <n v="85"/>
    <x v="1"/>
    <s v="Chandigarh"/>
    <x v="5"/>
    <x v="21"/>
    <d v="2025-02-16T00:00:00"/>
    <d v="2025-12-23T00:00:00"/>
    <s v="Acute Pancreatitis"/>
    <s v="Conservative Management"/>
    <n v="68567.039999999994"/>
    <s v="None / Self Pay"/>
    <x v="3"/>
    <s v="Admitted"/>
  </r>
  <r>
    <s v="HOSP-10453"/>
    <x v="75"/>
    <n v="18"/>
    <x v="1"/>
    <s v="Chandigarh"/>
    <x v="5"/>
    <x v="7"/>
    <d v="2025-02-21T00:00:00"/>
    <d v="2025-02-23T00:00:00"/>
    <s v="Gallstones / Cholecystitis"/>
    <s v="Laparoscopic Cholecystectomy"/>
    <n v="245988.96"/>
    <s v="Unknown"/>
    <x v="0"/>
    <s v="Discharged"/>
  </r>
  <r>
    <s v="HOSP-10454"/>
    <x v="89"/>
    <n v="50"/>
    <x v="1"/>
    <s v="Kolkata"/>
    <x v="0"/>
    <x v="4"/>
    <d v="2025-06-17T00:00:00"/>
    <d v="2025-06-26T00:00:00"/>
    <s v="Breast Carcinoma"/>
    <s v="Chemotherapy &amp; Lumpectomy"/>
    <n v="75111.69"/>
    <s v="Hdfc Ergo"/>
    <x v="3"/>
    <s v="Expired"/>
  </r>
  <r>
    <s v="HOSP-10455"/>
    <x v="203"/>
    <n v="65"/>
    <x v="1"/>
    <s v="Hyderabad"/>
    <x v="3"/>
    <x v="12"/>
    <d v="2025-04-16T00:00:00"/>
    <d v="2025-04-19T00:00:00"/>
    <s v="Acute Bronchiolitis"/>
    <s v="Nebulization &amp; O2 Support"/>
    <n v="180878.3"/>
    <s v="Star Health"/>
    <x v="3"/>
    <s v="Discharged"/>
  </r>
  <r>
    <s v="HOSP-10456"/>
    <x v="167"/>
    <n v="25"/>
    <x v="1"/>
    <s v="Hyderabad"/>
    <x v="2"/>
    <x v="2"/>
    <d v="2025-03-22T00:00:00"/>
    <d v="2025-04-06T00:00:00"/>
    <s v="Epilepsy"/>
    <s v="Anticonvulsant Therapy"/>
    <n v="68817.2"/>
    <s v="Icici Lombard"/>
    <x v="1"/>
    <s v="Discharged Against Medical Advice"/>
  </r>
  <r>
    <s v="HOSP-10458"/>
    <x v="166"/>
    <n v="58"/>
    <x v="2"/>
    <s v="Delhi"/>
    <x v="2"/>
    <x v="4"/>
    <d v="2025-04-05T00:00:00"/>
    <d v="2025-04-14T00:00:00"/>
    <s v="Migraine Chronic"/>
    <s v="Botox Injection &amp; Triptans"/>
    <n v="229226.77"/>
    <s v="Icici Lombard"/>
    <x v="2"/>
    <s v="Expired"/>
  </r>
  <r>
    <s v="HOSP-10459"/>
    <x v="14"/>
    <n v="29"/>
    <x v="1"/>
    <s v="Jaipur"/>
    <x v="0"/>
    <x v="0"/>
    <d v="2025-02-01T00:00:00"/>
    <d v="2025-12-23T00:00:00"/>
    <s v="Lung Adenocarcinoma"/>
    <s v="Targeted Therapy"/>
    <n v="183161.99"/>
    <s v="Bajaj Allianz"/>
    <x v="3"/>
    <s v="Admitted"/>
  </r>
  <r>
    <s v="HOSP-10460"/>
    <x v="204"/>
    <n v="14"/>
    <x v="2"/>
    <s v="Delhi"/>
    <x v="3"/>
    <x v="20"/>
    <d v="2025-04-08T00:00:00"/>
    <d v="2025-04-24T00:00:00"/>
    <s v="Acute Bronchiolitis"/>
    <s v="Nebulization &amp; O2 Support"/>
    <n v="129525.51"/>
    <s v="Care Health"/>
    <x v="1"/>
    <s v="Discharged"/>
  </r>
  <r>
    <s v="HOSP-10461"/>
    <x v="205"/>
    <n v="3"/>
    <x v="1"/>
    <s v="Hyderabad"/>
    <x v="2"/>
    <x v="14"/>
    <d v="2025-02-10T00:00:00"/>
    <d v="2025-02-08T00:00:00"/>
    <s v="Acute Ischemic Stroke"/>
    <s v="Tpa Therapy"/>
    <n v="174036.3"/>
    <s v="Bajaj Allianz"/>
    <x v="1"/>
    <s v="Discharged"/>
  </r>
  <r>
    <s v="HOSP-10462"/>
    <x v="89"/>
    <n v="83"/>
    <x v="1"/>
    <s v="Delhi"/>
    <x v="1"/>
    <x v="1"/>
    <d v="2025-12-10T00:00:00"/>
    <d v="2025-12-11T00:00:00"/>
    <s v="Unknown"/>
    <s v="Platelet Support"/>
    <n v="21364.73"/>
    <s v="Bajaj Allianz"/>
    <x v="4"/>
    <s v="Discharged"/>
  </r>
  <r>
    <s v="HOSP-10464"/>
    <x v="15"/>
    <n v="22"/>
    <x v="0"/>
    <s v="Hyderabad"/>
    <x v="3"/>
    <x v="3"/>
    <d v="2025-02-01T00:00:00"/>
    <d v="2025-02-18T00:00:00"/>
    <s v="Acute Bronchiolitis"/>
    <s v="Nebulization &amp; O2 Support"/>
    <n v="344496.24"/>
    <s v="Icici Lombard"/>
    <x v="0"/>
    <s v="Discharged Against Medical Advice"/>
  </r>
  <r>
    <s v="HOSP-10466"/>
    <x v="206"/>
    <n v="26"/>
    <x v="2"/>
    <s v="Pune"/>
    <x v="3"/>
    <x v="3"/>
    <d v="2025-06-26T00:00:00"/>
    <d v="2025-08-07T00:00:00"/>
    <s v="Severe Pneumonia"/>
    <s v="Iv Antibiotics"/>
    <n v="346234.73"/>
    <s v="None"/>
    <x v="1"/>
    <s v="Discharged"/>
  </r>
  <r>
    <s v="HOSP-1467"/>
    <x v="179"/>
    <n v="3"/>
    <x v="1"/>
    <s v="Ahmedabad"/>
    <x v="5"/>
    <x v="7"/>
    <d v="2025-08-18T00:00:00"/>
    <d v="2025-12-23T00:00:00"/>
    <s v="Peptic Ulcer Bleeding"/>
    <s v="Endoscopic Banding"/>
    <n v="-228488.28"/>
    <s v="Care Health"/>
    <x v="3"/>
    <s v="Admitted"/>
  </r>
  <r>
    <s v="HOSP-10468"/>
    <x v="203"/>
    <n v="58"/>
    <x v="1"/>
    <s v="Hyderabad"/>
    <x v="4"/>
    <x v="10"/>
    <d v="2025-01-29T00:00:00"/>
    <d v="2025-05-02T00:00:00"/>
    <s v="Coronary Artery Disease"/>
    <s v="Angioplasty"/>
    <n v="284470.31"/>
    <s v="Bajaj Allianz"/>
    <x v="1"/>
    <s v="Transferred"/>
  </r>
  <r>
    <s v="HOSP-10469"/>
    <x v="207"/>
    <n v="47"/>
    <x v="1"/>
    <s v="Delhi"/>
    <x v="6"/>
    <x v="13"/>
    <d v="2025-12-07T00:00:00"/>
    <d v="2025-12-23T00:00:00"/>
    <s v="Rotator Cuff Tear"/>
    <s v="Arthroscopic Repair"/>
    <n v="291337.67"/>
    <s v="Icici Lombard"/>
    <x v="3"/>
    <s v="Admitted"/>
  </r>
  <r>
    <s v="HOSP-10470"/>
    <x v="133"/>
    <n v="53"/>
    <x v="1"/>
    <s v="Delhi"/>
    <x v="2"/>
    <x v="19"/>
    <d v="2025-09-19T00:00:00"/>
    <d v="2025-12-23T00:00:00"/>
    <s v="Acute Ischemic Stroke"/>
    <s v="Tpa Therapy"/>
    <n v="315860.09999999998"/>
    <s v="None / Self Pay"/>
    <x v="1"/>
    <s v="Admitted"/>
  </r>
  <r>
    <s v="HOSP-10472"/>
    <x v="208"/>
    <n v="61"/>
    <x v="0"/>
    <s v="Chandigarh"/>
    <x v="7"/>
    <x v="21"/>
    <d v="2025-01-11T00:00:00"/>
    <d v="2025-01-15T00:00:00"/>
    <s v="Peptic Ulcer Bleeding"/>
    <s v="Endoscopic Banding"/>
    <n v="12286.13"/>
    <s v="None"/>
    <x v="3"/>
    <s v="Discharged"/>
  </r>
  <r>
    <s v="HOSP-10473"/>
    <x v="29"/>
    <n v="83"/>
    <x v="0"/>
    <s v="Kolkata"/>
    <x v="5"/>
    <x v="7"/>
    <d v="2025-03-05T00:00:00"/>
    <d v="2025-06-05T00:00:00"/>
    <s v="Liver Cirrhosis"/>
    <s v="Paracentesis &amp; Diuretics"/>
    <n v="81893.210000000006"/>
    <s v="None / Self Pay"/>
    <x v="2"/>
    <s v="Transferred"/>
  </r>
  <r>
    <s v="HOSP-10475"/>
    <x v="178"/>
    <n v="10"/>
    <x v="0"/>
    <s v="Ahmedabad"/>
    <x v="6"/>
    <x v="18"/>
    <d v="2025-02-06T00:00:00"/>
    <d v="2025-12-23T00:00:00"/>
    <s v="Lumbar Spondylosis"/>
    <s v="Spinal Decompression"/>
    <n v="15667.1"/>
    <s v="Star Health"/>
    <x v="0"/>
    <s v="Admitted"/>
  </r>
  <r>
    <s v="HOSP-10477"/>
    <x v="209"/>
    <n v="88"/>
    <x v="1"/>
    <s v="Bangalore"/>
    <x v="3"/>
    <x v="12"/>
    <d v="2025-06-09T00:00:00"/>
    <d v="2025-12-23T00:00:00"/>
    <s v="Severe Pneumonia"/>
    <s v="Iv Antibiotics"/>
    <n v="328190.71000000002"/>
    <s v="Bajaj Allianz"/>
    <x v="2"/>
    <s v="Admitted"/>
  </r>
  <r>
    <s v="HOSP-10478"/>
    <x v="179"/>
    <n v="16"/>
    <x v="1"/>
    <s v="Pune"/>
    <x v="4"/>
    <x v="15"/>
    <d v="2025-10-18T00:00:00"/>
    <d v="2025-01-11T00:00:00"/>
    <s v="Heart Failure"/>
    <s v="Ace Inhibitors &amp; Diuretics"/>
    <n v="102588.38"/>
    <s v="Icici Lombard"/>
    <x v="0"/>
    <s v="Discharged Against Medical Advice"/>
  </r>
  <r>
    <s v="HOSP-10479"/>
    <x v="143"/>
    <n v="18"/>
    <x v="0"/>
    <s v="Mumbai"/>
    <x v="3"/>
    <x v="4"/>
    <d v="2025-06-23T00:00:00"/>
    <d v="2025-06-24T00:00:00"/>
    <s v="Severe Pneumonia"/>
    <s v="Iv Antibiotics"/>
    <n v="243594.27"/>
    <s v="None / Self Pay"/>
    <x v="2"/>
    <s v="Discharged Against Medical Advice"/>
  </r>
  <r>
    <s v="HOSP-10480"/>
    <x v="7"/>
    <n v="88"/>
    <x v="0"/>
    <s v="Unknown"/>
    <x v="0"/>
    <x v="17"/>
    <d v="2025-08-02T00:00:00"/>
    <d v="2025-12-23T00:00:00"/>
    <s v="Breast Carcinoma"/>
    <s v="Chemotherapy &amp; Lumpectomy"/>
    <n v="261994.94"/>
    <s v="Unknown"/>
    <x v="3"/>
    <s v="Admitted"/>
  </r>
  <r>
    <s v="HOSP-10481"/>
    <x v="210"/>
    <n v="79"/>
    <x v="0"/>
    <s v="Kolkata"/>
    <x v="5"/>
    <x v="21"/>
    <d v="2025-07-02T00:00:00"/>
    <d v="2025-07-15T00:00:00"/>
    <s v="Acute Pancreatitis"/>
    <s v="Conservative Management"/>
    <n v="80052.56"/>
    <s v="Icici Lombard"/>
    <x v="3"/>
    <s v="Discharged Against Medical Advice"/>
  </r>
  <r>
    <s v="HOSP-10483"/>
    <x v="211"/>
    <n v="15"/>
    <x v="1"/>
    <s v="Ahmedabad"/>
    <x v="6"/>
    <x v="11"/>
    <d v="2025-11-28T00:00:00"/>
    <d v="2025-12-23T00:00:00"/>
    <s v="Lumbar Spondylosis"/>
    <s v="Spinal Decompression"/>
    <n v="285895.32"/>
    <s v="Bajaj Allianz"/>
    <x v="2"/>
    <s v="Admitted"/>
  </r>
  <r>
    <s v="HOSP-10485"/>
    <x v="43"/>
    <n v="18"/>
    <x v="0"/>
    <s v="Kolkata"/>
    <x v="5"/>
    <x v="7"/>
    <d v="2025-11-20T00:00:00"/>
    <d v="2025-11-28T00:00:00"/>
    <s v="Liver Cirrhosis"/>
    <s v="Paracentesis &amp; Diuretics"/>
    <n v="118716.9"/>
    <s v="None / Self Pay"/>
    <x v="2"/>
    <s v="Expired"/>
  </r>
  <r>
    <s v="HOSP-10487"/>
    <x v="212"/>
    <n v="38"/>
    <x v="1"/>
    <s v="Chennai"/>
    <x v="0"/>
    <x v="8"/>
    <d v="2025-01-18T00:00:00"/>
    <d v="2025-01-25T00:00:00"/>
    <s v="Breast Carcinoma"/>
    <s v="Chemotherapy &amp; Lumpectomy"/>
    <n v="316292.25"/>
    <s v="Max Bupa"/>
    <x v="1"/>
    <s v="Transferred"/>
  </r>
  <r>
    <s v="HOSP-10488"/>
    <x v="176"/>
    <n v="64"/>
    <x v="1"/>
    <s v="Unknown"/>
    <x v="1"/>
    <x v="5"/>
    <d v="2025-01-19T00:00:00"/>
    <d v="2025-01-20T00:00:00"/>
    <s v="Dengue Fever With Thrombocytopenia"/>
    <s v="Unknown"/>
    <n v="138512.87"/>
    <s v="Max Bupa"/>
    <x v="1"/>
    <s v="Discharged Against Medical Advice"/>
  </r>
  <r>
    <s v="HOSP-132"/>
    <x v="213"/>
    <n v="81"/>
    <x v="0"/>
    <s v="Mumbai"/>
    <x v="4"/>
    <x v="6"/>
    <d v="2025-06-20T00:00:00"/>
    <d v="2025-07-06T00:00:00"/>
    <s v="Arrhythmia"/>
    <s v="Pacemaker Implantation"/>
    <n v="164538.67000000001"/>
    <s v="Star Health"/>
    <x v="3"/>
    <s v="Expired"/>
  </r>
  <r>
    <s v="HOSP-10491"/>
    <x v="51"/>
    <n v="31"/>
    <x v="0"/>
    <s v="Chandigarh"/>
    <x v="3"/>
    <x v="12"/>
    <d v="2025-07-06T00:00:00"/>
    <d v="2025-07-16T00:00:00"/>
    <s v="Severe Pneumonia"/>
    <s v="Iv Antibiotics"/>
    <n v="265719.40000000002"/>
    <s v="Hdfc Ergo"/>
    <x v="0"/>
    <s v="Discharged Against Medical Advice"/>
  </r>
  <r>
    <s v="HOSP-10493"/>
    <x v="214"/>
    <n v="41"/>
    <x v="1"/>
    <s v="Jaipur"/>
    <x v="3"/>
    <x v="12"/>
    <d v="2025-02-18T00:00:00"/>
    <d v="2025-02-24T00:00:00"/>
    <s v="Neonatal Jaundice"/>
    <s v="Phototherapy"/>
    <n v="5470.34"/>
    <s v="Unknown"/>
    <x v="2"/>
    <s v="Discharged"/>
  </r>
  <r>
    <s v="HOSP-10494"/>
    <x v="29"/>
    <n v="14"/>
    <x v="0"/>
    <s v="Chandigarh"/>
    <x v="0"/>
    <x v="0"/>
    <d v="2025-02-28T00:00:00"/>
    <d v="2025-03-05T00:00:00"/>
    <s v="Breast Carcinoma"/>
    <s v="Chemotherapy &amp; Lumpectomy"/>
    <n v="-153231.04999999999"/>
    <s v="Icici Lombard"/>
    <x v="1"/>
    <s v="Expired"/>
  </r>
  <r>
    <s v="HOSP-10495"/>
    <x v="147"/>
    <n v="64"/>
    <x v="0"/>
    <s v="Jaipur"/>
    <x v="3"/>
    <x v="20"/>
    <d v="2025-05-08T00:00:00"/>
    <d v="2025-05-17T00:00:00"/>
    <s v="Severe Pneumonia"/>
    <s v="Unknown"/>
    <n v="298327.53999999998"/>
    <s v="Icici Lombard"/>
    <x v="6"/>
    <s v="Discharged"/>
  </r>
  <r>
    <s v="HOSP-10498"/>
    <x v="190"/>
    <n v="12"/>
    <x v="1"/>
    <s v="Chandigarh"/>
    <x v="0"/>
    <x v="0"/>
    <d v="2025-04-10T00:00:00"/>
    <d v="2025-10-28T00:00:00"/>
    <s v="Breast Carcinoma"/>
    <s v="Chemotherapy &amp; Lumpectomy"/>
    <n v="314197.02"/>
    <s v="Care Health"/>
    <x v="2"/>
    <s v="Expired"/>
  </r>
  <r>
    <s v="HOSP-10499"/>
    <x v="215"/>
    <n v="35"/>
    <x v="1"/>
    <s v="Hyderabad"/>
    <x v="0"/>
    <x v="8"/>
    <d v="2025-09-04T00:00:00"/>
    <d v="2025-12-23T00:00:00"/>
    <s v="Breast Carcinoma"/>
    <s v="Chemotherapy &amp; Lumpectomy"/>
    <n v="308766.90999999997"/>
    <s v="Icici Lombard"/>
    <x v="1"/>
    <s v="Admitted"/>
  </r>
  <r>
    <s v="Unknown"/>
    <x v="216"/>
    <n v="2"/>
    <x v="0"/>
    <s v="Ahmedabad"/>
    <x v="7"/>
    <x v="21"/>
    <d v="2025-08-09T00:00:00"/>
    <d v="2025-08-20T00:00:00"/>
    <s v="Acute Pancreatitis"/>
    <s v="Conservative Management"/>
    <n v="99999999"/>
    <s v="Care Health"/>
    <x v="4"/>
    <s v="Discharged Against Medical Advic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s v="HOSP-10002"/>
    <s v="Ritu Singh"/>
    <n v="55"/>
    <x v="0"/>
    <s v="Unknown"/>
    <s v="Oncology"/>
    <s v="Dr.Suresh Advani"/>
    <d v="2025-12-01T00:00:00"/>
    <d v="2025-01-24T00:00:00"/>
    <s v="Lung Adenocarcinoma"/>
    <s v="Targeted Therapy"/>
    <n v="100821.63"/>
    <s v="None / Self Pay"/>
    <s v="Disputed"/>
    <s v="Discharged"/>
  </r>
  <r>
    <s v="HOSP-10003"/>
    <s v="Pooja Bose"/>
    <n v="11"/>
    <x v="0"/>
    <s v="Jaipur"/>
    <s v="General Medicine"/>
    <s v="Dr.Anoop Misra"/>
    <d v="2025-09-11T00:00:00"/>
    <d v="2025-12-23T00:00:00"/>
    <s v="Dengue Fever With Thrombocytopenia"/>
    <s v="Platelet Support"/>
    <n v="159034.31"/>
    <s v="Hdfc Ergo"/>
    <s v="Partially Paid"/>
    <s v="Admitted"/>
  </r>
  <r>
    <s v="HOSP-135"/>
    <s v="Neha Sharma"/>
    <n v="42"/>
    <x v="0"/>
    <s v="Bangalore"/>
    <s v="Neurology"/>
    <s v="Dr.P. N. Renjen"/>
    <d v="2025-06-13T00:00:00"/>
    <d v="2025-12-23T00:00:00"/>
    <s v="Parkinson'S Disease"/>
    <s v="Levodopa Therapy"/>
    <n v="201434.4"/>
    <s v="Max Bupa"/>
    <s v="Pending"/>
    <s v="Admitted"/>
  </r>
  <r>
    <s v="HOSP-10005"/>
    <s v="Ananya Gupta"/>
    <n v="52"/>
    <x v="0"/>
    <s v="Delhi"/>
    <s v="Pediatrics"/>
    <s v="Dr.Arvind Bagga"/>
    <d v="2025-03-16T00:00:00"/>
    <d v="2025-03-27T00:00:00"/>
    <s v="Viral Gastroenteritis"/>
    <s v="Iv Fluids &amp; Electrolytes"/>
    <n v="130701.41"/>
    <s v="Hdfc Ergo"/>
    <s v="Disputed"/>
    <s v="Discharged"/>
  </r>
  <r>
    <s v="HOSP-10006"/>
    <s v="Priya Mehta"/>
    <n v="6"/>
    <x v="0"/>
    <s v="Jaipur"/>
    <s v="General Medicine"/>
    <s v="Dr.Anoop Misra"/>
    <d v="2025-10-11T00:00:00"/>
    <d v="2025-10-18T00:00:00"/>
    <s v="Unknown"/>
    <s v="Insulin Titration"/>
    <n v="235214.45"/>
    <s v="Icici Lombard"/>
    <s v="Paid"/>
    <s v="Unknown"/>
  </r>
  <r>
    <s v="HOSP-10007"/>
    <s v="Manoj Verma"/>
    <n v="44"/>
    <x v="1"/>
    <s v="Mumbai"/>
    <s v="General Medicine"/>
    <s v="Dr.Unknown"/>
    <d v="2025-02-07T00:00:00"/>
    <d v="2025-07-09T00:00:00"/>
    <s v="Dengue Fever With Thrombocytopenia"/>
    <s v="Platelet Support"/>
    <n v="64345.01"/>
    <s v="None / Self Pay"/>
    <s v="Claim Processing"/>
    <s v="Discharged Against Medical Advice"/>
  </r>
  <r>
    <s v="HOSP-10009"/>
    <s v="Ritu Nair"/>
    <n v="82"/>
    <x v="0"/>
    <s v="Delhi"/>
    <s v="Oncology"/>
    <s v="Dr.Suresh Advani"/>
    <d v="2025-03-19T00:00:00"/>
    <d v="2025-03-25T00:00:00"/>
    <s v="Colorectal Cancer"/>
    <s v="Colectomy"/>
    <n v="70846.91"/>
    <s v="Care Health"/>
    <s v="Claim Processing"/>
    <s v="Expired"/>
  </r>
  <r>
    <s v="HOSP-10010"/>
    <s v="Neha Iyer"/>
    <n v="8"/>
    <x v="0"/>
    <s v="Chennai"/>
    <s v="General Medicine"/>
    <s v="Dr.R. K. Singhal"/>
    <d v="2025-01-23T00:00:00"/>
    <d v="2025-02-05T00:00:00"/>
    <s v="Urinary Tract Infection"/>
    <s v="Antibiotic Course"/>
    <n v="293150.34999999998"/>
    <s v="None / Self Pay"/>
    <s v="Claim Processing"/>
    <s v="Discharged"/>
  </r>
  <r>
    <s v="HOSP-10013"/>
    <s v="Meera Iyer"/>
    <n v="32"/>
    <x v="0"/>
    <s v="Mumbai"/>
    <s v="Cardiology"/>
    <s v="Dr.Devi Shetty"/>
    <d v="2025-11-07T00:00:00"/>
    <d v="2025-11-12T00:00:00"/>
    <s v="Myocardial Infarction"/>
    <s v="Thrombolysis"/>
    <n v="278473.99"/>
    <s v="Star Health"/>
    <s v="Pending"/>
    <s v="Transferred"/>
  </r>
  <r>
    <s v="Unknown"/>
    <s v="Ananya Gupta"/>
    <n v="82"/>
    <x v="0"/>
    <s v="Pune"/>
    <s v="Gastroenterology"/>
    <s v="Dr.Randhir Sud"/>
    <d v="2025-10-25T00:00:00"/>
    <d v="2025-11-05T00:00:00"/>
    <s v="Peptic Ulcer Bleeding"/>
    <s v="Endoscopic Banding"/>
    <n v="328729.7"/>
    <s v="Hdfc Ergo"/>
    <s v="Paid"/>
    <s v="Expired"/>
  </r>
  <r>
    <s v="HOSP-10015"/>
    <s v="Kabir Patel"/>
    <n v="27"/>
    <x v="2"/>
    <s v="Mumbai"/>
    <s v="General Medicine"/>
    <s v="Dr.Unknown"/>
    <d v="2025-03-31T00:00:00"/>
    <d v="2025-03-26T00:00:00"/>
    <s v="Hypertensive Crisis"/>
    <s v="Iv Labetalol"/>
    <n v="75685.5"/>
    <s v="Bajaj Allianz"/>
    <s v="Paid"/>
    <s v="Expired"/>
  </r>
  <r>
    <s v="HOSP-123"/>
    <s v="Deepak Bose"/>
    <n v="30"/>
    <x v="1"/>
    <s v="Unknown"/>
    <s v="Oncology"/>
    <s v="Dr.Vinod Raina"/>
    <d v="2025-08-14T00:00:00"/>
    <d v="2025-08-25T00:00:00"/>
    <s v="Breast Carcinoma"/>
    <s v="Chemotherapy &amp; Lumpectomy"/>
    <n v="18589.990000000002"/>
    <s v="Max Bupa"/>
    <s v="Paid"/>
    <s v="Deceased"/>
  </r>
  <r>
    <s v="HOSP-10017"/>
    <s v="Kabir Patel"/>
    <n v="18"/>
    <x v="1"/>
    <s v="Chennai"/>
    <s v="Gastroenterology"/>
    <s v="Dr.Subhash Gupta"/>
    <d v="2025-07-02T00:00:00"/>
    <d v="2025-07-03T00:00:00"/>
    <s v="Peptic Ulcer Bleeding"/>
    <s v="Endoscopic Banding"/>
    <n v="121300.98"/>
    <s v="Care Health"/>
    <s v="Pending"/>
    <s v="Discharged Against Medical Advice"/>
  </r>
  <r>
    <s v="HOSP-10019"/>
    <s v="Meera Reddy"/>
    <n v="18"/>
    <x v="0"/>
    <s v="Hyderabad"/>
    <s v="Cardiology"/>
    <s v="Dr.Naresh Trehan"/>
    <d v="2025-09-27T00:00:00"/>
    <d v="2025-07-10T00:00:00"/>
    <s v="Arrhythmia"/>
    <s v="Pacemaker Implantation"/>
    <n v="102930.63"/>
    <s v="Hdfc Ergo"/>
    <s v="Claim_Pending"/>
    <s v="Expired"/>
  </r>
  <r>
    <s v="HOSP-10020"/>
    <s v="Ananya Bose"/>
    <n v="78"/>
    <x v="0"/>
    <s v="Delhi"/>
    <s v="General Medicine"/>
    <s v="Dr.R. K. Singhal"/>
    <d v="2025-01-23T00:00:00"/>
    <d v="2025-12-23T00:00:00"/>
    <s v="Urinary Tract Infection"/>
    <s v="Antibiotic Course"/>
    <n v="296127.5"/>
    <s v="Care Health"/>
    <s v="Paid"/>
    <s v="Admitted"/>
  </r>
  <r>
    <s v="HOSP-10022"/>
    <s v="Manoj Kumar"/>
    <n v="38"/>
    <x v="1"/>
    <s v="Jaipur"/>
    <s v="Gastroenterology"/>
    <s v="Dr.Randhir Sud"/>
    <d v="2025-01-06T00:00:00"/>
    <d v="2025-01-08T00:00:00"/>
    <s v="Liver Cirrhosis"/>
    <s v="Paracentesis &amp; Diuretics"/>
    <n v="218725.35"/>
    <s v="Max Bupa"/>
    <s v="Paid"/>
    <s v="Discharged"/>
  </r>
  <r>
    <s v="HOSP-10023"/>
    <s v="Vikram Mehta"/>
    <n v="15"/>
    <x v="1"/>
    <s v="Kolkata"/>
    <s v="General Medicine"/>
    <s v="Dr.Anoop Misra"/>
    <d v="2025-05-02T00:00:00"/>
    <d v="2025-12-23T00:00:00"/>
    <s v="Urinary Tract Infection"/>
    <s v="Antibiotic Course"/>
    <n v="17679.5"/>
    <s v="Bajaj Allianz"/>
    <s v="Pending"/>
    <s v="Admitted"/>
  </r>
  <r>
    <s v="HOSP-10024"/>
    <s v="Diya Reddy"/>
    <n v="33"/>
    <x v="0"/>
    <s v="Pune"/>
    <s v="Pediatrics"/>
    <s v="Dr.Unknown"/>
    <d v="2025-09-26T00:00:00"/>
    <d v="2025-10-02T00:00:00"/>
    <s v="Severe Pneumonia"/>
    <s v="Iv Antibiotics"/>
    <n v="345599.6"/>
    <s v="Care Health"/>
    <s v="Unknown"/>
    <s v="Discharged"/>
  </r>
  <r>
    <s v="HOSP-10027"/>
    <s v="Anita Iyer"/>
    <n v="42"/>
    <x v="2"/>
    <s v="Jaipur"/>
    <s v="Orthopedics"/>
    <s v="Dr.Sks Marya"/>
    <d v="2025-10-14T00:00:00"/>
    <d v="2025-11-01T00:00:00"/>
    <s v="Lumbar Spondylosis"/>
    <s v="Spinal Decompression"/>
    <n v="192645.57"/>
    <s v="Max Bupa"/>
    <s v="Pending"/>
    <s v="Expired"/>
  </r>
  <r>
    <s v="HOSP-10028"/>
    <s v="Sneha Kumar"/>
    <n v="60"/>
    <x v="0"/>
    <s v="Chandigarh"/>
    <s v="Pediatrics"/>
    <s v="Dr.Veena Kalra"/>
    <d v="2025-05-26T00:00:00"/>
    <d v="2025-06-07T00:00:00"/>
    <s v="Severe Pneumonia"/>
    <s v="Iv Antibiotics"/>
    <n v="264892.76"/>
    <s v="Icici Lombard"/>
    <s v="Paid"/>
    <s v="Unknown"/>
  </r>
  <r>
    <s v="HOSP-10029"/>
    <s v="Vikram Patel"/>
    <n v="1"/>
    <x v="1"/>
    <s v="Hyderabad"/>
    <s v="General Medicine"/>
    <s v="Dr.Anoop Misra"/>
    <d v="2025-10-29T00:00:00"/>
    <d v="2025-11-07T00:00:00"/>
    <s v="Unknown"/>
    <s v="Iv Labetalol"/>
    <n v="273333.11"/>
    <s v="Star Health"/>
    <s v="Claim Processing"/>
    <s v="Expired"/>
  </r>
  <r>
    <s v="HOSP-10030"/>
    <s v="Ramesh Nair"/>
    <n v="79"/>
    <x v="1"/>
    <s v="Bangalore"/>
    <s v="Orthopedics"/>
    <s v="Dr.Ramneek Mahajan"/>
    <d v="2025-01-06T00:00:00"/>
    <d v="2025-12-23T00:00:00"/>
    <s v="Femur Fracture"/>
    <s v="Internal Fixation"/>
    <n v="222932.36"/>
    <s v="Max Bupa"/>
    <s v="Partially Paid"/>
    <s v="Admitted"/>
  </r>
  <r>
    <s v="HOSP-10031"/>
    <s v="Kavita Singh"/>
    <n v="65"/>
    <x v="0"/>
    <s v="Chandigarh"/>
    <s v="Oncology"/>
    <s v="Dr.Suresh Advani"/>
    <d v="2025-02-11T00:00:00"/>
    <d v="2025-02-12T00:00:00"/>
    <s v="Lung Adenocarcinoma"/>
    <s v="Unknown"/>
    <n v="83463"/>
    <s v="Hdfc Ergo"/>
    <s v="Claim Processing"/>
    <s v="Expired"/>
  </r>
  <r>
    <s v="HOSP-10032"/>
    <s v="Suresh Iyer"/>
    <n v="65"/>
    <x v="1"/>
    <s v="Hyderabad"/>
    <s v="Neurology"/>
    <s v="Dr.Mukul Varma"/>
    <d v="2025-01-24T00:00:00"/>
    <d v="2025-02-10T00:00:00"/>
    <s v="Acute Ischemic Stroke"/>
    <s v="Tpa Therapy"/>
    <n v="312331.51"/>
    <s v="Icici Lombard"/>
    <s v="Paid"/>
    <s v="Transferred"/>
  </r>
  <r>
    <s v="HOSP-10035"/>
    <s v="Kabir Singh"/>
    <n v="14"/>
    <x v="1"/>
    <s v="Hyderabad"/>
    <s v="Pediatrics"/>
    <s v="Dr.Veena Kalra"/>
    <d v="2025-05-07T00:00:00"/>
    <d v="2025-12-05T00:00:00"/>
    <s v="Acute Bronchiolitis"/>
    <s v="Nebulization &amp; O2 Support"/>
    <n v="42926.97"/>
    <s v="Icici Lombard"/>
    <s v="Paid"/>
    <s v="Discharged Against Medical Advice"/>
  </r>
  <r>
    <s v="HOSP-10036"/>
    <s v="Sneha Iyer"/>
    <n v="38"/>
    <x v="0"/>
    <s v="Chandigarh"/>
    <s v="Cardiology"/>
    <s v="Dr.Ashok Seth"/>
    <d v="2025-04-10T00:00:00"/>
    <d v="2025-03-23T00:00:00"/>
    <s v="Myocardial Infarction"/>
    <s v="Thrombolysis"/>
    <n v="136077.35999999999"/>
    <s v="Care Health"/>
    <s v="Paid"/>
    <s v="Transferred"/>
  </r>
  <r>
    <s v="HOSP-10037"/>
    <s v="Ritu Patel"/>
    <n v="18"/>
    <x v="0"/>
    <s v="Chennai"/>
    <s v="General Medicine"/>
    <s v="Dr.Atul Gogia"/>
    <d v="2025-10-05T00:00:00"/>
    <d v="2025-10-18T00:00:00"/>
    <s v="Unknown"/>
    <s v="Antibiotic Course"/>
    <n v="305300.05"/>
    <s v="None"/>
    <s v="Partially Paid"/>
    <s v="Discharged Against Medical Advice"/>
  </r>
  <r>
    <s v="HOSP-10040"/>
    <s v="Neha Sharma"/>
    <n v="23"/>
    <x v="0"/>
    <s v="Pune"/>
    <s v="Orthopedics"/>
    <s v="Dr.Sks Marya"/>
    <d v="2025-01-14T00:00:00"/>
    <d v="2025-02-01T00:00:00"/>
    <s v="Osteoarthritis Knee"/>
    <s v="Total Knee Replacement"/>
    <n v="98162.26"/>
    <s v="Star Health"/>
    <s v="Disputed"/>
    <s v="Discharged Against Medical Advice"/>
  </r>
  <r>
    <s v="HOSP-10041"/>
    <s v="Rajesh Sharma"/>
    <n v="63"/>
    <x v="1"/>
    <s v="Calcutta"/>
    <s v="Oncology"/>
    <s v="Dr.Vinod Raina"/>
    <d v="2025-06-28T00:00:00"/>
    <d v="2025-12-23T00:00:00"/>
    <s v="Unknown"/>
    <s v="R-Chop Regimen"/>
    <n v="255824.81"/>
    <s v="Hdfc Ergo"/>
    <s v="Claim Processing"/>
    <s v="Admitted"/>
  </r>
  <r>
    <s v="HOSP-10042"/>
    <s v="Ritu Sharma"/>
    <n v="54"/>
    <x v="0"/>
    <s v="Ahmedabad"/>
    <s v="Gastroenterology"/>
    <s v="Dr.Randhir Sud"/>
    <d v="2025-06-14T00:00:00"/>
    <d v="2025-07-02T00:00:00"/>
    <s v="Gallstones / Cholecystitis"/>
    <s v="Laparoscopic Cholecystectomy"/>
    <n v="121026.07"/>
    <s v="Star Health"/>
    <s v="Paid"/>
    <s v="Discharged Against Medical Advice"/>
  </r>
  <r>
    <s v="HOSP-10045"/>
    <s v="Anjali Nair"/>
    <n v="23"/>
    <x v="0"/>
    <s v="Pune"/>
    <s v="General Medicine"/>
    <s v="Dr.Anoop Misra"/>
    <d v="2025-04-07T00:00:00"/>
    <d v="2025-04-15T00:00:00"/>
    <s v="Dengue Fever With Thrombocytopenia"/>
    <s v="Platelet Support"/>
    <n v="160725.21"/>
    <s v="None / Self Pay"/>
    <s v="Paid"/>
    <s v="Transferred"/>
  </r>
  <r>
    <s v="HOSP-10047"/>
    <s v="Meera Kumar"/>
    <n v="3"/>
    <x v="0"/>
    <s v="Chandigarh"/>
    <s v="Cardiology"/>
    <s v="Dr.Devi Shetty"/>
    <d v="2025-10-23T00:00:00"/>
    <d v="2025-11-01T00:00:00"/>
    <s v="Coronary Artery Disease"/>
    <s v="Angioplasty"/>
    <n v="30598.91"/>
    <s v="Bajaj Allianz"/>
    <s v="Disputed"/>
    <s v="Discharged Against Medical Advice"/>
  </r>
  <r>
    <s v="HOSP-131"/>
    <s v="Priya Verma"/>
    <n v="55"/>
    <x v="0"/>
    <s v="Hyderabad"/>
    <s v="Neurology"/>
    <s v="Dr.Mukul Varma"/>
    <d v="2025-06-26T00:00:00"/>
    <d v="2025-06-30T00:00:00"/>
    <s v="Parkinson'S Disease"/>
    <s v="Levodopa Therapy"/>
    <n v="298691.20000000001"/>
    <s v="None / Self Pay"/>
    <s v="Disputed"/>
    <s v="Discharged Against Medical Advice"/>
  </r>
  <r>
    <s v="HOSP-113"/>
    <s v="Neha Patel"/>
    <n v="47"/>
    <x v="0"/>
    <s v="Kolkata"/>
    <s v="Oncology"/>
    <s v="Dr.Harit Chaturvedi"/>
    <d v="2025-03-16T00:00:00"/>
    <d v="2025-12-23T00:00:00"/>
    <s v="Colorectal Cancer"/>
    <s v="Colectomy"/>
    <n v="341800.01"/>
    <s v="None / Self Pay"/>
    <s v="Paid"/>
    <s v="Admitted"/>
  </r>
  <r>
    <s v="HOSP-10050"/>
    <s v="Kabir Mehta"/>
    <n v="27"/>
    <x v="1"/>
    <s v="Hyderabad"/>
    <s v="Orthopedics"/>
    <s v="Dr.Harshavardhan Hegde"/>
    <d v="2025-07-30T00:00:00"/>
    <d v="2025-08-14T00:00:00"/>
    <s v="Lumbar Spondylosis"/>
    <s v="Spinal Decompression"/>
    <n v="153551.82"/>
    <s v="Care Health"/>
    <s v="Paid"/>
    <s v="Discharged"/>
  </r>
  <r>
    <s v="HOSP-10051"/>
    <s v="Manoj Joshi"/>
    <n v="71"/>
    <x v="1"/>
    <s v="Chandigarh"/>
    <s v="Pediatrics"/>
    <s v="Dr.Arvind Bagga"/>
    <d v="2025-10-30T00:00:00"/>
    <d v="2025-07-11T00:00:00"/>
    <s v="Neonatal Jaundice"/>
    <s v="Phototherapy"/>
    <n v="166546.48000000001"/>
    <s v="Star Health"/>
    <s v="Disputed"/>
    <s v="Expired"/>
  </r>
  <r>
    <s v="HOSP-10052"/>
    <s v="Manoj Kumar"/>
    <n v="18"/>
    <x v="1"/>
    <s v="Bangalore"/>
    <s v="Orthopedics"/>
    <s v="Dr.Sks Marya"/>
    <d v="2025-09-05T00:00:00"/>
    <d v="2025-09-06T00:00:00"/>
    <s v="Lumbar Spondylosis"/>
    <s v="Spinal Decompression"/>
    <n v="104991.88"/>
    <s v="Bajaj Allianz"/>
    <s v="Claim Processing"/>
    <s v="Discharged"/>
  </r>
  <r>
    <s v="HOSP-10053"/>
    <s v="Deepak_Singh"/>
    <n v="19"/>
    <x v="1"/>
    <s v="Pune"/>
    <s v="Neurology"/>
    <s v="Dr.P. N. Renjen"/>
    <d v="2025-04-25T00:00:00"/>
    <d v="2025-05-02T00:00:00"/>
    <s v="Parkinson'S Disease"/>
    <s v="Levodopa Therapy"/>
    <n v="158630.85"/>
    <s v="Icici Lombard"/>
    <s v="Partially Paid"/>
    <s v="Unknown"/>
  </r>
  <r>
    <s v="HOSP-10054"/>
    <s v="Sunita Gupta"/>
    <n v="20"/>
    <x v="0"/>
    <s v="Hyderabad"/>
    <s v="Gastroenterology"/>
    <s v="Dr.Randhir Sud"/>
    <d v="2025-11-29T00:00:00"/>
    <d v="2025-12-23T00:00:00"/>
    <s v="Gallstones / Cholecystitis"/>
    <s v="Laparoscopic Cholecystectomy"/>
    <n v="259400.48"/>
    <s v="Icici Lombard"/>
    <s v="Pending"/>
    <s v="Admitted"/>
  </r>
  <r>
    <s v="HOSP-10055"/>
    <s v="Ramesh Bose"/>
    <n v="62"/>
    <x v="1"/>
    <s v="Kolkata"/>
    <s v="Oncology"/>
    <s v="Dr.Vinod Raina"/>
    <d v="2025-03-31T00:00:00"/>
    <d v="2025-12-23T00:00:00"/>
    <s v="Breast Carcinoma"/>
    <s v="Chemotherapy &amp; Lumpectomy"/>
    <n v="6330.59"/>
    <s v="Max Bupa"/>
    <s v="Disputed"/>
    <s v="Admitted"/>
  </r>
  <r>
    <s v="HOSP-10057"/>
    <s v="Meera Patel"/>
    <n v="4"/>
    <x v="0"/>
    <s v="Mumbai"/>
    <s v="Pediatrics"/>
    <s v="Dr.Arvind Bagga"/>
    <d v="2025-07-07T00:00:00"/>
    <d v="2025-12-23T00:00:00"/>
    <s v="Acute Bronchiolitis"/>
    <s v="Nebulization &amp; O2 Support"/>
    <n v="117856.84"/>
    <s v="Hdfc Ergo"/>
    <s v="Paid"/>
    <s v="Transferred"/>
  </r>
  <r>
    <s v="HOSP-10058"/>
    <s v="Manoj Bose"/>
    <n v="56"/>
    <x v="1"/>
    <s v="Jaipur"/>
    <s v="Neurology"/>
    <s v="Dr.P. N. Renjen"/>
    <d v="2025-01-13T00:00:00"/>
    <d v="2025-12-23T00:00:00"/>
    <s v="Parkinson'S Disease"/>
    <s v="Levodopa Therapy"/>
    <n v="135291.62"/>
    <s v="Hdfc Ergo"/>
    <s v="Claim Processing"/>
    <s v="Admitted"/>
  </r>
  <r>
    <s v="HOSP-1059"/>
    <s v="Ananya Reddy"/>
    <n v="71"/>
    <x v="0"/>
    <s v="Bangalore"/>
    <s v="Cardiology"/>
    <s v="Dr.Naresh Trehan"/>
    <d v="2025-03-20T00:00:00"/>
    <d v="2025-03-31T00:00:00"/>
    <s v="Coronary Artery Disease"/>
    <s v="Angioplasty"/>
    <n v="274287.35999999999"/>
    <s v="Care Health"/>
    <s v="Pending"/>
    <s v="Transferred"/>
  </r>
  <r>
    <s v="HOSP-10061"/>
    <s v="Ramesh Verma"/>
    <n v="37"/>
    <x v="1"/>
    <s v="Kolkata"/>
    <s v="Unknown"/>
    <s v="Dr.Atul Gogia"/>
    <d v="2025-01-04T00:00:00"/>
    <d v="2025-12-23T00:00:00"/>
    <s v="Dengue Fever With Thrombocytopenia"/>
    <s v="Platelet Support"/>
    <n v="133136.07999999999"/>
    <s v="Max Bupa"/>
    <s v="Pending"/>
    <s v="Admitted"/>
  </r>
  <r>
    <s v="HOSP-10062"/>
    <s v="Neha Singh"/>
    <n v="38"/>
    <x v="2"/>
    <s v="Chandigarh"/>
    <s v="Neurology"/>
    <s v="Dr.Sushil Razdan"/>
    <d v="2025-08-20T00:00:00"/>
    <d v="2025-08-31T00:00:00"/>
    <s v="Acute Ischemic Stroke"/>
    <s v="Tpa Therapy"/>
    <n v="301763.98"/>
    <s v="Bajaj Allianz"/>
    <s v="Pending"/>
    <s v="Discharged Against Medical Advice"/>
  </r>
  <r>
    <s v="HOSP-10064"/>
    <s v="Rohan Patel"/>
    <n v="18"/>
    <x v="1"/>
    <s v="Mumbai"/>
    <s v="General Medicine"/>
    <s v="Dr.R. K. Singhal"/>
    <d v="2025-12-19T00:00:00"/>
    <d v="2026-01-01T00:00:00"/>
    <s v="Hypertensive Crisis"/>
    <s v="Iv Labetalol"/>
    <n v="40000"/>
    <s v="None / Self Pay"/>
    <s v="Paid"/>
    <s v="Discharged Against Medical Advice"/>
  </r>
  <r>
    <s v="HOSP-10066"/>
    <s v="Sunita Nair"/>
    <n v="18"/>
    <x v="0"/>
    <s v="Mumbai"/>
    <s v="General Medicine"/>
    <s v="Dr.Anoop Misra"/>
    <d v="2025-08-21T00:00:00"/>
    <d v="2025-08-28T00:00:00"/>
    <s v="Dengue Fever With Thrombocytopenia"/>
    <s v="Platelet Support"/>
    <n v="20999.67"/>
    <s v="Bajaj Allianz"/>
    <s v="Claim Processing"/>
    <s v="Expired"/>
  </r>
  <r>
    <s v="HOSP-10067"/>
    <s v="Unknown"/>
    <n v="72"/>
    <x v="0"/>
    <s v="Unknown"/>
    <s v="Oncology"/>
    <s v="Dr.Harit Chaturvedi"/>
    <d v="2025-08-11T00:00:00"/>
    <d v="2025-08-25T00:00:00"/>
    <s v="Lymphoma"/>
    <s v="R-Chop Regimen"/>
    <n v="269850.53999999998"/>
    <s v="Hdfc Ergo"/>
    <s v="Partially Paid"/>
    <s v="Expired"/>
  </r>
  <r>
    <s v="HOSP-10068"/>
    <s v="Aarav Bose"/>
    <n v="32"/>
    <x v="1"/>
    <s v="Chennai"/>
    <s v="Neurology"/>
    <s v="Dr.Unknown"/>
    <d v="2025-05-07T00:00:00"/>
    <d v="2025-12-23T00:00:00"/>
    <s v="Epilepsy"/>
    <s v="Anticonvulsant Therapy"/>
    <n v="29938.95"/>
    <s v="Unknown"/>
    <s v="Paid"/>
    <s v="Admitted"/>
  </r>
  <r>
    <s v="HOSP-10069"/>
    <s v="Sneha Joshi"/>
    <n v="77"/>
    <x v="0"/>
    <s v="Ahmedabad"/>
    <s v="Orthopedics"/>
    <s v="Dr.Sks Marya"/>
    <d v="2025-03-31T00:00:00"/>
    <d v="2025-04-03T00:00:00"/>
    <s v="Lumbar Spondylosis"/>
    <s v="Spinal Decompression"/>
    <n v="146946.73000000001"/>
    <s v="Care Health"/>
    <s v="Paid"/>
    <s v="Discharged Against Medical Advice"/>
  </r>
  <r>
    <s v="HOSP-10070"/>
    <s v="Anjali Verma"/>
    <n v="8"/>
    <x v="0"/>
    <s v="Pune"/>
    <s v="Pediatrics"/>
    <s v="Dr.Arvind Bagga"/>
    <d v="2025-07-16T00:00:00"/>
    <d v="2025-07-24T00:00:00"/>
    <s v="Neonatal Jaundice"/>
    <s v="Phototherapy"/>
    <n v="340423.43"/>
    <s v="Icici Lombard"/>
    <s v="Claim Processing"/>
    <s v="Discharged"/>
  </r>
  <r>
    <s v="HOSP-10071"/>
    <s v="Unknown"/>
    <n v="18"/>
    <x v="1"/>
    <s v="Jaipur"/>
    <s v="General Medicine"/>
    <s v="Dr.Atul Gogia"/>
    <d v="2025-07-13T00:00:00"/>
    <d v="2025-07-19T00:00:00"/>
    <s v="Dengue Fever With Thrombocytopenia"/>
    <s v="Platelet Support"/>
    <n v="343098.9"/>
    <s v="Bajaj Allianz"/>
    <s v="Claim Processing"/>
    <s v="Discharged Against Medical Advice"/>
  </r>
  <r>
    <s v="HOSP-10072"/>
    <s v="Aarav Bose"/>
    <n v="36"/>
    <x v="1"/>
    <s v="Hyderabad"/>
    <s v="Unknown"/>
    <s v="Dr.Atul Gogia"/>
    <d v="2025-07-15T00:00:00"/>
    <d v="2025-12-23T00:00:00"/>
    <s v="Dengue Fever With Thrombocytopenia"/>
    <s v="Platelet Support"/>
    <n v="66896.94"/>
    <s v="Max Bupa"/>
    <s v="Partially Paid"/>
    <s v="Admitted"/>
  </r>
  <r>
    <s v="HOSP-10073"/>
    <s v="Priya Nair"/>
    <n v="36"/>
    <x v="0"/>
    <s v="Unknown"/>
    <s v="Oncology"/>
    <s v="Dr.Suresh Advani"/>
    <d v="2025-07-04T00:00:00"/>
    <d v="2025-07-21T00:00:00"/>
    <s v="Lung Adenocarcinoma"/>
    <s v="Unknown"/>
    <n v="285194.14"/>
    <s v="Care Health"/>
    <s v="Claim Processing"/>
    <s v="Transferred"/>
  </r>
  <r>
    <s v="HOSP-10075"/>
    <s v="Meera Mehta"/>
    <n v="37"/>
    <x v="2"/>
    <s v="Kolkata"/>
    <s v="Neurology"/>
    <s v="Dr.Sushil Razdan"/>
    <d v="2025-01-25T00:00:00"/>
    <d v="2025-01-02T00:00:00"/>
    <s v="Migraine Chronic"/>
    <s v="Unknown"/>
    <n v="177019.16"/>
    <s v="Hdfc Ergo"/>
    <s v="Claim Processing"/>
    <s v="Discharged Against Medical Advice"/>
  </r>
  <r>
    <s v="HOSP-10077"/>
    <s v="Kabir Verma"/>
    <n v="5"/>
    <x v="1"/>
    <s v="Ahmedabad"/>
    <s v="Cardiology"/>
    <s v="Dr.Naresh Trehan"/>
    <d v="2025-05-25T00:00:00"/>
    <d v="2025-12-23T00:00:00"/>
    <s v="Coronary Artery Disease"/>
    <s v="Angioplasty"/>
    <n v="303411.21999999997"/>
    <s v="Star Health"/>
    <s v="Paid"/>
    <s v="Admitted"/>
  </r>
  <r>
    <s v="HOSP-10078"/>
    <s v="Amit Nair"/>
    <n v="42"/>
    <x v="1"/>
    <s v="Kolkata"/>
    <s v="Oncology"/>
    <s v="Dr.Unknown"/>
    <d v="2025-11-01T00:00:00"/>
    <d v="2025-01-22T00:00:00"/>
    <s v="Lung Adenocarcinoma"/>
    <s v="Targeted Therapy"/>
    <n v="276272.88"/>
    <s v="Max Bupa"/>
    <s v="Claim Processing"/>
    <s v="Discharged Against Medical Advice"/>
  </r>
  <r>
    <s v="HOSP-10079"/>
    <s v="Priya Sharma"/>
    <n v="2"/>
    <x v="0"/>
    <s v="Chennai"/>
    <s v="Oncology"/>
    <s v="Dr.Vinod Raina"/>
    <d v="2025-10-01T00:00:00"/>
    <d v="2025-02-10T00:00:00"/>
    <s v="Lung Adenocarcinoma"/>
    <s v="Targeted Therapy"/>
    <n v="154201.07"/>
    <s v="Icici Lombard"/>
    <s v="Paid"/>
    <s v="Discharged Against Medical Advice"/>
  </r>
  <r>
    <s v="HOSP-10080"/>
    <s v="Ramesh Gupta"/>
    <n v="32"/>
    <x v="1"/>
    <s v="Mumbai"/>
    <s v="Oncology"/>
    <s v="Dr.Harit Chaturvedi"/>
    <d v="2025-05-27T00:00:00"/>
    <d v="2025-06-06T00:00:00"/>
    <s v="Lymphoma"/>
    <s v="R-Chop Regimen"/>
    <n v="229647.94"/>
    <s v="Hdfc Ergo"/>
    <s v="Partially Paid"/>
    <s v="Discharged"/>
  </r>
  <r>
    <s v="HOSP-10083"/>
    <s v="Pooja Bose"/>
    <n v="1"/>
    <x v="0"/>
    <s v="Chennai"/>
    <s v="Pediatrics"/>
    <s v="Dr.Krishan Chugh"/>
    <d v="2025-11-18T00:00:00"/>
    <d v="2025-11-24T00:00:00"/>
    <s v="Severe Pneumonia"/>
    <s v="Iv Antibiotics"/>
    <n v="144977.74"/>
    <s v="Care Health"/>
    <s v="Partially Paid"/>
    <s v="Discharged"/>
  </r>
  <r>
    <s v="HOSP-10084"/>
    <s v="Suresh Mehta"/>
    <n v="31"/>
    <x v="1"/>
    <s v="Kolkata"/>
    <s v="General Medicine"/>
    <s v="Dr.Atul Gogia"/>
    <d v="2025-01-04T00:00:00"/>
    <d v="2025-09-01T00:00:00"/>
    <s v="Hypertensive Crisis"/>
    <s v="Iv Labetalol"/>
    <n v="33830.339999999997"/>
    <s v="Max Bupa"/>
    <s v="Claim Processing"/>
    <s v="Expired"/>
  </r>
  <r>
    <s v="HOSP-10085"/>
    <s v="Deepak Kumar"/>
    <n v="73"/>
    <x v="2"/>
    <s v="Chandigarh"/>
    <s v="Oncology"/>
    <s v="Dr.Suresh Advani"/>
    <d v="2025-12-04T00:00:00"/>
    <d v="2025-04-22T00:00:00"/>
    <s v="Lymphoma"/>
    <s v="R-Chop Regimen"/>
    <n v="19666.78"/>
    <s v="Care Health"/>
    <s v="Claim Processing"/>
    <s v="Discharged"/>
  </r>
  <r>
    <s v="HOSP-10087"/>
    <s v="Suresh Singh"/>
    <n v="11"/>
    <x v="1"/>
    <s v="Kolkata"/>
    <s v="Oncology"/>
    <s v="Dr.Harit Chaturvedi"/>
    <d v="2025-09-28T00:00:00"/>
    <d v="2025-10-08T00:00:00"/>
    <s v="Lymphoma"/>
    <s v="R-Chop Regimen"/>
    <n v="320565.07"/>
    <s v="Icici Lombard"/>
    <s v="Claim Processing"/>
    <s v="Expired"/>
  </r>
  <r>
    <s v="HOSP-10088"/>
    <s v="Ritu Mehta"/>
    <n v="47"/>
    <x v="0"/>
    <s v="Chandigarh"/>
    <s v="Gastroenterology"/>
    <s v="Dr.Subhash Gupta"/>
    <d v="2025-10-19T00:00:00"/>
    <d v="2025-10-31T00:00:00"/>
    <s v="Acute Pancreatitis"/>
    <s v="Conservative Management"/>
    <n v="230031.26"/>
    <s v="None"/>
    <s v="Partially Paid"/>
    <s v="Discharged"/>
  </r>
  <r>
    <s v="HOSP-10089"/>
    <s v="Pooja Joshi"/>
    <n v="78"/>
    <x v="0"/>
    <s v="Chandigarh"/>
    <s v="Cardiology"/>
    <s v="Dr.Unknown"/>
    <d v="2025-05-10T00:00:00"/>
    <d v="2025-05-18T00:00:00"/>
    <s v="Arrhythmia"/>
    <s v="Pacemaker Implantation"/>
    <n v="258859.27"/>
    <s v="None / Self Pay"/>
    <s v="Pending"/>
    <s v="Discharged"/>
  </r>
  <r>
    <s v="HOSP-10090"/>
    <s v="Rajesh Iyer"/>
    <n v="40"/>
    <x v="1"/>
    <s v="Jaipur"/>
    <s v="Neurology"/>
    <s v="Dr.P. N. Renjen"/>
    <d v="2025-09-28T00:00:00"/>
    <d v="2025-10-10T00:00:00"/>
    <s v="Epilepsy"/>
    <s v="Anticonvulsant Therapy"/>
    <n v="133462.39999999999"/>
    <s v="Star Health"/>
    <s v="Partially Paid"/>
    <s v="Discharged"/>
  </r>
  <r>
    <s v="HOSP-10091"/>
    <s v="Aarav Verma"/>
    <n v="18"/>
    <x v="1"/>
    <s v="Bangalore"/>
    <s v="Pediatrics"/>
    <s v="Dr.Veena Kalra"/>
    <d v="2025-08-13T00:00:00"/>
    <d v="2025-12-23T00:00:00"/>
    <s v="Viral Gastroenteritis"/>
    <s v="Iv Fluids &amp; Electrolytes"/>
    <n v="326064.67"/>
    <s v="Unknown"/>
    <s v="Disputed"/>
    <s v="Admitted"/>
  </r>
  <r>
    <s v="HOSP-10092"/>
    <s v="Ritu Bose"/>
    <n v="16"/>
    <x v="0"/>
    <s v="Delhi"/>
    <s v="Gastroenterology"/>
    <s v="Dr.Subhash Gupta"/>
    <d v="2025-09-12T00:00:00"/>
    <d v="2025-09-29T00:00:00"/>
    <s v="Peptic Ulcer Bleeding"/>
    <s v="Endoscopic Banding"/>
    <n v="63936.59"/>
    <s v="Bajaj Allianz"/>
    <s v="Partially Paid"/>
    <s v="Discharged Against Medical Advice"/>
  </r>
  <r>
    <s v="HOSP-10093"/>
    <s v="Sunita Gupta"/>
    <n v="43"/>
    <x v="0"/>
    <s v="Pune"/>
    <s v="General Medicine"/>
    <s v="Dr.R. K. Singhal"/>
    <d v="2025-12-20T00:00:00"/>
    <d v="2025-12-31T00:00:00"/>
    <s v="Unknown"/>
    <s v="Iv Labetalol"/>
    <n v="240187.3"/>
    <s v="Star Health"/>
    <s v="Partially Paid"/>
    <s v="Discharged"/>
  </r>
  <r>
    <s v="HOSP-10095"/>
    <s v="Kavita Iyer"/>
    <n v="76"/>
    <x v="0"/>
    <s v="Chandigarh"/>
    <s v="Neurology"/>
    <s v="Dr.Mukul Varma"/>
    <d v="2025-02-12T00:00:00"/>
    <d v="2025-02-17T00:00:00"/>
    <s v="Migraine Chronic"/>
    <s v="Botox Injection &amp; Triptans"/>
    <n v="307755.56"/>
    <s v="Bajaj Allianz"/>
    <s v="Disputed"/>
    <s v="Expired"/>
  </r>
  <r>
    <s v="HOSP-10096"/>
    <s v="Deepak Iyer"/>
    <n v="58"/>
    <x v="1"/>
    <s v="Chennai"/>
    <s v="Orthopedics"/>
    <s v="Dr.Sks Marya"/>
    <d v="2025-10-18T00:00:00"/>
    <d v="2025-11-03T00:00:00"/>
    <s v="Osteoarthritis Knee"/>
    <s v="Total Knee Replacement"/>
    <n v="347786.26"/>
    <s v="Bajaj Allianz"/>
    <s v="Pending"/>
    <s v="Expired"/>
  </r>
  <r>
    <s v="HOSP-10099"/>
    <s v="Pooja Reddy"/>
    <n v="85"/>
    <x v="0"/>
    <s v="Chennai"/>
    <s v="Gastroenterology"/>
    <s v="Dr.Govind Makharia"/>
    <d v="2025-06-17T00:00:00"/>
    <d v="2025-12-23T00:00:00"/>
    <s v="Unknown"/>
    <s v="Endoscopic Banding"/>
    <n v="281096.51"/>
    <s v="Star Health"/>
    <s v="Claim Processing"/>
    <s v="Discharged"/>
  </r>
  <r>
    <s v="HOSP-10101"/>
    <s v="Ritu Sharma"/>
    <n v="70"/>
    <x v="0"/>
    <s v="Mumbai"/>
    <s v="Gastroenterology"/>
    <s v="Dr.Randhir Sud"/>
    <d v="2025-05-23T00:00:00"/>
    <d v="2025-05-31T00:00:00"/>
    <s v="Liver Cirrhosis"/>
    <s v="Paracentesis &amp; Diuretics"/>
    <n v="339192.39"/>
    <s v="Bajaj Allianz"/>
    <s v="Claim Processing"/>
    <s v="Discharged"/>
  </r>
  <r>
    <s v="HOSP-10105"/>
    <s v="Aarav Bose"/>
    <n v="38"/>
    <x v="2"/>
    <s v="Bangalore"/>
    <s v="Gastroenterology"/>
    <s v="Dr.Subhash Gupta"/>
    <d v="2025-09-16T00:00:00"/>
    <d v="2025-09-29T00:00:00"/>
    <s v="Acute Pancreatitis"/>
    <s v="Conservative Management"/>
    <n v="84421.63"/>
    <s v="Care Health"/>
    <s v="Partially Paid"/>
    <s v="Transferred"/>
  </r>
  <r>
    <s v="HOSP-10108"/>
    <s v="Priya Nair"/>
    <n v="49"/>
    <x v="0"/>
    <s v="Hyderabad"/>
    <s v="Neurology"/>
    <s v="Dr.Unknown"/>
    <d v="2025-08-05T00:00:00"/>
    <d v="2025-08-18T00:00:00"/>
    <s v="Epilepsy"/>
    <s v="Anticonvulsant Therapy"/>
    <n v="245228.63"/>
    <s v="None / Self Pay"/>
    <s v="Disputed"/>
    <s v="Transferred"/>
  </r>
  <r>
    <s v="HOSP-10113"/>
    <s v="Diya Joshi"/>
    <n v="72"/>
    <x v="0"/>
    <s v="Jaipur"/>
    <s v="Oncology"/>
    <s v="Dr.Suresh Advani"/>
    <d v="2025-05-23T00:00:00"/>
    <d v="2025-06-05T00:00:00"/>
    <s v="Breast Carcinoma"/>
    <s v="Chemotherapy &amp; Lumpectomy"/>
    <n v="20469.05"/>
    <s v="Bajaj Allianz"/>
    <s v="Partially Paid"/>
    <s v="Discharged"/>
  </r>
  <r>
    <s v="HOSP-10115"/>
    <s v="Priya Reddy"/>
    <n v="54"/>
    <x v="0"/>
    <s v="Hyderabad"/>
    <s v="Unknown"/>
    <s v="Dr.Unknown"/>
    <d v="2025-04-28T00:00:00"/>
    <d v="2025-05-13T00:00:00"/>
    <s v="Acute Pancreatitis"/>
    <s v="Conservative Management"/>
    <n v="-60490.93"/>
    <s v="Unknown"/>
    <s v="Claim Processing"/>
    <s v="Discharged Against Medical Advice"/>
  </r>
  <r>
    <s v="HOSP-10116"/>
    <s v="Ramesh Mehta"/>
    <n v="68"/>
    <x v="1"/>
    <s v="Kolkata"/>
    <s v="Gastroenterology"/>
    <s v="Dr.Randhir Sud"/>
    <d v="2025-06-01T00:00:00"/>
    <d v="2025-01-17T00:00:00"/>
    <s v="Peptic Ulcer Bleeding"/>
    <s v="Endoscopic Banding"/>
    <n v="140940.70000000001"/>
    <s v="Hdfc Ergo"/>
    <s v="Paid"/>
    <s v="Expired"/>
  </r>
  <r>
    <s v="HOSP-10117"/>
    <s v="Deepak Mehta"/>
    <n v="16"/>
    <x v="1"/>
    <s v="Kolkata"/>
    <s v="Gastroenterology"/>
    <s v="Dr.Randhir Sud"/>
    <d v="2025-04-04T00:00:00"/>
    <d v="2025-04-16T00:00:00"/>
    <s v="Gallstones / Cholecystitis"/>
    <s v="Laparoscopic Cholecystectomy"/>
    <n v="13022.92"/>
    <s v="Max Bupa"/>
    <s v="Partially Paid"/>
    <s v="Discharged Against Medical Advice"/>
  </r>
  <r>
    <s v="HOSP-10118"/>
    <s v="Deepak Singh"/>
    <n v="44"/>
    <x v="1"/>
    <s v="Bangalore"/>
    <s v="Orthopedics"/>
    <s v="Dr.Sks Marya"/>
    <d v="2025-10-10T00:00:00"/>
    <d v="2025-10-16T00:00:00"/>
    <s v="Rotator Cuff Tear"/>
    <s v="Arthroscopic Repair"/>
    <n v="218150.25"/>
    <s v="Care Health"/>
    <s v="Disputed"/>
    <s v="Expired"/>
  </r>
  <r>
    <s v="HOSP-10119"/>
    <s v="Ananya Reddy"/>
    <n v="46"/>
    <x v="0"/>
    <s v="Kolkata"/>
    <s v="Gastroenterology"/>
    <s v="Dr.Subhash Gupta"/>
    <d v="2025-10-12T00:00:00"/>
    <d v="2025-12-23T00:00:00"/>
    <s v="Gallstones / Cholecystitis"/>
    <s v="Laparoscopic Cholecystectomy"/>
    <n v="164587.4"/>
    <s v="Care Health"/>
    <s v="Partially Paid"/>
    <s v="Admitted"/>
  </r>
  <r>
    <s v="HOSP-10120"/>
    <s v="Priya Bose"/>
    <n v="35"/>
    <x v="0"/>
    <s v="Hyderabad"/>
    <s v="Orthopedics"/>
    <s v="Dr.Ramneek Mahajan"/>
    <d v="2025-06-20T00:00:00"/>
    <d v="2025-12-23T00:00:00"/>
    <s v="Femur Fracture"/>
    <s v="Internal Fixation"/>
    <n v="110184.01"/>
    <s v="Bajaj Allianz"/>
    <s v="Claim Processing"/>
    <s v="Unknown"/>
  </r>
  <r>
    <s v="HOSP-10122"/>
    <s v="Ananya Kumar"/>
    <n v="83"/>
    <x v="0"/>
    <s v="Chandigarh"/>
    <s v="Cardiology"/>
    <s v="Dr.Ashok Seth"/>
    <d v="2025-02-03T00:00:00"/>
    <d v="2025-01-31T00:00:00"/>
    <s v="Arrhythmia"/>
    <s v="Pacemaker Implantation"/>
    <n v="342473.08"/>
    <s v="Unknown"/>
    <s v="Paid"/>
    <s v="Discharged"/>
  </r>
  <r>
    <s v="HOSP-10124"/>
    <s v="Anjali Kumar"/>
    <n v="19"/>
    <x v="0"/>
    <s v="Ahmedabad"/>
    <s v="Oncology"/>
    <s v="Dr.Harit Chaturvedi"/>
    <d v="2025-05-30T00:00:00"/>
    <d v="2025-06-08T00:00:00"/>
    <s v="Breast Carcinoma"/>
    <s v="Chemotherapy &amp; Lumpectomy"/>
    <n v="120795.08"/>
    <s v="Max Bupa"/>
    <s v="Unknown"/>
    <s v="Discharged"/>
  </r>
  <r>
    <s v="HOSP-10125"/>
    <s v="Kavita Iyer"/>
    <n v="51"/>
    <x v="0"/>
    <s v="Bangalore"/>
    <s v="Cardiology"/>
    <s v="Dr.Naresh Trehan"/>
    <d v="2025-03-04T00:00:00"/>
    <d v="2025-03-15T00:00:00"/>
    <s v="Myocardial Infarction"/>
    <s v="Thrombolysis"/>
    <n v="267080.71000000002"/>
    <s v="Star Health"/>
    <s v="Disputed"/>
    <s v="Discharged Against Medical Advice"/>
  </r>
  <r>
    <s v="HOSP-10126"/>
    <s v="Diya Joshi"/>
    <n v="8"/>
    <x v="0"/>
    <s v="Kolkata"/>
    <s v="Unknown"/>
    <s v="Dr.P. N. Renjen"/>
    <d v="2025-08-29T00:00:00"/>
    <d v="2025-09-05T00:00:00"/>
    <s v="Acute Ischemic Stroke"/>
    <s v="Tpa Therapy"/>
    <n v="274996.57"/>
    <s v="Hdfc Ergo"/>
    <s v="Paid"/>
    <s v="Discharged"/>
  </r>
  <r>
    <s v="Unknown"/>
    <s v="Amit Iyer"/>
    <n v="5"/>
    <x v="1"/>
    <s v="Pune"/>
    <s v="Oncology"/>
    <s v="Dr.Vinod Raina"/>
    <d v="2025-01-15T00:00:00"/>
    <d v="2025-12-23T00:00:00"/>
    <s v="Lymphoma"/>
    <s v="R-Chop Regimen"/>
    <n v="319520.46999999997"/>
    <s v="Icici Lombard"/>
    <s v="Disputed"/>
    <s v="Admitted"/>
  </r>
  <r>
    <s v="HOSP-10128"/>
    <s v="Vihaan Gupta"/>
    <n v="26"/>
    <x v="1"/>
    <s v="Jaipur"/>
    <s v="Pediatrics"/>
    <s v="Dr.Arvind Bagga"/>
    <d v="2025-10-16T00:00:00"/>
    <d v="2025-11-03T00:00:00"/>
    <s v="Viral Gastroenteritis"/>
    <s v="Iv Fluids &amp; Electrolytes"/>
    <n v="171035.99"/>
    <s v="Care Health"/>
    <s v="Paid"/>
    <s v="Discharged Against Medical Advice"/>
  </r>
  <r>
    <s v="HOSP-10129"/>
    <s v="Kabir_Mehta"/>
    <n v="56"/>
    <x v="1"/>
    <s v="Chandigarh"/>
    <s v="Orthopedics"/>
    <s v="Dr.Harshavardhan Hegde"/>
    <d v="2025-03-30T00:00:00"/>
    <d v="2025-04-16T00:00:00"/>
    <s v="Femur Fracture"/>
    <s v="Internal Fixation"/>
    <n v="185136.82"/>
    <s v="Icici Lombard"/>
    <s v="Disputed"/>
    <s v="Unknown"/>
  </r>
  <r>
    <s v="HOSP-10130"/>
    <s v="Manoj Kumar"/>
    <n v="48"/>
    <x v="1"/>
    <s v="Mumbai"/>
    <s v="Neurology"/>
    <s v="Dr.Mukul Varma"/>
    <d v="2025-06-23T00:00:00"/>
    <d v="2025-07-07T00:00:00"/>
    <s v="Parkinson'S Disease"/>
    <s v="Unknown"/>
    <n v="94467.58"/>
    <s v="None / Self Pay"/>
    <s v="Disputed"/>
    <s v="Expired"/>
  </r>
  <r>
    <s v="HOSP-10131"/>
    <s v="Manoj Patel"/>
    <n v="25"/>
    <x v="1"/>
    <s v="Jaipur"/>
    <s v="Oncology"/>
    <s v="Dr.Vinod Raina"/>
    <d v="2025-06-06T00:00:00"/>
    <d v="2025-06-15T00:00:00"/>
    <s v="Lymphoma"/>
    <s v="R-Chop Regimen"/>
    <n v="20656.7"/>
    <s v="Care Health"/>
    <s v="Disputed"/>
    <s v="Discharged"/>
  </r>
  <r>
    <s v="HOSP-10132"/>
    <s v="Diya_Singh"/>
    <n v="53"/>
    <x v="0"/>
    <s v="Delhi"/>
    <s v="Orthopedics"/>
    <s v="Dr.Harshavardhan Hegde"/>
    <d v="2025-01-01T00:00:00"/>
    <d v="2025-01-05T00:00:00"/>
    <s v="Osteoarthritis Knee"/>
    <s v="Total Knee Replacement"/>
    <n v="181016.57"/>
    <s v="Star Health"/>
    <s v="Pending"/>
    <s v="Expired"/>
  </r>
  <r>
    <s v="HOSP-10133"/>
    <s v="Vihaan Singh"/>
    <n v="82"/>
    <x v="1"/>
    <s v="Delhi"/>
    <s v="Pediatrics"/>
    <s v="Dr.Arvind Bagga"/>
    <d v="2025-03-21T00:00:00"/>
    <d v="2025-04-04T00:00:00"/>
    <s v="Neonatal Jaundice"/>
    <s v="Phototherapy"/>
    <n v="309912.63"/>
    <s v="Star Health"/>
    <s v="Partially Paid"/>
    <s v="Discharged"/>
  </r>
  <r>
    <s v="HOSP-10134"/>
    <s v="Kavita Verma"/>
    <n v="27"/>
    <x v="0"/>
    <s v="Bangalore"/>
    <s v="Gastroenterology"/>
    <s v="Dr.Subhash Gupta"/>
    <d v="2025-08-29T00:00:00"/>
    <d v="2025-12-23T00:00:00"/>
    <s v="Acute Pancreatitis"/>
    <s v="Conservative Management"/>
    <n v="141900.42000000001"/>
    <s v="N/A"/>
    <s v="Claim Processing"/>
    <s v="Unknown"/>
  </r>
  <r>
    <s v="HOSP-10136"/>
    <s v="Priya Gupta"/>
    <n v="59"/>
    <x v="0"/>
    <s v="Bangalore"/>
    <s v="Neurology"/>
    <s v="Dr.Sushil Razdan"/>
    <d v="2025-12-06T00:00:00"/>
    <d v="2025-12-23T00:00:00"/>
    <s v="Acute Ischemic Stroke"/>
    <s v="Tpa Therapy"/>
    <n v="68547.92"/>
    <s v="Bajaj Allianz"/>
    <s v="Partially Paid"/>
    <s v="Discharged"/>
  </r>
  <r>
    <s v="HOSP-10137"/>
    <s v="Rajesh Joshi"/>
    <n v="52"/>
    <x v="1"/>
    <s v="Chandigarh"/>
    <s v="Pediatrics"/>
    <s v="Dr.Krishan Chugh"/>
    <d v="2025-02-03T00:00:00"/>
    <d v="2025-02-12T00:00:00"/>
    <s v="Viral Gastroenteritis"/>
    <s v="Iv Fluids &amp; Electrolytes"/>
    <n v="88870.79"/>
    <s v="Care Health"/>
    <s v="Disputed"/>
    <s v="Expired"/>
  </r>
  <r>
    <s v="HOSP-10140"/>
    <s v="Vikram Nair"/>
    <n v="160"/>
    <x v="1"/>
    <s v="Chandigarh"/>
    <s v="Oncology"/>
    <s v="Dr.Suresh Advani"/>
    <d v="2025-01-14T00:00:00"/>
    <d v="2025-01-22T00:00:00"/>
    <s v="Breast Carcinoma"/>
    <s v="Chemotherapy &amp; Lumpectomy"/>
    <n v="221590.42"/>
    <s v="None / Self Pay"/>
    <s v="Paid"/>
    <s v="Discharged"/>
  </r>
  <r>
    <s v="HOSP-10141"/>
    <s v="Vihaan Reddy"/>
    <n v="26"/>
    <x v="1"/>
    <s v="Delhi"/>
    <s v="Neurology"/>
    <s v="Dr.P. N. Renjen"/>
    <d v="2025-03-23T00:00:00"/>
    <d v="2025-12-23T00:00:00"/>
    <s v="Migraine Chronic"/>
    <s v="Botox Injection &amp; Triptans"/>
    <n v="211178.03"/>
    <s v="None / Self Pay"/>
    <s v="Claim Processing"/>
    <s v="Admitted"/>
  </r>
  <r>
    <s v="Unknown"/>
    <s v="Anjali Nair"/>
    <n v="10"/>
    <x v="0"/>
    <s v="Chennai"/>
    <s v="Orthopedics"/>
    <s v="Dr.Sks Marya"/>
    <d v="2025-04-10T00:00:00"/>
    <d v="2025-09-12T00:00:00"/>
    <s v="Osteoarthritis Knee"/>
    <s v="Total Knee Replacement"/>
    <n v="99999999"/>
    <s v="N/A"/>
    <s v="Disputed"/>
    <s v="Expired"/>
  </r>
  <r>
    <s v="HOSP-10144"/>
    <s v="Kavita Bose"/>
    <n v="11"/>
    <x v="0"/>
    <s v="Pune"/>
    <s v="Neurology"/>
    <s v="Dr.Sushil Razdan"/>
    <d v="2025-11-04T00:00:00"/>
    <d v="2025-11-15T00:00:00"/>
    <s v="Acute Ischemic Stroke"/>
    <s v="Tpa Therapy"/>
    <n v="286748.51"/>
    <s v="Hdfc Ergo"/>
    <s v="Paid"/>
    <s v="Expired"/>
  </r>
  <r>
    <s v="HOSP-10145"/>
    <s v="Vikram Mehta"/>
    <n v="45"/>
    <x v="1"/>
    <s v="Chandigarh"/>
    <s v="Orthopedics"/>
    <s v="Dr.Ramneek Mahajan"/>
    <d v="2025-03-26T00:00:00"/>
    <d v="2025-12-23T00:00:00"/>
    <s v="Lumbar Spondylosis"/>
    <s v="Spinal Decompression"/>
    <n v="138546.84"/>
    <s v="Icici Lombard"/>
    <s v="Paid"/>
    <s v="Admitted"/>
  </r>
  <r>
    <s v="HOSP-10146"/>
    <s v="Rohan Sharma"/>
    <n v="18"/>
    <x v="1"/>
    <s v="Hyderabad"/>
    <s v="Cardiology"/>
    <s v="Dr.Ashok Seth"/>
    <d v="2025-10-20T00:00:00"/>
    <d v="2025-11-05T00:00:00"/>
    <s v="Arrhythmia"/>
    <s v="Pacemaker Implantation"/>
    <n v="347176.11"/>
    <s v="Star Health"/>
    <s v="Claim Processing"/>
    <s v="Discharged Against Medical Advice"/>
  </r>
  <r>
    <s v="HOSP-10147"/>
    <s v="Amit Mehta"/>
    <n v="45"/>
    <x v="1"/>
    <s v="Mumbai"/>
    <s v="Orthopedics"/>
    <s v="Dr.Harshavardhan Hegde"/>
    <d v="2025-04-19T00:00:00"/>
    <d v="2025-04-27T00:00:00"/>
    <s v="Osteoarthritis Knee"/>
    <s v="Total Knee Replacement"/>
    <n v="296274.05"/>
    <s v="Icici Lombard"/>
    <s v="Partially Paid"/>
    <s v="Expired"/>
  </r>
  <r>
    <s v="HOSP-10148"/>
    <s v="Vikram Reddy"/>
    <n v="61"/>
    <x v="1"/>
    <s v="Kolkata"/>
    <s v="Gastroenterology"/>
    <s v="Dr.Subhash Gupta"/>
    <d v="2025-08-31T00:00:00"/>
    <d v="2025-12-23T00:00:00"/>
    <s v="Liver Cirrhosis"/>
    <s v="Paracentesis &amp; Diuretics"/>
    <n v="263655.98"/>
    <s v="Max Bupa"/>
    <s v="Claim Processing"/>
    <s v="Admitted"/>
  </r>
  <r>
    <s v="HOSP-10149"/>
    <s v="Deepak Bose"/>
    <n v="18"/>
    <x v="2"/>
    <s v="Unknown"/>
    <s v="Orthopedics"/>
    <s v="Dr.Harshavardhan Hegde"/>
    <d v="2025-09-03T00:00:00"/>
    <d v="2025-12-23T00:00:00"/>
    <s v="Lumbar Spondylosis"/>
    <s v="Spinal Decompression"/>
    <n v="274232.43"/>
    <s v="None"/>
    <s v="Disputed"/>
    <s v="Admitted"/>
  </r>
  <r>
    <s v="HOSP-10150"/>
    <s v="Anita Verma"/>
    <n v="75"/>
    <x v="0"/>
    <s v="Mumbai"/>
    <s v="Orthopedics"/>
    <s v="Dr.Harshavardhan Hegde"/>
    <d v="2025-01-10T00:00:00"/>
    <d v="2025-01-27T00:00:00"/>
    <s v="Rotator Cuff Tear"/>
    <s v="Arthroscopic Repair"/>
    <n v="212814.74"/>
    <s v="N/A"/>
    <s v="Unknown"/>
    <s v="Expired"/>
  </r>
  <r>
    <s v="HOSP-10152"/>
    <s v="Kabir Iyer"/>
    <n v="42"/>
    <x v="1"/>
    <s v="Ahmedabad"/>
    <s v="Orthopedics"/>
    <s v="Dr.Ramneek Mahajan"/>
    <d v="2025-04-10T00:00:00"/>
    <d v="2025-02-12T00:00:00"/>
    <s v="Femur Fracture"/>
    <s v="Internal Fixation"/>
    <n v="326680.27"/>
    <s v="Hdfc Ergo"/>
    <s v="Disputed"/>
    <s v="Discharged"/>
  </r>
  <r>
    <s v="HOSP-10154"/>
    <s v="Rajesh Singh"/>
    <n v="12"/>
    <x v="1"/>
    <s v="Pune"/>
    <s v="Cardiology"/>
    <s v="Dr.Ashok Seth"/>
    <d v="2025-07-04T00:00:00"/>
    <d v="2025-12-23T00:00:00"/>
    <s v="Arrhythmia"/>
    <s v="Pacemaker Implantation"/>
    <n v="296656.08"/>
    <s v="Icici Lombard"/>
    <s v="Pending"/>
    <s v="Admitted"/>
  </r>
  <r>
    <s v="HOSP-10155"/>
    <s v="Kavita Sharma"/>
    <n v="38"/>
    <x v="0"/>
    <s v="Kolkata"/>
    <s v="Pediatrics"/>
    <s v="Dr.Krishan Chugh"/>
    <d v="2025-03-19T00:00:00"/>
    <d v="2025-03-24T00:00:00"/>
    <s v="Viral Gastroenteritis"/>
    <s v="Iv Fluids &amp; Electrolytes"/>
    <n v="319545.57"/>
    <s v="None"/>
    <s v="Unknown"/>
    <s v="Discharged Against Medical Advice"/>
  </r>
  <r>
    <s v="HOSP-10156"/>
    <s v="Rajesh Kumar"/>
    <n v="67"/>
    <x v="1"/>
    <s v="Delhi"/>
    <s v="Pediatrics"/>
    <s v="Dr.Arvind Bagga"/>
    <d v="2025-02-28T00:00:00"/>
    <d v="2025-03-18T00:00:00"/>
    <s v="Acute Bronchiolitis"/>
    <s v="Nebulization &amp; O2 Support"/>
    <n v="288794.3"/>
    <s v="Bajaj Allianz"/>
    <s v="Paid"/>
    <s v="Transferred"/>
  </r>
  <r>
    <s v="HOSP-10157"/>
    <s v="Ritu Sharma"/>
    <n v="88"/>
    <x v="0"/>
    <s v="Delhi"/>
    <s v="Pediatrics"/>
    <s v="Dr.Krishan Chugh"/>
    <d v="2025-06-15T00:00:00"/>
    <d v="2025-06-29T00:00:00"/>
    <s v="Neonatal Jaundice"/>
    <s v="Phototherapy"/>
    <n v="216146.47"/>
    <s v="Unknown"/>
    <s v="Partially Paid"/>
    <s v="Transferred"/>
  </r>
  <r>
    <s v="HOSP-10158"/>
    <s v="Ananya Mehta"/>
    <n v="7"/>
    <x v="0"/>
    <s v="Jaipur"/>
    <s v="Unknown"/>
    <s v="Dr.Veena Kalra"/>
    <d v="2025-11-09T00:00:00"/>
    <d v="2025-12-23T00:00:00"/>
    <s v="Severe Pneumonia"/>
    <s v="Iv Antibiotics"/>
    <n v="206117.65"/>
    <s v="Bajaj Allianz"/>
    <s v="Claim Processing"/>
    <s v="Admitted"/>
  </r>
  <r>
    <s v="HOSP-10160"/>
    <s v="Kavita Patel"/>
    <n v="84"/>
    <x v="0"/>
    <s v="Pune"/>
    <s v="General Medicine"/>
    <s v="Dr.R. K. Singhal"/>
    <d v="2025-04-28T00:00:00"/>
    <d v="2025-05-16T00:00:00"/>
    <s v="Dengue Fever With Thrombocytopenia"/>
    <s v="Platelet Support"/>
    <n v="260581.65"/>
    <s v="Care Health"/>
    <s v="Partially Paid"/>
    <s v="Discharged Against Medical Advice"/>
  </r>
  <r>
    <s v="HOSP-10161"/>
    <s v="Kavita Joshi"/>
    <n v="70"/>
    <x v="0"/>
    <s v="Ahmedabad"/>
    <s v="Oncology"/>
    <s v="Dr.Harit Chaturvedi"/>
    <d v="2025-01-15T00:00:00"/>
    <d v="2025-01-28T00:00:00"/>
    <s v="Lung Adenocarcinoma"/>
    <s v="Targeted Therapy"/>
    <n v="40000"/>
    <s v="Bajaj Allianz"/>
    <s v="Paid"/>
    <s v="Discharged Against Medical Advice"/>
  </r>
  <r>
    <s v="HOSP-10162"/>
    <s v="Pooja Singh"/>
    <n v="28"/>
    <x v="0"/>
    <s v="Bangalore"/>
    <s v="Oncology"/>
    <s v="Dr.Vinod Raina"/>
    <d v="2025-09-28T00:00:00"/>
    <d v="2025-10-10T00:00:00"/>
    <s v="Unknown"/>
    <s v="Chemotherapy &amp; Lumpectomy"/>
    <n v="325321.69"/>
    <s v="None / Self Pay"/>
    <s v="Pending"/>
    <s v="Expired"/>
  </r>
  <r>
    <s v="HOSP-1164"/>
    <s v="Neha Joshi"/>
    <n v="79"/>
    <x v="0"/>
    <s v="Mumbai"/>
    <s v="Gastroenterology"/>
    <s v="Dr.Govind Makharia"/>
    <d v="2025-01-03T00:00:00"/>
    <d v="2025-12-23T00:00:00"/>
    <s v="Peptic Ulcer Bleeding"/>
    <s v="Endoscopic Banding"/>
    <n v="257496.48"/>
    <s v="Hdfc Ergo"/>
    <s v="Disputed"/>
    <s v="Admitted"/>
  </r>
  <r>
    <s v="HOSP-10165"/>
    <s v="Priya Mehta"/>
    <n v="43"/>
    <x v="0"/>
    <s v="Bangalore"/>
    <s v="General Medicine"/>
    <s v="Dr.Atul Gogia"/>
    <d v="2025-12-27T00:00:00"/>
    <d v="2025-12-31T00:00:00"/>
    <s v="Type 2 Diabetes Uncontrolled"/>
    <s v="Insulin Titration"/>
    <n v="328694.76"/>
    <s v="Star Health"/>
    <s v="Paid"/>
    <s v="Discharged Against Medical Advice"/>
  </r>
  <r>
    <s v="HOSP-10167"/>
    <s v="Unknown"/>
    <n v="18"/>
    <x v="1"/>
    <s v="Pune"/>
    <s v="Pediatrics"/>
    <s v="Dr.Arvind Bagga"/>
    <d v="2025-03-28T00:00:00"/>
    <d v="2025-04-01T00:00:00"/>
    <s v="Unknown"/>
    <s v="Phototherapy"/>
    <n v="219135.3"/>
    <s v="Star Health"/>
    <s v="Paid"/>
    <s v="Expired"/>
  </r>
  <r>
    <s v="HOSP-10168"/>
    <s v="Ananya Joshi"/>
    <n v="85"/>
    <x v="0"/>
    <s v="Hyderabad"/>
    <s v="Oncology"/>
    <s v="Dr.Harit Chaturvedi"/>
    <d v="2025-04-03T00:00:00"/>
    <d v="2025-03-20T00:00:00"/>
    <s v="Breast Carcinoma"/>
    <s v="Chemotherapy &amp; Lumpectomy"/>
    <n v="129775.24"/>
    <s v="Max Bupa"/>
    <s v="Disputed"/>
    <s v="Discharged"/>
  </r>
  <r>
    <s v="HOSP-10169"/>
    <s v="Ramesh Sharma"/>
    <n v="83"/>
    <x v="1"/>
    <s v="Chandigarh"/>
    <s v="Neurology"/>
    <s v="Dr.Mukul Varma"/>
    <d v="2025-05-01T00:00:00"/>
    <d v="2025-05-06T00:00:00"/>
    <s v="Parkinson'S Disease"/>
    <s v="Levodopa Therapy"/>
    <n v="41341.620000000003"/>
    <s v="None"/>
    <s v="Disputed"/>
    <s v="Discharged"/>
  </r>
  <r>
    <s v="HOSP-10170"/>
    <s v="Kavita Reddy"/>
    <n v="81"/>
    <x v="0"/>
    <s v="Hyderabad"/>
    <s v="Gastroenterology"/>
    <s v="Dr.Randhir Sud"/>
    <d v="2025-01-05T00:00:00"/>
    <d v="2025-01-08T00:00:00"/>
    <s v="Peptic Ulcer Bleeding"/>
    <s v="Endoscopic Banding"/>
    <n v="146620.88"/>
    <s v="None / Self Pay"/>
    <s v="Disputed"/>
    <s v="Discharged Against Medical Advice"/>
  </r>
  <r>
    <s v="HOSP-1172"/>
    <s v="Aditya Nair"/>
    <n v="18"/>
    <x v="1"/>
    <s v="Jaipur"/>
    <s v="Pediatrics"/>
    <s v="Dr.Arvind Bagga"/>
    <d v="2025-07-16T00:00:00"/>
    <d v="2025-07-26T00:00:00"/>
    <s v="Viral Gastroenteritis"/>
    <s v="Iv Fluids &amp; Electrolytes"/>
    <n v="47162.34"/>
    <s v="Max Bupa"/>
    <s v="Claim Processing"/>
    <s v="Discharged"/>
  </r>
  <r>
    <s v="HOSP-10173"/>
    <s v="Rohan Patel"/>
    <n v="18"/>
    <x v="1"/>
    <s v="Delhi"/>
    <s v="Neurology"/>
    <s v="Dr.P. N. Renjen"/>
    <d v="2025-07-01T00:00:00"/>
    <d v="2025-07-09T00:00:00"/>
    <s v="Acute Ischemic Stroke"/>
    <s v="Tpa Therapy"/>
    <n v="61086.32"/>
    <s v="Hdfc Ergo"/>
    <s v="Partially Paid"/>
    <s v="Expired"/>
  </r>
  <r>
    <s v="HOSP-10174"/>
    <s v="Unknown"/>
    <n v="39"/>
    <x v="1"/>
    <s v="Pune"/>
    <s v="Orthopedics"/>
    <s v="Dr.Harshavardhan Hegde"/>
    <d v="2025-01-11T00:00:00"/>
    <d v="2025-12-01T00:00:00"/>
    <s v="Rotator Cuff Tear"/>
    <s v="Arthroscopic Repair"/>
    <n v="296960.7"/>
    <s v="None"/>
    <s v="Paid"/>
    <s v="Expired"/>
  </r>
  <r>
    <s v="HOSP-1175"/>
    <s v="Rohan Joshi"/>
    <n v="71"/>
    <x v="1"/>
    <s v="Jaipur"/>
    <s v="Orthopedics"/>
    <s v="Dr.Harshavardhan Hegde"/>
    <d v="2025-04-10T00:00:00"/>
    <d v="2025-12-23T00:00:00"/>
    <s v="Rotator Cuff Tear"/>
    <s v="Arthroscopic Repair"/>
    <n v="145643.35999999999"/>
    <s v="None / Self Pay"/>
    <s v="Pending"/>
    <s v="Admitted"/>
  </r>
  <r>
    <s v="HOSP-10176"/>
    <s v="Manoj Bose"/>
    <n v="7"/>
    <x v="1"/>
    <s v="Chennai"/>
    <s v="Oncology"/>
    <s v="Dr.Suresh Advani"/>
    <d v="2025-03-05T00:00:00"/>
    <d v="2025-03-07T00:00:00"/>
    <s v="Colorectal Cancer"/>
    <s v="Colectomy"/>
    <n v="122826.86"/>
    <s v="N/A"/>
    <s v="Partially Paid"/>
    <s v="Discharged Against Medical Advice"/>
  </r>
  <r>
    <s v="HOSP-10178"/>
    <s v="Deepak Sharma"/>
    <n v="44"/>
    <x v="1"/>
    <s v="Kolkata"/>
    <s v="General Medicine"/>
    <s v="Dr.Anoop Misra"/>
    <d v="2025-03-06T00:00:00"/>
    <d v="2025-06-11T00:00:00"/>
    <s v="Urinary Tract Infection"/>
    <s v="Antibiotic Course"/>
    <n v="263979.82"/>
    <s v="Max Bupa"/>
    <s v="Disputed"/>
    <s v="Transferred"/>
  </r>
  <r>
    <s v="HOSP-10180"/>
    <s v="Vikram Mehta"/>
    <n v="81"/>
    <x v="1"/>
    <s v="Mumbai"/>
    <s v="Pediatrics"/>
    <s v="Dr.Krishan Chugh"/>
    <d v="2025-04-24T00:00:00"/>
    <d v="2025-12-23T00:00:00"/>
    <s v="Severe Pneumonia"/>
    <s v="Iv Antibiotics"/>
    <n v="240033.83"/>
    <s v="Max Bupa"/>
    <s v="Partially Paid"/>
    <s v="Admitted"/>
  </r>
  <r>
    <s v="HOSP-10181"/>
    <s v="Kabir Nair"/>
    <n v="39"/>
    <x v="1"/>
    <s v="Jaipur"/>
    <s v="Orthopedics"/>
    <s v="Dr.Sks Marya"/>
    <d v="2025-04-10T00:00:00"/>
    <d v="2025-07-18T00:00:00"/>
    <s v="Osteoarthritis Knee"/>
    <s v="Total Knee Replacement"/>
    <n v="72671.100000000006"/>
    <s v="Icici Lombard"/>
    <s v="Paid"/>
    <s v="Transferred"/>
  </r>
  <r>
    <s v="HOSP-10182"/>
    <s v="Priya Nair"/>
    <n v="76"/>
    <x v="0"/>
    <s v="Hyderabad"/>
    <s v="Orthopedics"/>
    <s v="Dr.Sks Marya"/>
    <d v="2025-04-10T00:00:00"/>
    <d v="2025-12-23T00:00:00"/>
    <s v="Femur Fracture"/>
    <s v="Internal Fixation"/>
    <n v="337302.75"/>
    <s v="None / Self Pay"/>
    <s v="Pending"/>
    <s v="Admitted"/>
  </r>
  <r>
    <s v="HOSP-10183"/>
    <s v="Ananya Nair"/>
    <n v="88"/>
    <x v="0"/>
    <s v="Delhi"/>
    <s v="Cardiology"/>
    <s v="Dr.Devi Shetty"/>
    <d v="2025-09-25T00:00:00"/>
    <d v="2025-06-10T00:00:00"/>
    <s v="Heart Failure"/>
    <s v="Ace Inhibitors &amp; Diuretics"/>
    <n v="335905.47"/>
    <s v="Unknown"/>
    <s v="Disputed"/>
    <s v="Transferred"/>
  </r>
  <r>
    <s v="HOSP-117"/>
    <s v="Rajesh Singh"/>
    <n v="12"/>
    <x v="1"/>
    <s v="Bangalore"/>
    <s v="General Medicine"/>
    <s v="Dr.Anoop Misra"/>
    <d v="2025-06-24T00:00:00"/>
    <d v="2025-12-23T00:00:00"/>
    <s v="Dengue Fever With Thrombocytopenia"/>
    <s v="Platelet Support"/>
    <n v="340229.7"/>
    <s v="Icici Lombard"/>
    <s v="Partially Paid"/>
    <s v="Admitted"/>
  </r>
  <r>
    <s v="HOSP-10185"/>
    <s v="Rohan Verma"/>
    <n v="41"/>
    <x v="1"/>
    <s v="Mumbai"/>
    <s v="Orthopedics"/>
    <s v="Dr.Harshavardhan Hegde"/>
    <d v="2025-04-10T00:00:00"/>
    <d v="2025-11-16T00:00:00"/>
    <s v="Lumbar Spondylosis"/>
    <s v="Spinal Decompression"/>
    <n v="40000"/>
    <s v="N/A"/>
    <s v="Paid"/>
    <s v="Transferred"/>
  </r>
  <r>
    <s v="HOSP-10187"/>
    <s v="Pooja Joshi"/>
    <n v="85"/>
    <x v="0"/>
    <s v="Bangalore"/>
    <s v="Gastroenterology"/>
    <s v="Dr.Randhir Sud"/>
    <d v="2025-09-21T00:00:00"/>
    <d v="2025-10-06T00:00:00"/>
    <s v="Gallstones / Cholecystitis"/>
    <s v="Laparoscopic Cholecystectomy"/>
    <n v="337085.85"/>
    <s v="Hdfc Ergo"/>
    <s v="Paid"/>
    <s v="Discharged"/>
  </r>
  <r>
    <s v="HOSP-10192"/>
    <s v="Kavita Mehta"/>
    <n v="42"/>
    <x v="0"/>
    <s v="Hyderabad"/>
    <s v="Neurology"/>
    <s v="Dr.P. N. Renjen"/>
    <d v="2025-04-10T00:00:00"/>
    <d v="2025-02-15T00:00:00"/>
    <s v="Migraine Chronic"/>
    <s v="Botox Injection &amp; Triptans"/>
    <n v="310615.59999999998"/>
    <s v="Care Health"/>
    <s v="Pending"/>
    <s v="Discharged"/>
  </r>
  <r>
    <s v="HOSP-10193"/>
    <s v="Ramesh Singh"/>
    <n v="22"/>
    <x v="1"/>
    <s v="Kolkata"/>
    <s v="General Medicine"/>
    <s v="Dr.R. K. Singhal"/>
    <d v="2025-10-08T00:00:00"/>
    <d v="2025-10-22T00:00:00"/>
    <s v="Type 2 Diabetes Uncontrolled"/>
    <s v="Insulin Titration"/>
    <n v="348616.66"/>
    <s v="Star Health"/>
    <s v="Pending"/>
    <s v="Discharged"/>
  </r>
  <r>
    <s v="HOSP-10195"/>
    <s v="Kabir Joshi"/>
    <n v="2"/>
    <x v="1"/>
    <s v="Kolkata"/>
    <s v="Orthopedics"/>
    <s v="Dr.Sks Marya"/>
    <d v="2025-12-09T00:00:00"/>
    <d v="2025-12-24T00:00:00"/>
    <s v="Osteoarthritis Knee"/>
    <s v="Total Knee Replacement"/>
    <n v="107724.71"/>
    <s v="Bajaj Allianz"/>
    <s v="Pending"/>
    <s v="Transferred"/>
  </r>
  <r>
    <s v="HOSP-10196"/>
    <s v="Aarav Gupta"/>
    <n v="50"/>
    <x v="1"/>
    <s v="Chennai"/>
    <s v="Neurology"/>
    <s v="Dr.Mukul Varma"/>
    <d v="2025-12-02T00:00:00"/>
    <d v="2025-02-13T00:00:00"/>
    <s v="Epilepsy"/>
    <s v="Anticonvulsant Therapy"/>
    <n v="272521.56"/>
    <s v="Max Bupa"/>
    <s v="Partially Paid"/>
    <s v="Transferred"/>
  </r>
  <r>
    <s v="HOSP-10197"/>
    <s v="Ramesh Joshi"/>
    <n v="62"/>
    <x v="1"/>
    <s v="Delhi"/>
    <s v="Unknown"/>
    <s v="Dr.R. K. Singhal"/>
    <d v="2025-01-02T00:00:00"/>
    <d v="2025-01-13T00:00:00"/>
    <s v="Urinary Tract Infection"/>
    <s v="Unknown"/>
    <n v="88182.91"/>
    <s v="Care Health"/>
    <s v="Paid"/>
    <s v="Discharged"/>
  </r>
  <r>
    <s v="HOSP-10199"/>
    <s v="Aarav Patel"/>
    <n v="27"/>
    <x v="1"/>
    <s v="Chandigarh"/>
    <s v="Gastroenterology"/>
    <s v="Dr.Govind Makharia"/>
    <d v="2025-07-22T00:00:00"/>
    <d v="2025-07-29T00:00:00"/>
    <s v="Peptic Ulcer Bleeding"/>
    <s v="Endoscopic Banding"/>
    <n v="88203.79"/>
    <s v="None"/>
    <s v="Disputed"/>
    <s v="Expired"/>
  </r>
  <r>
    <s v="HOSP-10200"/>
    <s v="Kavita Singh"/>
    <n v="71"/>
    <x v="0"/>
    <s v="Chandigarh"/>
    <s v="Unknown"/>
    <s v="Dr.P. N. Renjen"/>
    <d v="2025-07-01T00:00:00"/>
    <d v="2025-07-19T00:00:00"/>
    <s v="Migraine Chronic"/>
    <s v="Botox Injection &amp; Triptans"/>
    <n v="330817.42"/>
    <s v="Unknown"/>
    <s v="Partially Paid"/>
    <s v="Expired"/>
  </r>
  <r>
    <s v="HOSP-10201"/>
    <s v="Diya Sharma"/>
    <n v="72"/>
    <x v="0"/>
    <s v="Mumbai"/>
    <s v="Orthopedics"/>
    <s v="Dr.Sks Marya"/>
    <d v="2025-11-14T00:00:00"/>
    <d v="2025-11-25T00:00:00"/>
    <s v="Osteoarthritis Knee"/>
    <s v="Total Knee Replacement"/>
    <n v="40000"/>
    <s v="Unknown"/>
    <s v="Pending"/>
    <s v="Discharged Against Medical Advice"/>
  </r>
  <r>
    <s v="HOSP-10203"/>
    <s v="Rohan Singh"/>
    <n v="18"/>
    <x v="1"/>
    <s v="Jaipur"/>
    <s v="General Medicine"/>
    <s v="Dr.R. K. Singhal"/>
    <d v="2025-04-30T00:00:00"/>
    <d v="2025-12-23T00:00:00"/>
    <s v="Type 2 Diabetes Uncontrolled"/>
    <s v="Insulin Titration"/>
    <n v="94965.17"/>
    <s v="None / Self Pay"/>
    <s v="Pending"/>
    <s v="Admitted"/>
  </r>
  <r>
    <s v="HOSP-10204"/>
    <s v="Kabir Nair"/>
    <n v="18"/>
    <x v="1"/>
    <s v="Delhi"/>
    <s v="Oncology"/>
    <s v="Dr.Harit Chaturvedi"/>
    <d v="2025-09-01T00:00:00"/>
    <d v="2025-09-18T00:00:00"/>
    <s v="Lung Adenocarcinoma"/>
    <s v="Targeted Therapy"/>
    <n v="266670.65000000002"/>
    <s v="None / Self Pay"/>
    <s v="Paid"/>
    <s v="Discharged Against Medical Advice"/>
  </r>
  <r>
    <s v="HOSP-10205"/>
    <s v="Aarav Reddy"/>
    <n v="27"/>
    <x v="1"/>
    <s v="Jaipur"/>
    <s v="General Medicine"/>
    <s v="Dr.Unknown"/>
    <d v="2025-06-18T00:00:00"/>
    <d v="2025-12-23T00:00:00"/>
    <s v="Hypertensive Crisis"/>
    <s v="Iv Labetalol"/>
    <n v="52142.03"/>
    <s v="Star Health"/>
    <s v="Claim Processing"/>
    <s v="Admitted"/>
  </r>
  <r>
    <s v="HOSP-10206"/>
    <s v="Priya Joshi"/>
    <n v="52"/>
    <x v="0"/>
    <s v="Hyderabad"/>
    <s v="Cardiology"/>
    <s v="Dr.Ashok Seth"/>
    <d v="2025-10-01T00:00:00"/>
    <d v="2025-12-23T00:00:00"/>
    <s v="Heart Failure"/>
    <s v="Ace Inhibitors &amp; Diuretics"/>
    <n v="101756.58"/>
    <s v="None / Self Pay"/>
    <s v="Paid"/>
    <s v="Admitted"/>
  </r>
  <r>
    <s v="HOSP-10208"/>
    <s v="Priya Iyer"/>
    <n v="160"/>
    <x v="0"/>
    <s v="Ahmedabad"/>
    <s v="Oncology"/>
    <s v="Dr.Harit Chaturvedi"/>
    <d v="2025-12-09T00:00:00"/>
    <d v="2025-12-26T00:00:00"/>
    <s v="Lymphoma"/>
    <s v="R-Chop Regimen"/>
    <n v="41236.160000000003"/>
    <s v="N/A"/>
    <s v="Partially Paid"/>
    <s v="In-Patient"/>
  </r>
  <r>
    <s v="HOSP-10209"/>
    <s v="Meera Reddy"/>
    <n v="47"/>
    <x v="0"/>
    <s v="Pune"/>
    <s v="Pediatrics"/>
    <s v="Dr.Arvind Bagga"/>
    <d v="2025-09-27T00:00:00"/>
    <d v="2025-10-10T00:00:00"/>
    <s v="Viral Gastroenteritis"/>
    <s v="Iv Fluids &amp; Electrolytes"/>
    <n v="224317.54"/>
    <s v="None / Self Pay"/>
    <s v="Pending"/>
    <s v="Expired"/>
  </r>
  <r>
    <s v="HOSP-10210"/>
    <s v="Diya Iyer"/>
    <n v="81"/>
    <x v="0"/>
    <s v="Jaipur"/>
    <s v="Neurology"/>
    <s v="Dr.Mukul Varma"/>
    <d v="2025-07-23T00:00:00"/>
    <d v="2025-08-04T00:00:00"/>
    <s v="Parkinson'S Disease"/>
    <s v="Levodopa Therapy"/>
    <n v="141814.6"/>
    <s v="Max Bupa"/>
    <s v="Claim_Pending"/>
    <s v="Discharged"/>
  </r>
  <r>
    <s v="Unknown"/>
    <s v="Anjali Joshi"/>
    <n v="87"/>
    <x v="0"/>
    <s v="Chandigarh"/>
    <s v="Cardiology"/>
    <s v="Dr.Ashok Seth"/>
    <d v="2025-01-18T00:00:00"/>
    <d v="2025-01-25T00:00:00"/>
    <s v="Heart Failure"/>
    <s v="Ace Inhibitors &amp; Diuretics"/>
    <n v="258112.74"/>
    <s v="None"/>
    <s v="Paid"/>
    <s v="Discharged"/>
  </r>
  <r>
    <s v="HOSP-10212"/>
    <s v="Ananya Gupta"/>
    <n v="16"/>
    <x v="0"/>
    <s v="Jaipur"/>
    <s v="Orthopedics"/>
    <s v="Dr.Ramneek Mahajan"/>
    <d v="2025-11-01T00:00:00"/>
    <d v="2025-12-23T00:00:00"/>
    <s v="Rotator Cuff Tear"/>
    <s v="Arthroscopic Repair"/>
    <n v="255614.72"/>
    <s v="Max Bupa"/>
    <s v="Claim_Pending"/>
    <s v="Admitted"/>
  </r>
  <r>
    <s v="HOSP-10213"/>
    <s v="Aarav Joshi"/>
    <n v="40"/>
    <x v="2"/>
    <s v="Hyderabad"/>
    <s v="Pediatrics"/>
    <s v="Dr.Veena Kalra"/>
    <d v="2025-10-10T00:00:00"/>
    <d v="2025-12-23T00:00:00"/>
    <s v="Neonatal Jaundice"/>
    <s v="Phototherapy"/>
    <n v="317722.57"/>
    <s v="Max Bupa"/>
    <s v="Pending"/>
    <s v="Admitted"/>
  </r>
  <r>
    <s v="HOSP-10214"/>
    <s v="Amit Bose"/>
    <n v="70"/>
    <x v="1"/>
    <s v="Ahmedabad"/>
    <s v="Neurology"/>
    <s v="Dr.Mukul Varma"/>
    <d v="2025-11-01T00:00:00"/>
    <d v="2025-01-15T00:00:00"/>
    <s v="Parkinson'S Disease"/>
    <s v="Levodopa Therapy"/>
    <n v="259754.43"/>
    <s v="Care Health"/>
    <s v="Pending"/>
    <s v="Discharged Against Medical Advice"/>
  </r>
  <r>
    <s v="HOSP-10215"/>
    <s v="Unknown"/>
    <n v="29"/>
    <x v="1"/>
    <s v="Mumbai"/>
    <s v="Cardiology"/>
    <s v="Dr.Naresh Trehan"/>
    <d v="2025-04-04T00:00:00"/>
    <d v="2025-04-07T00:00:00"/>
    <s v="Heart Failure"/>
    <s v="Ace Inhibitors &amp; Diuretics"/>
    <n v="43156.46"/>
    <s v="Bajaj Allianz"/>
    <s v="Disputed"/>
    <s v="Unknown"/>
  </r>
  <r>
    <s v="HOSP-10216"/>
    <s v="Neha Nair"/>
    <n v="69"/>
    <x v="0"/>
    <s v="Chennai"/>
    <s v="Oncology"/>
    <s v="Dr.Vinod Raina"/>
    <d v="2025-04-14T00:00:00"/>
    <d v="2025-12-23T00:00:00"/>
    <s v="Lung Adenocarcinoma"/>
    <s v="Targeted Therapy"/>
    <n v="8472.35"/>
    <s v="Star Health"/>
    <s v="Pending"/>
    <s v="Admitted"/>
  </r>
  <r>
    <s v="HOSP-10217"/>
    <s v="Vikram_Nair"/>
    <n v="6"/>
    <x v="1"/>
    <s v="Delhi"/>
    <s v="Pediatrics"/>
    <s v="Dr.Veena Kalra"/>
    <d v="2025-11-11T00:00:00"/>
    <d v="2025-11-23T00:00:00"/>
    <s v="Severe Pneumonia"/>
    <s v="Iv Antibiotics"/>
    <n v="287606.32"/>
    <s v="Max Bupa"/>
    <s v="Claim Processing"/>
    <s v="Discharged"/>
  </r>
  <r>
    <s v="HOSP-10218"/>
    <s v="Ananya Reddy"/>
    <n v="24"/>
    <x v="0"/>
    <s v="Jaipur"/>
    <s v="Gastroenterology"/>
    <s v="Dr.Govind Makharia"/>
    <d v="2025-04-06T00:00:00"/>
    <d v="2025-12-23T00:00:00"/>
    <s v="Gallstones / Cholecystitis"/>
    <s v="Laparoscopic Cholecystectomy"/>
    <n v="289092.03000000003"/>
    <s v="Icici Lombard"/>
    <s v="Claim Processing"/>
    <s v="Admitted"/>
  </r>
  <r>
    <s v="HOSP-10219"/>
    <s v="Ananya Verma"/>
    <n v="54"/>
    <x v="2"/>
    <s v="Bangalore"/>
    <s v="Gastroenterology"/>
    <s v="Dr.Randhir Sud"/>
    <d v="2025-12-12T00:00:00"/>
    <d v="2025-12-30T00:00:00"/>
    <s v="Liver Cirrhosis"/>
    <s v="Paracentesis &amp; Diuretics"/>
    <n v="33757.449999999997"/>
    <s v="Max Bupa"/>
    <s v="Unpaid"/>
    <s v="Transferred"/>
  </r>
  <r>
    <s v="HOSP-10220"/>
    <s v="Suresh Joshi"/>
    <n v="73"/>
    <x v="1"/>
    <s v="Unknown"/>
    <s v="Pediatrics"/>
    <s v="Dr.Veena Kalra"/>
    <d v="2025-07-13T00:00:00"/>
    <d v="2025-07-25T00:00:00"/>
    <s v="Neonatal Jaundice"/>
    <s v="Phototherapy"/>
    <n v="137604.06"/>
    <s v="Icici Lombard"/>
    <s v="Disputed"/>
    <s v="Discharged Against Medical Advice"/>
  </r>
  <r>
    <s v="HOSP-10222"/>
    <s v="Anita Reddy"/>
    <n v="65"/>
    <x v="0"/>
    <s v="Bangalore"/>
    <s v="Orthopedics"/>
    <s v="Dr.Ramneek Mahajan"/>
    <d v="2025-03-04T00:00:00"/>
    <d v="2025-12-23T00:00:00"/>
    <s v="Rotator Cuff Tear"/>
    <s v="Arthroscopic Repair"/>
    <n v="270774.19"/>
    <s v="None / Self Pay"/>
    <s v="Unknown"/>
    <s v="Admitted"/>
  </r>
  <r>
    <s v="HOSP-10223"/>
    <s v="Diya Mehta"/>
    <n v="65"/>
    <x v="0"/>
    <s v="Jaipur"/>
    <s v="Orthopedics"/>
    <s v="Dr.Sks Marya"/>
    <d v="2025-03-21T00:00:00"/>
    <d v="2025-03-29T00:00:00"/>
    <s v="Lumbar Spondylosis"/>
    <s v="Spinal Decompression"/>
    <n v="337793.92"/>
    <s v="None"/>
    <s v="Disputed"/>
    <s v="Discharged Against Medical Advice"/>
  </r>
  <r>
    <s v="HOSP-10224"/>
    <s v="Anjali Reddy"/>
    <n v="5"/>
    <x v="0"/>
    <s v="Bangalore"/>
    <s v="General Medicine"/>
    <s v="Dr.Unknown"/>
    <d v="2025-12-23T00:00:00"/>
    <d v="2025-12-23T00:00:00"/>
    <s v="Dengue Fever With Thrombocytopenia"/>
    <s v="Platelet Support"/>
    <n v="288515.28999999998"/>
    <s v="Hdfc Ergo"/>
    <s v="Claim Processing"/>
    <s v="Admitted"/>
  </r>
  <r>
    <s v="HOSP-10225"/>
    <s v="Vikram Nair"/>
    <n v="16"/>
    <x v="1"/>
    <s v="Hyderabad"/>
    <s v="General Medicine"/>
    <s v="Dr.Anoop Misra"/>
    <d v="2025-07-13T00:00:00"/>
    <d v="2025-07-22T00:00:00"/>
    <s v="Urinary Tract Infection"/>
    <s v="Antibiotic Course"/>
    <n v="330046.03999999998"/>
    <s v="Icici Lombard"/>
    <s v="Disputed"/>
    <s v="Discharged"/>
  </r>
  <r>
    <s v="HOSP-10226"/>
    <s v="Meera Joshi"/>
    <n v="31"/>
    <x v="0"/>
    <s v="Ahmedabad"/>
    <s v="General Medicine"/>
    <s v="Dr.Atul Gogia"/>
    <d v="2025-04-10T00:00:00"/>
    <d v="2025-12-23T00:00:00"/>
    <s v="Type 2 Diabetes Uncontrolled"/>
    <s v="Insulin Titration"/>
    <n v="64734.19"/>
    <s v="Max Bupa"/>
    <s v="Pending"/>
    <s v="Admitted"/>
  </r>
  <r>
    <s v="HOSP-10227"/>
    <s v="Amit Nair"/>
    <n v="84"/>
    <x v="1"/>
    <s v="Delhi"/>
    <s v="Pediatrics"/>
    <s v="Dr.Veena Kalra"/>
    <d v="2025-01-10T00:00:00"/>
    <d v="2025-01-11T00:00:00"/>
    <s v="Unknown"/>
    <s v="Iv Antibiotics"/>
    <n v="340459.81"/>
    <s v="Hdfc Ergo"/>
    <s v="Disputed"/>
    <s v="Discharged"/>
  </r>
  <r>
    <s v="HOSP-10228"/>
    <s v="Manoj Kumar"/>
    <n v="63"/>
    <x v="1"/>
    <s v="Mumbai"/>
    <s v="Oncology"/>
    <s v="Dr.Suresh Advani"/>
    <d v="2025-06-10T00:00:00"/>
    <d v="2025-12-23T00:00:00"/>
    <s v="Lung Adenocarcinoma"/>
    <s v="Targeted Therapy"/>
    <n v="82982.5"/>
    <s v="Bajaj Allianz"/>
    <s v="Paid"/>
    <s v="Unknown"/>
  </r>
  <r>
    <s v="HOSP-10229"/>
    <s v="Suresh Joshi"/>
    <n v="40"/>
    <x v="1"/>
    <s v="Hyderabad"/>
    <s v="General Medicine"/>
    <s v="Dr.Anoop Misra"/>
    <d v="2025-05-06T00:00:00"/>
    <d v="2025-12-23T00:00:00"/>
    <s v="Urinary Tract Infection"/>
    <s v="Antibiotic Course"/>
    <n v="99999999"/>
    <s v="Hdfc Ergo"/>
    <s v="Disputed"/>
    <s v="Admitted"/>
  </r>
  <r>
    <s v="HOSP-10230"/>
    <s v="Pooja Patel"/>
    <n v="64"/>
    <x v="2"/>
    <s v="Hyderabad"/>
    <s v="Neurology"/>
    <s v="Dr.P. N. Renjen"/>
    <d v="2025-05-02T00:00:00"/>
    <d v="2025-02-19T00:00:00"/>
    <s v="Acute Ischemic Stroke"/>
    <s v="Tpa Therapy"/>
    <n v="324747.28000000003"/>
    <s v="Icici Lombard"/>
    <s v="Pending"/>
    <s v="Transferred"/>
  </r>
  <r>
    <s v="HOSP-10231"/>
    <s v="Aditya Singh"/>
    <n v="43"/>
    <x v="1"/>
    <s v="Delhi"/>
    <s v="General Medicine"/>
    <s v="Dr.R. K. Singhal"/>
    <d v="2025-01-02T00:00:00"/>
    <d v="2025-01-03T00:00:00"/>
    <s v="Type 2 Diabetes Uncontrolled"/>
    <s v="Insulin Titration"/>
    <n v="40000"/>
    <s v="None / Self Pay"/>
    <s v="Claim Processing"/>
    <s v="Discharged"/>
  </r>
  <r>
    <s v="HOSP-10234"/>
    <s v="Anjali Nair"/>
    <n v="8"/>
    <x v="0"/>
    <s v="Chennai"/>
    <s v="Pediatrics"/>
    <s v="Dr.Arvind Bagga"/>
    <d v="2025-11-17T00:00:00"/>
    <d v="2025-12-23T00:00:00"/>
    <s v="Severe Pneumonia"/>
    <s v="Iv Antibiotics"/>
    <n v="-287384.84000000003"/>
    <s v="Icici Lombard"/>
    <s v="Paid"/>
    <s v="Expired"/>
  </r>
  <r>
    <s v="HOSP-10235"/>
    <s v="Unknown"/>
    <n v="83"/>
    <x v="0"/>
    <s v="Ahmedabad"/>
    <s v="Pediatrics"/>
    <s v="Dr.Krishan Chugh"/>
    <d v="2025-01-29T00:00:00"/>
    <d v="2025-02-13T00:00:00"/>
    <s v="Acute Bronchiolitis"/>
    <s v="Nebulization &amp; O2 Support"/>
    <n v="339754.62"/>
    <s v="Bajaj Allianz"/>
    <s v="Claim Processing"/>
    <s v="Expired"/>
  </r>
  <r>
    <s v="HOSP-10237"/>
    <s v="Priya Mehta"/>
    <n v="57"/>
    <x v="0"/>
    <s v="Chandigarh"/>
    <s v="Unknown"/>
    <s v="Dr.Unknown"/>
    <d v="2025-08-26T00:00:00"/>
    <d v="2025-09-08T00:00:00"/>
    <s v="Heart Failure"/>
    <s v="Ace Inhibitors &amp; Diuretics"/>
    <n v="293518.03000000003"/>
    <s v="Icici Lombard"/>
    <s v="Disputed"/>
    <s v="Transferred"/>
  </r>
  <r>
    <s v="HOSP-10238"/>
    <s v="Unknown"/>
    <n v="86"/>
    <x v="0"/>
    <s v="Delhi"/>
    <s v="Oncology"/>
    <s v="Dr.Harit Chaturvedi"/>
    <d v="2025-02-28T00:00:00"/>
    <d v="2025-03-18T00:00:00"/>
    <s v="Lymphoma"/>
    <s v="R-Chop Regimen"/>
    <n v="114030.49"/>
    <s v="Max Bupa"/>
    <s v="Partially Paid"/>
    <s v="Discharged Against Medical Advice"/>
  </r>
  <r>
    <s v="HOSP-10240"/>
    <s v="Ananya Nair"/>
    <n v="52"/>
    <x v="0"/>
    <s v="Hyderabad"/>
    <s v="Orthopedics"/>
    <s v="Dr.Ramneek Mahajan"/>
    <d v="2025-08-21T00:00:00"/>
    <d v="2025-08-28T00:00:00"/>
    <s v="Lumbar Spondylosis"/>
    <s v="Spinal Decompression"/>
    <n v="266163.46999999997"/>
    <s v="None / Self Pay"/>
    <s v="Pending"/>
    <s v="Expired"/>
  </r>
  <r>
    <s v="HOSP-10241"/>
    <s v="Ramesh Bose"/>
    <n v="32"/>
    <x v="1"/>
    <s v="Chennai"/>
    <s v="Gastroenterology"/>
    <s v="Dr.Subhash Gupta"/>
    <d v="2025-09-12T00:00:00"/>
    <d v="2025-12-23T00:00:00"/>
    <s v="Gallstones / Cholecystitis"/>
    <s v="Laparoscopic Cholecystectomy"/>
    <n v="306146.28999999998"/>
    <s v="Hdfc Ergo"/>
    <s v="Claim_Pending"/>
    <s v="Admitted"/>
  </r>
  <r>
    <s v="HOSP-10242"/>
    <s v="Pooja Gupta"/>
    <n v="38"/>
    <x v="0"/>
    <s v="Chennai"/>
    <s v="Neurology"/>
    <s v="Dr.Sushil Razdan"/>
    <d v="2025-12-12T00:00:00"/>
    <d v="2025-12-23T00:00:00"/>
    <s v="Migraine Chronic"/>
    <s v="Botox Injection &amp; Triptans"/>
    <n v="165780.85"/>
    <s v="Max Bupa"/>
    <s v="Disputed"/>
    <s v="Transferred"/>
  </r>
  <r>
    <s v="HOSP-126"/>
    <s v="Pooja Gupta"/>
    <n v="45"/>
    <x v="0"/>
    <s v="Mumbai"/>
    <s v="Neurology"/>
    <s v="Dr.Sushil Razdan"/>
    <d v="2025-03-15T00:00:00"/>
    <d v="2025-03-22T00:00:00"/>
    <s v="Parkinson'S Disease"/>
    <s v="Levodopa Therapy"/>
    <n v="293503.23"/>
    <s v="Hdfc Ergo"/>
    <s v="Partially Paid"/>
    <s v="Expired"/>
  </r>
  <r>
    <s v="HOSP-10244"/>
    <s v="Aditya Patel"/>
    <n v="49"/>
    <x v="1"/>
    <s v="Kolkata"/>
    <s v="General Medicine"/>
    <s v="Dr.Anoop Misra"/>
    <d v="2025-04-10T00:00:00"/>
    <d v="2025-11-04T00:00:00"/>
    <s v="Dengue Fever With Thrombocytopenia"/>
    <s v="Platelet Support"/>
    <n v="28693.03"/>
    <s v="Care Health"/>
    <s v="Paid"/>
    <s v="Discharged"/>
  </r>
  <r>
    <s v="HOSP-10245"/>
    <s v="Sneha Kumar"/>
    <n v="60"/>
    <x v="0"/>
    <s v="Jaipur"/>
    <s v="Cardiology"/>
    <s v="Dr.Ashok Seth"/>
    <d v="2025-03-08T00:00:00"/>
    <d v="2025-03-10T00:00:00"/>
    <s v="Coronary Artery Disease"/>
    <s v="Angioplasty"/>
    <n v="28640.639999999999"/>
    <s v="None / Self Pay"/>
    <s v="Disputed"/>
    <s v="Discharged"/>
  </r>
  <r>
    <s v="HOSP-10248"/>
    <s v="Aditya Singh"/>
    <n v="42"/>
    <x v="1"/>
    <s v="Ahmedabad"/>
    <s v="Pediatrics"/>
    <s v="Dr.Krishan Chugh"/>
    <d v="2025-08-10T00:00:00"/>
    <d v="2025-12-23T00:00:00"/>
    <s v="Severe Pneumonia"/>
    <s v="Iv Antibiotics"/>
    <n v="218046.64"/>
    <s v="Hdfc Ergo"/>
    <s v="Partially Paid"/>
    <s v="Admitted"/>
  </r>
  <r>
    <s v="HOSP-10249"/>
    <s v="Aditya Mehta"/>
    <n v="69"/>
    <x v="1"/>
    <s v="Pune"/>
    <s v="General Medicine"/>
    <s v="Dr.Anoop Misra"/>
    <d v="2025-04-20T00:00:00"/>
    <d v="2025-08-05T00:00:00"/>
    <s v="Type 2 Diabetes Uncontrolled"/>
    <s v="Insulin Titration"/>
    <n v="40000"/>
    <s v="Hdfc Ergo"/>
    <s v="Pending"/>
    <s v="Expired"/>
  </r>
  <r>
    <s v="HOSP-10250"/>
    <s v="Vihaan Joshi"/>
    <n v="8"/>
    <x v="1"/>
    <s v="Hyderabad"/>
    <s v="Oncology"/>
    <s v="Dr.Harit Chaturvedi"/>
    <d v="2025-02-10T00:00:00"/>
    <d v="2025-02-22T00:00:00"/>
    <s v="Breast Carcinoma"/>
    <s v="Chemotherapy &amp; Lumpectomy"/>
    <n v="213386.28"/>
    <s v="None"/>
    <s v="Partially Paid"/>
    <s v="Transferred"/>
  </r>
  <r>
    <s v="HOSP-10252"/>
    <s v="Diya Verma"/>
    <n v="68"/>
    <x v="0"/>
    <s v="Pune"/>
    <s v="Oncology"/>
    <s v="Dr.Suresh Advani"/>
    <d v="2025-02-22T00:00:00"/>
    <d v="2025-03-05T00:00:00"/>
    <s v="Breast Carcinoma"/>
    <s v="Chemotherapy &amp; Lumpectomy"/>
    <n v="114914.67"/>
    <s v="Bajaj Allianz"/>
    <s v="Pending"/>
    <s v="Discharged Against Medical Advice"/>
  </r>
  <r>
    <s v="HOSP-10253"/>
    <s v="Rajesh Mehta"/>
    <n v="2"/>
    <x v="1"/>
    <s v="Hyderabad"/>
    <s v="Cardiology"/>
    <s v="Dr.Naresh Trehan"/>
    <d v="2025-09-05T00:00:00"/>
    <d v="2025-09-21T00:00:00"/>
    <s v="Coronary Artery Disease"/>
    <s v="Angioplasty"/>
    <n v="167818.16"/>
    <s v="Hdfc Ergo"/>
    <s v="Claim Processing"/>
    <s v="Unknown"/>
  </r>
  <r>
    <s v="HOSP-10254"/>
    <s v="Vihaan Bose"/>
    <n v="31"/>
    <x v="2"/>
    <s v="Pune"/>
    <s v="General Medicine"/>
    <s v="Dr.Atul Gogia"/>
    <d v="2025-02-02T00:00:00"/>
    <d v="2025-12-23T00:00:00"/>
    <s v="Dengue Fever With Thrombocytopenia"/>
    <s v="Unknown"/>
    <n v="47432.59"/>
    <s v="Care Health"/>
    <s v="Disputed"/>
    <s v="Discharged"/>
  </r>
  <r>
    <s v="HOSP-10256"/>
    <s v="Vihaan Iyer"/>
    <n v="55"/>
    <x v="1"/>
    <s v="Jaipur"/>
    <s v="Gastroenterology"/>
    <s v="Dr.Govind Makharia"/>
    <d v="2025-07-26T00:00:00"/>
    <d v="2025-07-29T00:00:00"/>
    <s v="Liver Cirrhosis"/>
    <s v="Paracentesis &amp; Diuretics"/>
    <n v="110914.54"/>
    <s v="Star Health"/>
    <s v="Disputed"/>
    <s v="Discharged"/>
  </r>
  <r>
    <s v="HOSP-10258"/>
    <s v="Anita Patel"/>
    <n v="31"/>
    <x v="0"/>
    <s v="Hyderabad"/>
    <s v="Cardiology"/>
    <s v="Dr.Devi Shetty"/>
    <d v="2025-04-17T00:00:00"/>
    <d v="2025-04-24T00:00:00"/>
    <s v="Coronary Artery Disease"/>
    <s v="Angioplasty"/>
    <n v="161347.78"/>
    <s v="Star Health"/>
    <s v="Disputed"/>
    <s v="Expired"/>
  </r>
  <r>
    <s v="HOSP-10259"/>
    <s v="Amit Verma"/>
    <n v="57"/>
    <x v="1"/>
    <s v="Chennai"/>
    <s v="Oncology"/>
    <s v="Dr.Suresh Advani"/>
    <d v="2025-03-01T00:00:00"/>
    <d v="2025-01-05T00:00:00"/>
    <s v="Lung Adenocarcinoma"/>
    <s v="Targeted Therapy"/>
    <n v="138047.97"/>
    <s v="Max Bupa"/>
    <s v="Claim Processing"/>
    <s v="Discharged"/>
  </r>
  <r>
    <s v="HOSP-10260"/>
    <s v="Deepak Nair"/>
    <n v="35"/>
    <x v="1"/>
    <s v="Chennai"/>
    <s v="Neurology"/>
    <s v="Dr.P. N. Renjen"/>
    <d v="2025-07-15T00:00:00"/>
    <d v="2025-07-25T00:00:00"/>
    <s v="Migraine Chronic"/>
    <s v="Botox Injection &amp; Triptans"/>
    <n v="307451.11"/>
    <s v="None / Self Pay"/>
    <s v="Pending"/>
    <s v="Discharged Against Medical Advice"/>
  </r>
  <r>
    <s v="HOSP-10264"/>
    <s v="Amit Kumar"/>
    <n v="66"/>
    <x v="1"/>
    <s v="Chandigarh"/>
    <s v="Neurology"/>
    <s v="Dr.P. N. Renjen"/>
    <d v="2025-12-16T00:00:00"/>
    <d v="2025-12-23T00:00:00"/>
    <s v="Acute Ischemic Stroke"/>
    <s v="Tpa Therapy"/>
    <n v="40000"/>
    <s v="None / Self Pay"/>
    <s v="Paid"/>
    <s v="Admitted"/>
  </r>
  <r>
    <s v="HOSP-140"/>
    <s v="Deepak Singh"/>
    <n v="10"/>
    <x v="1"/>
    <s v="Bombay"/>
    <s v="Cardiology"/>
    <s v="Dr.Naresh Trehan"/>
    <d v="2025-05-12T00:00:00"/>
    <d v="2025-12-16T00:00:00"/>
    <s v="Unknown"/>
    <s v="Angioplasty"/>
    <n v="337690.34"/>
    <s v="None"/>
    <s v="Pending"/>
    <s v="Discharged"/>
  </r>
  <r>
    <s v="HOSP-10266"/>
    <s v="Priya Sharma"/>
    <n v="64"/>
    <x v="0"/>
    <s v="Pune"/>
    <s v="Oncology"/>
    <s v="Dr.Vinod Raina"/>
    <d v="2025-12-16T00:00:00"/>
    <d v="2025-12-21T00:00:00"/>
    <s v="Breast Carcinoma"/>
    <s v="Chemotherapy &amp; Lumpectomy"/>
    <n v="81267.360000000001"/>
    <s v="Star Health"/>
    <s v="Unpaid"/>
    <s v="Discharged Against Medical Advice"/>
  </r>
  <r>
    <s v="HOSP-10267"/>
    <s v="Anita Joshi"/>
    <n v="12"/>
    <x v="0"/>
    <s v="Jaipur"/>
    <s v="General Medicine"/>
    <s v="Dr.Atul Gogia"/>
    <d v="2025-01-11T00:00:00"/>
    <d v="2025-01-13T00:00:00"/>
    <s v="Urinary Tract Infection"/>
    <s v="Antibiotic Course"/>
    <n v="197038.65"/>
    <s v="Star Health"/>
    <s v="Pending"/>
    <s v="Discharged"/>
  </r>
  <r>
    <s v="HOSP-10268"/>
    <s v="Vikram Joshi"/>
    <n v="72"/>
    <x v="1"/>
    <s v="Chennai"/>
    <s v="Gastroenterology"/>
    <s v="Dr.Govind Makharia"/>
    <d v="2025-01-02T00:00:00"/>
    <d v="2025-12-23T00:00:00"/>
    <s v="Gallstones / Cholecystitis"/>
    <s v="Laparoscopic Cholecystectomy"/>
    <n v="68996.850000000006"/>
    <s v="Care Health"/>
    <s v="Pending"/>
    <s v="Admitted"/>
  </r>
  <r>
    <s v="HOSP-10269"/>
    <s v="Ramesh Iyer"/>
    <n v="34"/>
    <x v="1"/>
    <s v="Chandigarh"/>
    <s v="Orthopedics"/>
    <s v="Dr.Sks Marya"/>
    <d v="2025-03-20T00:00:00"/>
    <d v="2025-03-23T00:00:00"/>
    <s v="Rotator Cuff Tear"/>
    <s v="Arthroscopic Repair"/>
    <n v="53213.08"/>
    <s v="Star Health"/>
    <s v="Claim Processing"/>
    <s v="Expired"/>
  </r>
  <r>
    <s v="HOSP-10270"/>
    <s v="Vihaan Gupta"/>
    <n v="45"/>
    <x v="1"/>
    <s v="Chennai"/>
    <s v="Neurology"/>
    <s v="Dr.P. N. Renjen"/>
    <d v="2025-04-09T00:00:00"/>
    <d v="2025-09-20T00:00:00"/>
    <s v="Parkinson'S Disease"/>
    <s v="Levodopa Therapy"/>
    <n v="280669.32"/>
    <s v="Hdfc Ergo"/>
    <s v="Paid"/>
    <s v="Expired"/>
  </r>
  <r>
    <s v="HOSP-10271"/>
    <s v="Ramesh Sharma"/>
    <n v="31"/>
    <x v="1"/>
    <s v="Delhi"/>
    <s v="Orthopedics"/>
    <s v="Dr.Ramneek Mahajan"/>
    <d v="2025-04-04T00:00:00"/>
    <d v="2025-12-23T00:00:00"/>
    <s v="Rotator Cuff Tear"/>
    <s v="Arthroscopic Repair"/>
    <n v="260700.39"/>
    <s v="Max Bupa"/>
    <s v="Partially Paid"/>
    <s v="Transferred"/>
  </r>
  <r>
    <s v="HOSP-10272"/>
    <s v="Manoj Kumar"/>
    <n v="31"/>
    <x v="1"/>
    <s v="Kolkata"/>
    <s v="Pediatrics"/>
    <s v="Dr.Arvind Bagga"/>
    <d v="2025-07-11T00:00:00"/>
    <d v="2025-12-23T00:00:00"/>
    <s v="Unknown"/>
    <s v="Iv Antibiotics"/>
    <n v="270122.58"/>
    <s v="Max Bupa"/>
    <s v="Claim Processing"/>
    <s v="Expired"/>
  </r>
  <r>
    <s v="HOSP-10273"/>
    <s v="Vikram Gupta"/>
    <n v="28"/>
    <x v="1"/>
    <s v="Delhi"/>
    <s v="Cardiology"/>
    <s v="Dr.Ashok Seth"/>
    <d v="2025-02-24T00:00:00"/>
    <d v="2025-03-10T00:00:00"/>
    <s v="Myocardial Infarction"/>
    <s v="Thrombolysis"/>
    <n v="57284.61"/>
    <s v="Icici Lombard"/>
    <s v="Paid"/>
    <s v="Discharged"/>
  </r>
  <r>
    <s v="HOSP-10275"/>
    <s v="Neha Gupta"/>
    <n v="9"/>
    <x v="0"/>
    <s v="Ahmedabad"/>
    <s v="Gastroenterology"/>
    <s v="Dr.Subhash Gupta"/>
    <d v="2025-08-13T00:00:00"/>
    <d v="2025-08-21T00:00:00"/>
    <s v="Gallstones / Cholecystitis"/>
    <s v="Laparoscopic Cholecystectomy"/>
    <n v="256236.26"/>
    <s v="Hdfc Ergo"/>
    <s v="Pending"/>
    <s v="Transferred"/>
  </r>
  <r>
    <s v="HOSP-10277"/>
    <s v="Kavita Nair"/>
    <n v="68"/>
    <x v="0"/>
    <s v="Pune"/>
    <s v="Neurology"/>
    <s v="Dr.Sushil Razdan"/>
    <d v="2025-03-04T00:00:00"/>
    <d v="2025-03-17T00:00:00"/>
    <s v="Epilepsy"/>
    <s v="Anticonvulsant Therapy"/>
    <n v="185996.43"/>
    <s v="Icici Lombard"/>
    <s v="Paid"/>
    <s v="Discharged Against Medical Advice"/>
  </r>
  <r>
    <s v="HOSP-10278"/>
    <s v="Kabir Patel"/>
    <n v="21"/>
    <x v="1"/>
    <s v="Jaipur"/>
    <s v="Gastroenterology"/>
    <s v="Dr.Randhir Sud"/>
    <d v="2025-01-11T00:00:00"/>
    <d v="2025-01-18T00:00:00"/>
    <s v="Liver Cirrhosis"/>
    <s v="Paracentesis &amp; Diuretics"/>
    <n v="215957.52"/>
    <s v="Star Health"/>
    <s v="Pending"/>
    <s v="Discharged Against Medical Advice"/>
  </r>
  <r>
    <s v="HOSP-10279"/>
    <s v="Aditya Verma"/>
    <n v="85"/>
    <x v="1"/>
    <s v="Ahmedabad"/>
    <s v="Orthopedics"/>
    <s v="Dr.Ramneek Mahajan"/>
    <d v="2025-11-24T00:00:00"/>
    <d v="2025-11-12T00:00:00"/>
    <s v="Osteoarthritis Knee"/>
    <s v="Total Knee Replacement"/>
    <n v="222845.48"/>
    <s v="Star Health"/>
    <s v="Claim Processing"/>
    <s v="Discharged Against Medical Advice"/>
  </r>
  <r>
    <s v="HOSP-10280"/>
    <s v="Kabir Nair"/>
    <n v="53"/>
    <x v="1"/>
    <s v="Jaipur"/>
    <s v="Gastroenterology"/>
    <s v="Dr.Subhash Gupta"/>
    <d v="2025-12-11T00:00:00"/>
    <d v="2025-12-24T00:00:00"/>
    <s v="Acute Pancreatitis"/>
    <s v="Conservative Management"/>
    <n v="263822.09000000003"/>
    <s v="Icici Lombard"/>
    <s v="Disputed"/>
    <s v="Transferred"/>
  </r>
  <r>
    <s v="HOSP-10281"/>
    <s v="Kavita Joshi"/>
    <n v="42"/>
    <x v="0"/>
    <s v="Chandigarh"/>
    <s v="Gastroenterology"/>
    <s v="Dr.Subhash Gupta"/>
    <d v="2025-07-07T00:00:00"/>
    <d v="2025-07-09T00:00:00"/>
    <s v="Unknown"/>
    <s v="Laparoscopic Cholecystectomy"/>
    <n v="104636.58"/>
    <s v="Icici Lombard"/>
    <s v="Paid"/>
    <s v="Discharged"/>
  </r>
  <r>
    <s v="HOSP-10282"/>
    <s v="Meera Mehta"/>
    <n v="43"/>
    <x v="0"/>
    <s v="Unknown"/>
    <s v="General Medicine"/>
    <s v="Dr.R. K. Singhal"/>
    <d v="2025-08-20T00:00:00"/>
    <d v="2025-08-24T00:00:00"/>
    <s v="Dengue Fever With Thrombocytopenia"/>
    <s v="Platelet Support"/>
    <n v="28616.080000000002"/>
    <s v="None / Self Pay"/>
    <s v="Claim Processing"/>
    <s v="Discharged"/>
  </r>
  <r>
    <s v="HOSP-10283"/>
    <s v="Sunita_Joshi"/>
    <n v="65"/>
    <x v="0"/>
    <s v="Ahmedabad"/>
    <s v="General Medicine"/>
    <s v="Dr.Atul Gogia"/>
    <d v="2025-10-14T00:00:00"/>
    <d v="2025-10-27T00:00:00"/>
    <s v="Urinary Tract Infection"/>
    <s v="Antibiotic Course"/>
    <n v="213497.15"/>
    <s v="Hdfc Ergo"/>
    <s v="Disputed"/>
    <s v="Transferred"/>
  </r>
  <r>
    <s v="HOSP-10284"/>
    <s v="Priya Reddy"/>
    <n v="59"/>
    <x v="2"/>
    <s v="Mumbai"/>
    <s v="Neurology"/>
    <s v="Dr.P. N. Renjen"/>
    <d v="2025-01-06T00:00:00"/>
    <d v="2025-06-11T00:00:00"/>
    <s v="Epilepsy"/>
    <s v="Anticonvulsant Therapy"/>
    <n v="40000"/>
    <s v="Care Health"/>
    <s v="Claim Processing"/>
    <s v="Transferred"/>
  </r>
  <r>
    <s v="HOSP-10285"/>
    <s v="Unknown"/>
    <n v="999"/>
    <x v="0"/>
    <s v="Pune"/>
    <s v="Cardiology"/>
    <s v="Dr.Devi Shetty"/>
    <d v="2025-05-29T00:00:00"/>
    <d v="2025-12-23T00:00:00"/>
    <s v="Coronary Artery Disease"/>
    <s v="Angioplasty"/>
    <n v="300360.06"/>
    <s v="Icici Lombard"/>
    <s v="Partially Paid"/>
    <s v="Admitted"/>
  </r>
  <r>
    <s v="HOSP-10286"/>
    <s v="Priya Mehta"/>
    <n v="8"/>
    <x v="0"/>
    <s v="Mumbai"/>
    <s v="Orthopedics"/>
    <s v="Dr.Harshavardhan Hegde"/>
    <d v="2025-10-18T00:00:00"/>
    <d v="2025-12-23T00:00:00"/>
    <s v="Osteoarthritis Knee"/>
    <s v="Total Knee Replacement"/>
    <n v="125286.57"/>
    <s v="Icici Lombard"/>
    <s v="Paid"/>
    <s v="Admitted"/>
  </r>
  <r>
    <s v="HOSP-10288"/>
    <s v="Ritu Verma"/>
    <n v="65"/>
    <x v="0"/>
    <s v="Chandigarh"/>
    <s v="Unknown"/>
    <s v="Dr.Suresh Advani"/>
    <d v="2025-08-03T00:00:00"/>
    <d v="2025-12-23T00:00:00"/>
    <s v="Colorectal Cancer"/>
    <s v="Colectomy"/>
    <n v="-186594.85"/>
    <s v="None / Self Pay"/>
    <s v="Pending"/>
    <s v="Admitted"/>
  </r>
  <r>
    <s v="HOSP-10289"/>
    <s v="Aarav Kumar"/>
    <n v="53"/>
    <x v="1"/>
    <s v="Mumbai"/>
    <s v="Orthopedics"/>
    <s v="Dr.Harshavardhan Hegde"/>
    <d v="2025-11-22T00:00:00"/>
    <d v="2025-11-28T00:00:00"/>
    <s v="Osteoarthritis Knee"/>
    <s v="Total Knee Replacement"/>
    <n v="150874.89000000001"/>
    <s v="Max Bupa"/>
    <s v="Claim Processing"/>
    <s v="Expired"/>
  </r>
  <r>
    <s v="HOSP-10290"/>
    <s v="Aditya Patel"/>
    <n v="16"/>
    <x v="1"/>
    <s v="Mumbai"/>
    <s v="Gastroenterology"/>
    <s v="Dr.Govind Makharia"/>
    <d v="2025-01-07T00:00:00"/>
    <d v="2025-07-07T00:00:00"/>
    <s v="Acute Pancreatitis"/>
    <s v="Conservative Management"/>
    <n v="161842.22"/>
    <s v="N/A"/>
    <s v="Claim_Pending"/>
    <s v="Discharged Against Medical Advice"/>
  </r>
  <r>
    <s v="HOSP-10291"/>
    <s v="Anjali Iyer"/>
    <n v="53"/>
    <x v="0"/>
    <s v="Bangalore"/>
    <s v="Orthopedics"/>
    <s v="Dr.Sks Marya"/>
    <d v="2025-07-04T00:00:00"/>
    <d v="2025-12-23T00:00:00"/>
    <s v="Femur Fracture"/>
    <s v="Internal Fixation"/>
    <n v="40000"/>
    <s v="None"/>
    <s v="Pending"/>
    <s v="Admitted"/>
  </r>
  <r>
    <s v="HOSP-10292"/>
    <s v="Anita Mehta"/>
    <n v="3"/>
    <x v="0"/>
    <s v="Unknown"/>
    <s v="Oncology"/>
    <s v="Dr.Harit Chaturvedi"/>
    <d v="2025-01-11T00:00:00"/>
    <d v="2025-01-21T00:00:00"/>
    <s v="Lymphoma"/>
    <s v="R-Chop Regimen"/>
    <n v="208374.36"/>
    <s v="Hdfc Ergo"/>
    <s v="Disputed"/>
    <s v="Transferred"/>
  </r>
  <r>
    <s v="HOSP-10293"/>
    <s v="Suresh Nair"/>
    <n v="66"/>
    <x v="1"/>
    <s v="Kolkata"/>
    <s v="Cardiology"/>
    <s v="Dr.Ashok Seth"/>
    <d v="2025-03-14T00:00:00"/>
    <d v="2025-04-01T00:00:00"/>
    <s v="Myocardial Infarction"/>
    <s v="Thrombolysis"/>
    <n v="76422.86"/>
    <s v="Care Health"/>
    <s v="Pending"/>
    <s v="Discharged"/>
  </r>
  <r>
    <s v="HOSP-10294"/>
    <s v="Deepak Joshi"/>
    <n v="88"/>
    <x v="1"/>
    <s v="Kolkata"/>
    <s v="Oncology"/>
    <s v="Dr.Vinod Raina"/>
    <d v="2025-08-01T00:00:00"/>
    <d v="2025-08-04T00:00:00"/>
    <s v="Breast Carcinoma"/>
    <s v="Unknown"/>
    <n v="215647.84"/>
    <s v="Star Health"/>
    <s v="Disputed"/>
    <s v="Discharged"/>
  </r>
  <r>
    <s v="HOSP-10296"/>
    <s v="Diya Mehta"/>
    <n v="65"/>
    <x v="0"/>
    <s v="Ahmedabad"/>
    <s v="Orthopedics"/>
    <s v="Dr.Ramneek Mahajan"/>
    <d v="2025-01-17T00:00:00"/>
    <d v="2025-01-22T00:00:00"/>
    <s v="Femur Fracture"/>
    <s v="Internal Fixation"/>
    <n v="92369.02"/>
    <s v="None / Self Pay"/>
    <s v="Disputed"/>
    <s v="Discharged Against Medical Advice"/>
  </r>
  <r>
    <s v="HOSP-10297"/>
    <s v="Diya Mehta"/>
    <n v="33"/>
    <x v="0"/>
    <s v="Chennai"/>
    <s v="Neurology"/>
    <s v="Dr.Sushil Razdan"/>
    <d v="2025-04-03T00:00:00"/>
    <d v="2025-08-04T00:00:00"/>
    <s v="Parkinson'S Disease"/>
    <s v="Levodopa Therapy"/>
    <n v="273508.17"/>
    <s v="Star Health"/>
    <s v="Paid"/>
    <s v="Discharged"/>
  </r>
  <r>
    <s v="HOSP-10298"/>
    <s v="Pooja Verma"/>
    <n v="20"/>
    <x v="0"/>
    <s v="Hyderabad"/>
    <s v="Pediatrics"/>
    <s v="Dr.Krishan Chugh"/>
    <d v="2025-04-10T00:00:00"/>
    <d v="2025-12-23T00:00:00"/>
    <s v="Unknown"/>
    <s v="Iv Fluids &amp; Electrolytes"/>
    <n v="159154.76999999999"/>
    <s v="Bajaj Allianz"/>
    <s v="Disputed"/>
    <s v="Admitted"/>
  </r>
  <r>
    <s v="HOSP-10299"/>
    <s v="Diya Joshi"/>
    <n v="31"/>
    <x v="0"/>
    <s v="Chandigarh"/>
    <s v="Gastroenterology"/>
    <s v="Dr.Govind Makharia"/>
    <d v="2025-06-22T00:00:00"/>
    <d v="2025-12-23T00:00:00"/>
    <s v="Gallstones / Cholecystitis"/>
    <s v="Laparoscopic Cholecystectomy"/>
    <n v="137168.85999999999"/>
    <s v="Hdfc Ergo"/>
    <s v="Disputed"/>
    <s v="Transferred"/>
  </r>
  <r>
    <s v="HOSP-10300"/>
    <s v="Pooja Gupta"/>
    <n v="88"/>
    <x v="0"/>
    <s v="Hyderabad"/>
    <s v="Gastroenterology"/>
    <s v="Dr.Subhash Gupta"/>
    <d v="2025-01-14T00:00:00"/>
    <d v="2025-01-27T00:00:00"/>
    <s v="Gallstones / Cholecystitis"/>
    <s v="Laparoscopic Cholecystectomy"/>
    <n v="99999999"/>
    <s v="Icici Lombard"/>
    <s v="Disputed"/>
    <s v="Expired"/>
  </r>
  <r>
    <s v="HOSP-10301"/>
    <s v="Aarav Gupta"/>
    <n v="160"/>
    <x v="1"/>
    <s v="Ahmedabad"/>
    <s v="General Medicine"/>
    <s v="Dr.Atul Gogia"/>
    <d v="2025-02-11T00:00:00"/>
    <d v="2025-02-25T00:00:00"/>
    <s v="Dengue Fever With Thrombocytopenia"/>
    <s v="Platelet Support"/>
    <n v="-234724.28"/>
    <s v="Icici Lombard"/>
    <s v="Disputed"/>
    <s v="Transferred"/>
  </r>
  <r>
    <s v="HOSP-10302"/>
    <s v="Diya Patel"/>
    <n v="67"/>
    <x v="0"/>
    <s v="Pune"/>
    <s v="Orthopedics"/>
    <s v="Dr.Sks Marya"/>
    <d v="2025-03-28T00:00:00"/>
    <d v="2025-04-03T00:00:00"/>
    <s v="Femur Fracture"/>
    <s v="Internal Fixation"/>
    <n v="330025.55"/>
    <s v="Icici Lombard"/>
    <s v="Pending"/>
    <s v="Transferred"/>
  </r>
  <r>
    <s v="HOSP-10304"/>
    <s v="Diya Nair"/>
    <n v="42"/>
    <x v="0"/>
    <s v="Chandigarh"/>
    <s v="Unknown"/>
    <s v="Dr.Mukul Varma"/>
    <d v="2025-05-29T00:00:00"/>
    <d v="2025-06-16T00:00:00"/>
    <s v="Epilepsy"/>
    <s v="Anticonvulsant Therapy"/>
    <n v="121793.68"/>
    <s v="None"/>
    <s v="Paid"/>
    <s v="Discharged"/>
  </r>
  <r>
    <s v="HOSP-10306"/>
    <s v="Anjali Bose"/>
    <n v="76"/>
    <x v="0"/>
    <s v="Hyderabad"/>
    <s v="Gastroenterology"/>
    <s v="Dr.Subhash Gupta"/>
    <d v="2025-06-02T00:00:00"/>
    <d v="2025-06-09T00:00:00"/>
    <s v="Gallstones / Cholecystitis"/>
    <s v="Laparoscopic Cholecystectomy"/>
    <n v="35097.68"/>
    <s v="Hdfc Ergo"/>
    <s v="Disputed"/>
    <s v="Expired"/>
  </r>
  <r>
    <s v="HOSP-10307"/>
    <s v="Pooja Gupta"/>
    <n v="39"/>
    <x v="0"/>
    <s v="Bangalore"/>
    <s v="General Medicine"/>
    <s v="Dr.R. K. Singhal"/>
    <d v="2025-05-11T00:00:00"/>
    <d v="2025-05-17T00:00:00"/>
    <s v="Urinary Tract Infection"/>
    <s v="Antibiotic Course"/>
    <n v="138020.31"/>
    <s v="Care Health"/>
    <s v="Claim Processing"/>
    <s v="Transferred"/>
  </r>
  <r>
    <s v="HOSP-10308"/>
    <s v="Ananya Iyer"/>
    <n v="45"/>
    <x v="0"/>
    <s v="Kolkata"/>
    <s v="Oncology"/>
    <s v="Dr.Harit Chaturvedi"/>
    <d v="2025-10-02T00:00:00"/>
    <d v="2025-10-18T00:00:00"/>
    <s v="Lung Adenocarcinoma"/>
    <s v="Targeted Therapy"/>
    <n v="346942.33"/>
    <s v="None"/>
    <s v="Claim Processing"/>
    <s v="Discharged Against Medical Advice"/>
  </r>
  <r>
    <s v="HOSP-10309"/>
    <s v="Unknown"/>
    <n v="75"/>
    <x v="1"/>
    <s v="Jaipur"/>
    <s v="Cardiology"/>
    <s v="Dr.Ashok Seth"/>
    <d v="2025-06-06T00:00:00"/>
    <d v="2025-06-02T00:00:00"/>
    <s v="Arrhythmia"/>
    <s v="Pacemaker Implantation"/>
    <n v="-91922.240000000005"/>
    <s v="Hdfc Ergo"/>
    <s v="Disputed"/>
    <s v="Transferred"/>
  </r>
  <r>
    <s v="HOSP-10310"/>
    <s v="Aditya Singh"/>
    <n v="48"/>
    <x v="1"/>
    <s v="Jaipur"/>
    <s v="Neurology"/>
    <s v="Dr.Sushil Razdan"/>
    <d v="2025-10-23T00:00:00"/>
    <d v="2025-11-04T00:00:00"/>
    <s v="Acute Ischemic Stroke"/>
    <s v="Tpa Therapy"/>
    <n v="40000"/>
    <s v="Hdfc Ergo"/>
    <s v="Partially Paid"/>
    <s v="Discharged"/>
  </r>
  <r>
    <s v="HOSP-10312"/>
    <s v="Pooja Reddy"/>
    <n v="72"/>
    <x v="0"/>
    <s v="Kolkata"/>
    <s v="Cardiology"/>
    <s v="Dr.Naresh Trehan"/>
    <d v="2025-03-03T00:00:00"/>
    <d v="2025-12-23T00:00:00"/>
    <s v="Heart Failure"/>
    <s v="Ace Inhibitors &amp; Diuretics"/>
    <n v="342444.11"/>
    <s v="None / Self Pay"/>
    <s v="Pending"/>
    <s v="Admitted"/>
  </r>
  <r>
    <s v="HOSP-10314"/>
    <s v="Anita Nair"/>
    <n v="18"/>
    <x v="0"/>
    <s v="Chennai"/>
    <s v="Neurology"/>
    <s v="Dr.Sushil Razdan"/>
    <d v="2025-11-08T00:00:00"/>
    <d v="2025-12-23T00:00:00"/>
    <s v="Acute Ischemic Stroke"/>
    <s v="Tpa Therapy"/>
    <n v="269352.28000000003"/>
    <s v="Bajaj Allianz"/>
    <s v="Disputed"/>
    <s v="Admitted"/>
  </r>
  <r>
    <s v="HOSP-10315"/>
    <s v="Rajesh Reddy"/>
    <n v="73"/>
    <x v="1"/>
    <s v="Mumbai"/>
    <s v="Oncology"/>
    <s v="Dr.Suresh Advani"/>
    <d v="2025-06-10T00:00:00"/>
    <d v="2025-06-28T00:00:00"/>
    <s v="Breast Carcinoma"/>
    <s v="Chemotherapy &amp; Lumpectomy"/>
    <n v="197586.65"/>
    <s v="Hdfc Ergo"/>
    <s v="Claim Processing"/>
    <s v="Expired"/>
  </r>
  <r>
    <s v="HOSP-10316"/>
    <s v="Pooja Verma"/>
    <n v="5"/>
    <x v="0"/>
    <s v="Delhi"/>
    <s v="Gastroenterology"/>
    <s v="Dr.Unknown"/>
    <d v="2025-07-02T00:00:00"/>
    <d v="2025-07-05T00:00:00"/>
    <s v="Acute Pancreatitis"/>
    <s v="Conservative Management"/>
    <n v="87118.18"/>
    <s v="Care Health"/>
    <s v="Partially Paid"/>
    <s v="Discharged Against Medical Advice"/>
  </r>
  <r>
    <s v="HOSP-10317"/>
    <s v="Pooja Sharma"/>
    <n v="6"/>
    <x v="0"/>
    <s v="Pune"/>
    <s v="Cardiology"/>
    <s v="Dr.Devi Shetty"/>
    <d v="2025-11-08T00:00:00"/>
    <d v="2025-11-14T00:00:00"/>
    <s v="Heart Failure"/>
    <s v="Ace Inhibitors &amp; Diuretics"/>
    <n v="173699.35"/>
    <s v="Max Bupa"/>
    <s v="Partially Paid"/>
    <s v="Expired"/>
  </r>
  <r>
    <s v="HOSP-10318"/>
    <s v="Anjali Gupta"/>
    <n v="70"/>
    <x v="0"/>
    <s v="Bombay"/>
    <s v="Orthopedics"/>
    <s v="Dr.Ramneek Mahajan"/>
    <d v="2025-12-06T00:00:00"/>
    <d v="2025-06-15T00:00:00"/>
    <s v="Osteoarthritis Knee"/>
    <s v="Total Knee Replacement"/>
    <n v="183816.01"/>
    <s v="Bajaj Allianz"/>
    <s v="Disputed"/>
    <s v="Discharged"/>
  </r>
  <r>
    <s v="HOSP-10319"/>
    <s v="Ananya Iyer"/>
    <n v="13"/>
    <x v="0"/>
    <s v="Hyderabad"/>
    <s v="Pediatrics"/>
    <s v="Dr.Arvind Bagga"/>
    <d v="2025-08-12T00:00:00"/>
    <d v="2025-08-21T00:00:00"/>
    <s v="Viral Gastroenteritis"/>
    <s v="Iv Fluids &amp; Electrolytes"/>
    <n v="43425.63"/>
    <s v="Star Health"/>
    <s v="Disputed"/>
    <s v="Expired"/>
  </r>
  <r>
    <s v="HOSP-10320"/>
    <s v="Sneha Gupta"/>
    <n v="49"/>
    <x v="0"/>
    <s v="Pune"/>
    <s v="General Medicine"/>
    <s v="Dr.R. K. Singhal"/>
    <d v="2025-06-11T00:00:00"/>
    <d v="2025-11-19T00:00:00"/>
    <s v="Hypertensive Crisis"/>
    <s v="Iv Labetalol"/>
    <n v="40000"/>
    <s v="Care Health"/>
    <s v="Disputed"/>
    <s v="Transferred"/>
  </r>
  <r>
    <s v="HOSP-10322"/>
    <s v="Aarav Mehta"/>
    <n v="73"/>
    <x v="1"/>
    <s v="Delhi"/>
    <s v="Neurology"/>
    <s v="Dr.P. N. Renjen"/>
    <d v="2025-11-02T00:00:00"/>
    <d v="2025-02-12T00:00:00"/>
    <s v="Acute Ischemic Stroke"/>
    <s v="Tpa Therapy"/>
    <n v="270260.96999999997"/>
    <s v="None"/>
    <s v="Unknown"/>
    <s v="Transferred"/>
  </r>
  <r>
    <s v="HOSP-10323"/>
    <s v="Sneha Gupta"/>
    <n v="85"/>
    <x v="0"/>
    <s v="Chandigarh"/>
    <s v="Oncology"/>
    <s v="Dr.Harit Chaturvedi"/>
    <d v="2025-01-31T00:00:00"/>
    <d v="2025-10-02T00:00:00"/>
    <s v="Lymphoma"/>
    <s v="R-Chop Regimen"/>
    <n v="292075.46000000002"/>
    <s v="N/A"/>
    <s v="Paid"/>
    <s v="Discharged Against Medical Advice"/>
  </r>
  <r>
    <s v="HOSP-10325"/>
    <s v="Aditya Joshi"/>
    <n v="58"/>
    <x v="1"/>
    <s v="Mumbai"/>
    <s v="Cardiology"/>
    <s v="Dr.Naresh Trehan"/>
    <d v="2025-09-25T00:00:00"/>
    <d v="2025-09-28T00:00:00"/>
    <s v="Coronary Artery Disease"/>
    <s v="Angioplasty"/>
    <n v="272662.94"/>
    <s v="Bajaj Allianz"/>
    <s v="Disputed"/>
    <s v="Discharged Against Medical Advice"/>
  </r>
  <r>
    <s v="HOSP-10327"/>
    <s v="Neha Sharma"/>
    <n v="23"/>
    <x v="0"/>
    <s v="Chandigarh"/>
    <s v="Oncology"/>
    <s v="Dr.Suresh Advani"/>
    <d v="2025-01-23T00:00:00"/>
    <d v="2025-02-05T00:00:00"/>
    <s v="Colorectal Cancer"/>
    <s v="Colectomy"/>
    <n v="73899.320000000007"/>
    <s v="None / Self Pay"/>
    <s v="Pending"/>
    <s v="Transferred"/>
  </r>
  <r>
    <s v="HOSP-10328"/>
    <s v="Pooja Kumar"/>
    <n v="13"/>
    <x v="0"/>
    <s v="Kolkata"/>
    <s v="Oncology"/>
    <s v="Dr.Suresh Advani"/>
    <d v="2025-09-12T00:00:00"/>
    <d v="2025-09-19T00:00:00"/>
    <s v="Lung Adenocarcinoma"/>
    <s v="Targeted Therapy"/>
    <n v="260952.41"/>
    <s v="Care Health"/>
    <s v="Claim Processing"/>
    <s v="Expired"/>
  </r>
  <r>
    <s v="HOSP-10331"/>
    <s v="Ritu Mehta"/>
    <n v="160"/>
    <x v="0"/>
    <s v="Jaipur"/>
    <s v="Orthopedics"/>
    <s v="Dr.Sks Marya"/>
    <d v="2025-06-30T00:00:00"/>
    <d v="2025-07-08T00:00:00"/>
    <s v="Unknown"/>
    <s v="Internal Fixation"/>
    <n v="14889.03"/>
    <s v="Star Health"/>
    <s v="Partially Paid"/>
    <s v="Transferred"/>
  </r>
  <r>
    <s v="HOSP-10334"/>
    <s v="Kabir Bose"/>
    <n v="58"/>
    <x v="1"/>
    <s v="Delhi"/>
    <s v="Gastroenterology"/>
    <s v="Dr.Randhir Sud"/>
    <d v="2025-03-02T00:00:00"/>
    <d v="2025-03-16T00:00:00"/>
    <s v="Peptic Ulcer Bleeding"/>
    <s v="Endoscopic Banding"/>
    <n v="27887.8"/>
    <s v="None / Self Pay"/>
    <s v="Disputed"/>
    <s v="Discharged Against Medical Advice"/>
  </r>
  <r>
    <s v="HOSP-10335"/>
    <s v="Ramesh Kumar"/>
    <n v="75"/>
    <x v="1"/>
    <s v="Chennai"/>
    <s v="Orthopedics"/>
    <s v="Dr.Sks Marya"/>
    <d v="2025-12-10T00:00:00"/>
    <d v="2025-12-24T00:00:00"/>
    <s v="Rotator Cuff Tear"/>
    <s v="Arthroscopic Repair"/>
    <n v="207167.51"/>
    <s v="Bajaj Allianz"/>
    <s v="Paid"/>
    <s v="Discharged Against Medical Advice"/>
  </r>
  <r>
    <s v="HOSP-10336"/>
    <s v="Ramesh Joshi"/>
    <n v="30"/>
    <x v="1"/>
    <s v="Chandigarh"/>
    <s v="Orthopedics"/>
    <s v="Dr.Sks Marya"/>
    <d v="2025-06-07T00:00:00"/>
    <d v="2025-07-08T00:00:00"/>
    <s v="Femur Fracture"/>
    <s v="Internal Fixation"/>
    <n v="160039.89000000001"/>
    <s v="Max Bupa"/>
    <s v="Paid"/>
    <s v="Discharged"/>
  </r>
  <r>
    <s v="HOSP-10337"/>
    <s v="Rajesh_Singh"/>
    <n v="76"/>
    <x v="1"/>
    <s v="Unknown"/>
    <s v="Gastroenterology"/>
    <s v="Dr.Govind Makharia"/>
    <d v="2025-07-17T00:00:00"/>
    <d v="2025-12-23T00:00:00"/>
    <s v="Liver Cirrhosis"/>
    <s v="Paracentesis &amp; Diuretics"/>
    <n v="333754.68"/>
    <s v="Max Bupa"/>
    <s v="Partially Paid"/>
    <s v="Admitted"/>
  </r>
  <r>
    <s v="HOSP-105"/>
    <s v="Diya Gupta"/>
    <n v="18"/>
    <x v="0"/>
    <s v="Jaipur"/>
    <s v="Orthopedics"/>
    <s v="Dr.Ramneek Mahajan"/>
    <d v="2025-11-06T00:00:00"/>
    <d v="2025-12-23T00:00:00"/>
    <s v="Femur Fracture"/>
    <s v="Internal Fixation"/>
    <n v="65658.62"/>
    <s v="Star Health"/>
    <s v="Disputed"/>
    <s v="Admitted"/>
  </r>
  <r>
    <s v="HOSP-10339"/>
    <s v="Rajesh Kumar"/>
    <n v="47"/>
    <x v="1"/>
    <s v="Chandigarh"/>
    <s v="Gastroenterology"/>
    <s v="Dr.Subhash Gupta"/>
    <d v="2025-04-12T00:00:00"/>
    <d v="2025-12-23T00:00:00"/>
    <s v="Liver Cirrhosis"/>
    <s v="Paracentesis &amp; Diuretics"/>
    <n v="100093.93"/>
    <s v="Hdfc Ergo"/>
    <s v="Pending"/>
    <s v="Discharged Against Medical Advice"/>
  </r>
  <r>
    <s v="HOSP-10340"/>
    <s v="Kavita Sharma"/>
    <n v="19"/>
    <x v="0"/>
    <s v="Chennai"/>
    <s v="Cardiology"/>
    <s v="Dr.Naresh Trehan"/>
    <d v="2025-10-04T00:00:00"/>
    <d v="2025-04-17T00:00:00"/>
    <s v="Heart Failure"/>
    <s v="Ace Inhibitors &amp; Diuretics"/>
    <n v="251416.32000000001"/>
    <s v="Icici Lombard"/>
    <s v="Disputed"/>
    <s v="Expired"/>
  </r>
  <r>
    <s v="HOSP-10341"/>
    <s v="Pooja Singh"/>
    <n v="7"/>
    <x v="0"/>
    <s v="Mumbai"/>
    <s v="General Medicine"/>
    <s v="Dr.R. K. Singhal"/>
    <d v="2025-06-10T00:00:00"/>
    <d v="2025-06-27T00:00:00"/>
    <s v="Dengue Fever With Thrombocytopenia"/>
    <s v="Platelet Support"/>
    <n v="267165.83"/>
    <s v="None / Self Pay"/>
    <s v="Partially Paid"/>
    <s v="Discharged"/>
  </r>
  <r>
    <s v="HOSP-10342"/>
    <s v="Aditya Singh"/>
    <n v="62"/>
    <x v="1"/>
    <s v="Chennai"/>
    <s v="Gastroenterology"/>
    <s v="Dr.Subhash Gupta"/>
    <d v="2025-09-09T00:00:00"/>
    <d v="2025-09-23T00:00:00"/>
    <s v="Acute Pancreatitis"/>
    <s v="Conservative Management"/>
    <n v="288098.34000000003"/>
    <s v="Max Bupa"/>
    <s v="Claim Processing"/>
    <s v="Expired"/>
  </r>
  <r>
    <s v="HOSP-10344"/>
    <s v="Aditya Joshi"/>
    <n v="70"/>
    <x v="1"/>
    <s v="Jaipur"/>
    <s v="Orthopedics"/>
    <s v="Dr.Sks Marya"/>
    <d v="2025-02-16T00:00:00"/>
    <d v="2025-02-22T00:00:00"/>
    <s v="Osteoarthritis Knee"/>
    <s v="Total Knee Replacement"/>
    <n v="28856.82"/>
    <s v="Care Health"/>
    <s v="Partially Paid"/>
    <s v="Discharged"/>
  </r>
  <r>
    <s v="HOSP-10346"/>
    <s v="Ritu Singh"/>
    <n v="60"/>
    <x v="0"/>
    <s v="Mumbai"/>
    <s v="Cardiology"/>
    <s v="Dr.Devi Shetty"/>
    <d v="2025-05-13T00:00:00"/>
    <d v="2025-12-23T00:00:00"/>
    <s v="Heart Failure"/>
    <s v="Ace Inhibitors &amp; Diuretics"/>
    <n v="24847.62"/>
    <s v="Care Health"/>
    <s v="Pending"/>
    <s v="Admitted"/>
  </r>
  <r>
    <s v="HOSP-10347"/>
    <s v="Kabir Gupta"/>
    <n v="24"/>
    <x v="1"/>
    <s v="Mumbai"/>
    <s v="Oncology"/>
    <s v="Dr.Vinod Raina"/>
    <d v="2025-11-22T00:00:00"/>
    <d v="2025-11-30T00:00:00"/>
    <s v="Colorectal Cancer"/>
    <s v="Colectomy"/>
    <n v="75690.77"/>
    <s v="Care Health"/>
    <s v="Paid"/>
    <s v="Transferred"/>
  </r>
  <r>
    <s v="HOSP-10348"/>
    <s v="Vihaan Gupta"/>
    <n v="18"/>
    <x v="1"/>
    <s v="Mumbai"/>
    <s v="Unknown"/>
    <s v="Dr.Harit Chaturvedi"/>
    <d v="2025-12-26T00:00:00"/>
    <d v="2026-01-09T00:00:00"/>
    <s v="Colorectal Cancer"/>
    <s v="Colectomy"/>
    <n v="292142.3"/>
    <s v="Icici Lombard"/>
    <s v="Paid"/>
    <s v="Discharged"/>
  </r>
  <r>
    <s v="HOSP-10349"/>
    <s v="Manoj Reddy"/>
    <n v="56"/>
    <x v="1"/>
    <s v="Unknown"/>
    <s v="Gastroenterology"/>
    <s v="Dr.Randhir Sud"/>
    <d v="2025-11-16T00:00:00"/>
    <d v="2025-12-23T00:00:00"/>
    <s v="Peptic Ulcer Bleeding"/>
    <s v="Endoscopic Banding"/>
    <n v="218516.52"/>
    <s v="Icici Lombard"/>
    <s v="Partially Paid"/>
    <s v="Admitted"/>
  </r>
  <r>
    <s v="HOSP-10350"/>
    <s v="Kabir Reddy"/>
    <n v="10"/>
    <x v="1"/>
    <s v="Mumbai"/>
    <s v="Neurology"/>
    <s v="Dr.P. N. Renjen"/>
    <d v="2025-05-08T00:00:00"/>
    <d v="2025-05-22T00:00:00"/>
    <s v="Parkinson'S Disease"/>
    <s v="Levodopa Therapy"/>
    <n v="169398.15"/>
    <s v="Hdfc Ergo"/>
    <s v="Disputed"/>
    <s v="Expired"/>
  </r>
  <r>
    <s v="HOSP-10351"/>
    <s v="Sneha Mehta"/>
    <n v="19"/>
    <x v="0"/>
    <s v="Chandigarh"/>
    <s v="General Medicine"/>
    <s v="Dr.Anoop Misra"/>
    <d v="2025-10-04T00:00:00"/>
    <d v="2025-12-23T00:00:00"/>
    <s v="Type 2 Diabetes Uncontrolled"/>
    <s v="Insulin Titration"/>
    <n v="267621"/>
    <s v="Bajaj Allianz"/>
    <s v="Disputed"/>
    <s v="Admitted"/>
  </r>
  <r>
    <s v="HOSP-10352"/>
    <s v="Meera Bose"/>
    <n v="61"/>
    <x v="0"/>
    <s v="Ahmedabad"/>
    <s v="Neurology"/>
    <s v="Dr.Mukul Varma"/>
    <d v="2025-04-10T00:00:00"/>
    <d v="2025-04-29T00:00:00"/>
    <s v="Epilepsy"/>
    <s v="Anticonvulsant Therapy"/>
    <n v="234451"/>
    <s v="Care Health"/>
    <s v="Paid"/>
    <s v="Discharged Against Medical Advice"/>
  </r>
  <r>
    <s v="HOSP-10353"/>
    <s v="Sunita Nair"/>
    <n v="20"/>
    <x v="2"/>
    <s v="Kolkata"/>
    <s v="Oncology"/>
    <s v="Dr.Vinod Raina"/>
    <d v="2025-04-10T00:00:00"/>
    <d v="2025-12-23T00:00:00"/>
    <s v="Breast Carcinoma"/>
    <s v="Chemotherapy &amp; Lumpectomy"/>
    <n v="65515.33"/>
    <s v="Max Bupa"/>
    <s v="Claim Processing"/>
    <s v="Unknown"/>
  </r>
  <r>
    <s v="HOSP-10354"/>
    <s v="Aarav Gupta"/>
    <n v="58"/>
    <x v="1"/>
    <s v="Mumbai"/>
    <s v="Cardiology"/>
    <s v="Dr.Ashok Seth"/>
    <d v="2025-02-20T00:00:00"/>
    <d v="2025-02-24T00:00:00"/>
    <s v="Myocardial Infarction"/>
    <s v="Thrombolysis"/>
    <n v="11310.31"/>
    <s v="Hdfc Ergo"/>
    <s v="Claim Processing"/>
    <s v="Discharged Against Medical Advice"/>
  </r>
  <r>
    <s v="HOSP-10356"/>
    <s v="Meera Mehta"/>
    <n v="75"/>
    <x v="0"/>
    <s v="Jaipur"/>
    <s v="General Medicine"/>
    <s v="Dr.R. K. Singhal"/>
    <d v="2025-09-12T00:00:00"/>
    <d v="2025-09-13T00:00:00"/>
    <s v="Hypertensive Crisis"/>
    <s v="Iv Labetalol"/>
    <n v="70627.63"/>
    <s v="Star Health"/>
    <s v="Paid"/>
    <s v="Transferred"/>
  </r>
  <r>
    <s v="HOSP-10357"/>
    <s v="Meera Patel"/>
    <n v="79"/>
    <x v="0"/>
    <s v="Ahmedabad"/>
    <s v="Cardiology"/>
    <s v="Dr.Naresh Trehan"/>
    <d v="2025-08-18T00:00:00"/>
    <d v="2025-08-26T00:00:00"/>
    <s v="Heart Failure"/>
    <s v="Ace Inhibitors &amp; Diuretics"/>
    <n v="219686.66"/>
    <s v="Icici Lombard"/>
    <s v="Disputed"/>
    <s v="Transferred"/>
  </r>
  <r>
    <s v="HOSP-10358"/>
    <s v="Diya Patel"/>
    <n v="72"/>
    <x v="0"/>
    <s v="Bangalore"/>
    <s v="Orthopedics"/>
    <s v="Dr.Ramneek Mahajan"/>
    <d v="2025-08-26T00:00:00"/>
    <d v="2025-12-23T00:00:00"/>
    <s v="Lumbar Spondylosis"/>
    <s v="Spinal Decompression"/>
    <n v="40000"/>
    <s v="Bajaj Allianz"/>
    <s v="Claim Processing"/>
    <s v="Admitted"/>
  </r>
  <r>
    <s v="HOSP-10361"/>
    <s v="Vihaan Verma"/>
    <n v="45"/>
    <x v="1"/>
    <s v="Hyderabad"/>
    <s v="Oncology"/>
    <s v="Dr.Harit Chaturvedi"/>
    <d v="2025-06-27T00:00:00"/>
    <d v="2025-12-23T00:00:00"/>
    <s v="Colorectal Cancer"/>
    <s v="Colectomy"/>
    <n v="328188.99"/>
    <s v="Star Health"/>
    <s v="Disputed"/>
    <s v="Admitted"/>
  </r>
  <r>
    <s v="HOSP-10362"/>
    <s v="Ramesh Iyer"/>
    <n v="2"/>
    <x v="1"/>
    <s v="Mumbai"/>
    <s v="Cardiology"/>
    <s v="Dr.Naresh Trehan"/>
    <d v="2025-05-29T00:00:00"/>
    <d v="2025-12-23T00:00:00"/>
    <s v="Myocardial Infarction"/>
    <s v="Thrombolysis"/>
    <n v="176910.39"/>
    <s v="Star Health"/>
    <s v="Partially Paid"/>
    <s v="In-Patient"/>
  </r>
  <r>
    <s v="HOSP-10363"/>
    <s v="Amit Mehta"/>
    <n v="10"/>
    <x v="1"/>
    <s v="Bangalore"/>
    <s v="Neurology"/>
    <s v="Dr.P. N. Renjen"/>
    <d v="2025-06-23T00:00:00"/>
    <d v="2025-12-23T00:00:00"/>
    <s v="Parkinson'S Disease"/>
    <s v="Levodopa Therapy"/>
    <n v="142933.82"/>
    <s v="Max Bupa"/>
    <s v="Pending"/>
    <s v="Admitted"/>
  </r>
  <r>
    <s v="HOSP-10364"/>
    <s v="Meera Patel"/>
    <n v="81"/>
    <x v="0"/>
    <s v="Kolkata"/>
    <s v="Pediatrics"/>
    <s v="Dr.Krishan Chugh"/>
    <d v="2025-09-06T00:00:00"/>
    <d v="2025-06-12T00:00:00"/>
    <s v="Neonatal Jaundice"/>
    <s v="Phototherapy"/>
    <n v="40000"/>
    <s v="None"/>
    <s v="Partially Paid"/>
    <s v="Discharged Against Medical Advice"/>
  </r>
  <r>
    <s v="HOSP-10365"/>
    <s v="Rajesh Gupta"/>
    <n v="80"/>
    <x v="1"/>
    <s v="Kolkata"/>
    <s v="Neurology"/>
    <s v="Dr.P. N. Renjen"/>
    <d v="2025-10-24T00:00:00"/>
    <d v="2025-10-26T00:00:00"/>
    <s v="Epilepsy"/>
    <s v="Anticonvulsant Therapy"/>
    <n v="149246.6"/>
    <s v="Bajaj Allianz"/>
    <s v="Partially Paid"/>
    <s v="Transferred"/>
  </r>
  <r>
    <s v="HOSP-10367"/>
    <s v="Vikram Joshi"/>
    <n v="6"/>
    <x v="1"/>
    <s v="Chandigarh"/>
    <s v="Gastroenterology"/>
    <s v="Dr.Randhir Sud"/>
    <d v="2025-08-22T00:00:00"/>
    <d v="2025-08-25T00:00:00"/>
    <s v="Liver Cirrhosis"/>
    <s v="Paracentesis &amp; Diuretics"/>
    <n v="255209.04"/>
    <s v="Max Bupa"/>
    <s v="Claim Processing"/>
    <s v="Expired"/>
  </r>
  <r>
    <s v="HOSP-10369"/>
    <s v="Kabir Patel"/>
    <n v="51"/>
    <x v="1"/>
    <s v="Chandigarh"/>
    <s v="Neurology"/>
    <s v="Dr.Sushil Razdan"/>
    <d v="2025-07-04T00:00:00"/>
    <d v="2025-12-23T00:00:00"/>
    <s v="Parkinson'S Disease"/>
    <s v="Levodopa Therapy"/>
    <n v="100750.51"/>
    <s v="Max Bupa"/>
    <s v="Partially Paid"/>
    <s v="Admitted"/>
  </r>
  <r>
    <s v="HOSP-10370"/>
    <s v="Aarav Verma"/>
    <n v="3"/>
    <x v="1"/>
    <s v="Mumbai"/>
    <s v="Pediatrics"/>
    <s v="Dr.Krishan Chugh"/>
    <d v="2025-09-20T00:00:00"/>
    <d v="2025-09-26T00:00:00"/>
    <s v="Severe Pneumonia"/>
    <s v="Iv Antibiotics"/>
    <n v="168972.32"/>
    <s v="Bajaj Allianz"/>
    <s v="Disputed"/>
    <s v="Expired"/>
  </r>
  <r>
    <s v="HOSP-10371"/>
    <s v="Sneha Iyer"/>
    <n v="41"/>
    <x v="0"/>
    <s v="Mumbai"/>
    <s v="Gastroenterology"/>
    <s v="Dr.Subhash Gupta"/>
    <d v="2025-01-24T00:00:00"/>
    <d v="2025-02-04T00:00:00"/>
    <s v="Acute Pancreatitis"/>
    <s v="Conservative Management"/>
    <n v="153334.01999999999"/>
    <s v="Icici Lombard"/>
    <s v="Disputed"/>
    <s v="Discharged Against Medical Advice"/>
  </r>
  <r>
    <s v="HOSP-10373"/>
    <s v="Diya Gupta"/>
    <n v="8"/>
    <x v="0"/>
    <s v="Bangalore"/>
    <s v="General Medicine"/>
    <s v="Dr.Atul Gogia"/>
    <d v="2025-06-14T00:00:00"/>
    <d v="2025-06-20T00:00:00"/>
    <s v="Hypertensive Crisis"/>
    <s v="Iv Labetalol"/>
    <n v="273053.57"/>
    <s v="Icici Lombard"/>
    <s v="Paid"/>
    <s v="Expired"/>
  </r>
  <r>
    <s v="HOSP-10374"/>
    <s v="Deepak Kumar"/>
    <n v="68"/>
    <x v="1"/>
    <s v="Unknown"/>
    <s v="Neurology"/>
    <s v="Dr.Mukul Varma"/>
    <d v="2025-05-22T00:00:00"/>
    <d v="2025-06-06T00:00:00"/>
    <s v="Epilepsy"/>
    <s v="Anticonvulsant Therapy"/>
    <n v="42562.48"/>
    <s v="Bajaj Allianz"/>
    <s v="Paid"/>
    <s v="Transferred"/>
  </r>
  <r>
    <s v="HOSP-10375"/>
    <s v="Suresh Verma"/>
    <n v="56"/>
    <x v="1"/>
    <s v="Jaipur"/>
    <s v="Cardiology"/>
    <s v="Dr.Naresh Trehan"/>
    <d v="2025-01-02T00:00:00"/>
    <d v="2025-01-20T00:00:00"/>
    <s v="Myocardial Infarction"/>
    <s v="Thrombolysis"/>
    <n v="273509.90999999997"/>
    <s v="N/A"/>
    <s v="Pending"/>
    <s v="Transferred"/>
  </r>
  <r>
    <s v="HOSP-10377"/>
    <s v="Kabir Joshi"/>
    <n v="85"/>
    <x v="1"/>
    <s v="Delhi"/>
    <s v="Cardiology"/>
    <s v="Dr.Devi Shetty"/>
    <d v="2025-07-06T00:00:00"/>
    <d v="2025-12-23T00:00:00"/>
    <s v="Myocardial Infarction"/>
    <s v="Thrombolysis"/>
    <n v="15445.5"/>
    <s v="None"/>
    <s v="Partially Paid"/>
    <s v="Admitted"/>
  </r>
  <r>
    <s v="HOSP-10378"/>
    <s v="Priya Singh"/>
    <n v="38"/>
    <x v="0"/>
    <s v="Kolkata"/>
    <s v="Neurology"/>
    <s v="Dr.P. N. Renjen"/>
    <d v="2025-01-16T00:00:00"/>
    <d v="2025-12-23T00:00:00"/>
    <s v="Parkinson'S Disease"/>
    <s v="Levodopa Therapy"/>
    <n v="229227.12"/>
    <s v="Care Health"/>
    <s v="Claim Processing"/>
    <s v="Admitted"/>
  </r>
  <r>
    <s v="HOSP-10379"/>
    <s v="Aditya Mehta"/>
    <n v="59"/>
    <x v="1"/>
    <s v="Kolkata"/>
    <s v="Orthopedics"/>
    <s v="Dr.Harshavardhan Hegde"/>
    <d v="2025-05-26T00:00:00"/>
    <d v="2025-06-08T00:00:00"/>
    <s v="Lumbar Spondylosis"/>
    <s v="Spinal Decompression"/>
    <n v="92715.25"/>
    <s v="Care Health"/>
    <s v="Partially Paid"/>
    <s v="Transferred"/>
  </r>
  <r>
    <s v="HOSP-10380"/>
    <s v="Aditya_Patel"/>
    <n v="18"/>
    <x v="1"/>
    <s v="Mumbai"/>
    <s v="Unknown"/>
    <s v="Dr.Harit Chaturvedi"/>
    <d v="2025-01-26T00:00:00"/>
    <d v="2025-02-10T00:00:00"/>
    <s v="Lung Adenocarcinoma"/>
    <s v="Targeted Therapy"/>
    <n v="39164.58"/>
    <s v="Star Health"/>
    <s v="Pending"/>
    <s v="Transferred"/>
  </r>
  <r>
    <s v="HOSP-10381"/>
    <s v="Priya Joshi"/>
    <n v="72"/>
    <x v="0"/>
    <s v="Jaipur"/>
    <s v="Cardiology"/>
    <s v="Dr.Ashok Seth"/>
    <d v="2025-06-10T00:00:00"/>
    <d v="2025-06-24T00:00:00"/>
    <s v="Coronary Artery Disease"/>
    <s v="Angioplasty"/>
    <n v="256933.8"/>
    <s v="Star Health"/>
    <s v="Pending"/>
    <s v="Discharged"/>
  </r>
  <r>
    <s v="HOSP-10384"/>
    <s v="Sneha Patel"/>
    <n v="86"/>
    <x v="0"/>
    <s v="Mumbai"/>
    <s v="Pediatrics"/>
    <s v="Dr.Krishan Chugh"/>
    <d v="2025-08-29T00:00:00"/>
    <d v="2025-08-28T00:00:00"/>
    <s v="Acute Bronchiolitis"/>
    <s v="Nebulization &amp; O2 Support"/>
    <n v="266992.5"/>
    <s v="Icici Lombard"/>
    <s v="Paid"/>
    <s v="Discharged Against Medical Advice"/>
  </r>
  <r>
    <s v="HOSP-10385"/>
    <s v="Ritu Reddy"/>
    <n v="77"/>
    <x v="0"/>
    <s v="Kolkata"/>
    <s v="Orthopedics"/>
    <s v="Dr.Harshavardhan Hegde"/>
    <d v="2025-05-10T00:00:00"/>
    <d v="2025-05-25T00:00:00"/>
    <s v="Femur Fracture"/>
    <s v="Internal Fixation"/>
    <n v="210266.08"/>
    <s v="Hdfc Ergo"/>
    <s v="Paid"/>
    <s v="Discharged"/>
  </r>
  <r>
    <s v="HOSP-10386"/>
    <s v="Aditya Reddy"/>
    <n v="59"/>
    <x v="1"/>
    <s v="Kolkata"/>
    <s v="Pediatrics"/>
    <s v="Dr.Unknown"/>
    <d v="2025-11-17T00:00:00"/>
    <d v="2025-11-24T00:00:00"/>
    <s v="Severe Pneumonia"/>
    <s v="Iv Antibiotics"/>
    <n v="45237.98"/>
    <s v="Max Bupa"/>
    <s v="Paid"/>
    <s v="Discharged Against Medical Advice"/>
  </r>
  <r>
    <s v="HOSP-10387"/>
    <s v="Suresh Patel"/>
    <n v="59"/>
    <x v="1"/>
    <s v="Delhi"/>
    <s v="General Medicine"/>
    <s v="Dr.Atul Gogia"/>
    <d v="2025-12-26T00:00:00"/>
    <d v="2026-12-01T00:00:00"/>
    <s v="Hypertensive Crisis"/>
    <s v="Iv Labetalol"/>
    <n v="286366.02"/>
    <s v="Hdfc Ergo"/>
    <s v="Paid"/>
    <s v="Discharged Against Medical Advice"/>
  </r>
  <r>
    <s v="HOSP-10388"/>
    <s v="Kavita Verma"/>
    <n v="45"/>
    <x v="0"/>
    <s v="Jaipur"/>
    <s v="Gastroenterology"/>
    <s v="Dr.Subhash Gupta"/>
    <d v="2025-11-02T00:00:00"/>
    <d v="2025-11-16T00:00:00"/>
    <s v="Peptic Ulcer Bleeding"/>
    <s v="Unknown"/>
    <n v="321069.3"/>
    <s v="Unknown"/>
    <s v="Claim Processing"/>
    <s v="Unknown"/>
  </r>
  <r>
    <s v="HOSP-10390"/>
    <s v="Deepak Iyer"/>
    <n v="25"/>
    <x v="1"/>
    <s v="Kolkata"/>
    <s v="Cardiology"/>
    <s v="Dr.Ashok Seth"/>
    <d v="2025-11-03T00:00:00"/>
    <d v="2025-11-13T00:00:00"/>
    <s v="Coronary Artery Disease"/>
    <s v="Angioplasty"/>
    <n v="205456.56"/>
    <s v="Care Health"/>
    <s v="Disputed"/>
    <s v="Discharged Against Medical Advice"/>
  </r>
  <r>
    <s v="HOSP-10391"/>
    <s v="Diya Verma"/>
    <n v="12"/>
    <x v="0"/>
    <s v="Chennai"/>
    <s v="General Medicine"/>
    <s v="Dr.Anoop Misra"/>
    <d v="2025-01-24T00:00:00"/>
    <d v="2025-02-02T00:00:00"/>
    <s v="Hypertensive Crisis"/>
    <s v="Iv Labetalol"/>
    <n v="220121.52"/>
    <s v="Max Bupa"/>
    <s v="Pending"/>
    <s v="Discharged Against Medical Advice"/>
  </r>
  <r>
    <s v="HOSP-10393"/>
    <s v="Aarav Verma"/>
    <n v="9"/>
    <x v="1"/>
    <s v="Chennai"/>
    <s v="General Medicine"/>
    <s v="Dr.Anoop Misra"/>
    <d v="2025-01-12T00:00:00"/>
    <d v="2025-01-26T00:00:00"/>
    <s v="Dengue Fever With Thrombocytopenia"/>
    <s v="Platelet Support"/>
    <n v="274018.15999999997"/>
    <s v="Star Health"/>
    <s v="Paid"/>
    <s v="Discharged Against Medical Advice"/>
  </r>
  <r>
    <s v="HOSP-10394"/>
    <s v="Ritu Kumar"/>
    <n v="58"/>
    <x v="0"/>
    <s v="Ahmedabad"/>
    <s v="Cardiology"/>
    <s v="Dr.Devi Shetty"/>
    <d v="2025-02-15T00:00:00"/>
    <d v="2025-02-17T00:00:00"/>
    <s v="Myocardial Infarction"/>
    <s v="Thrombolysis"/>
    <n v="258752.78"/>
    <s v="None / Self Pay"/>
    <s v="Disputed"/>
    <s v="Expired"/>
  </r>
  <r>
    <s v="HOSP-10395"/>
    <s v="Ramesh Singh"/>
    <n v="62"/>
    <x v="1"/>
    <s v="Mumbai"/>
    <s v="Pediatrics"/>
    <s v="Dr.Veena Kalra"/>
    <d v="2025-11-27T00:00:00"/>
    <d v="2025-12-23T00:00:00"/>
    <s v="Acute Bronchiolitis"/>
    <s v="Nebulization &amp; O2 Support"/>
    <n v="331071.07"/>
    <s v="Care Health"/>
    <s v="Claim Processing"/>
    <s v="Unknown"/>
  </r>
  <r>
    <s v="HOSP-10396"/>
    <s v="Diya Patel"/>
    <n v="78"/>
    <x v="0"/>
    <s v="Ahmedabad"/>
    <s v="Cardiology"/>
    <s v="Dr.Ashok Seth"/>
    <d v="2025-08-18T00:00:00"/>
    <d v="2025-08-19T00:00:00"/>
    <s v="Heart Failure"/>
    <s v="Ace Inhibitors &amp; Diuretics"/>
    <n v="98132.13"/>
    <s v="Bajaj Allianz"/>
    <s v="Partially Paid"/>
    <s v="Discharged"/>
  </r>
  <r>
    <s v="HOSP-10397"/>
    <s v="Sunita Verma"/>
    <n v="54"/>
    <x v="0"/>
    <s v="Jaipur"/>
    <s v="Orthopedics"/>
    <s v="Dr.Harshavardhan Hegde"/>
    <d v="2025-08-23T00:00:00"/>
    <d v="2025-09-01T00:00:00"/>
    <s v="Femur Fracture"/>
    <s v="Internal Fixation"/>
    <n v="-251314.05"/>
    <s v="Icici Lombard"/>
    <s v="Unknown"/>
    <s v="Discharged Against Medical Advice"/>
  </r>
  <r>
    <s v="HOSP-10399"/>
    <s v="Anita Mehta"/>
    <n v="85"/>
    <x v="0"/>
    <s v="Chennai"/>
    <s v="Pediatrics"/>
    <s v="Dr.Veena Kalra"/>
    <d v="2025-03-22T00:00:00"/>
    <d v="2025-04-09T00:00:00"/>
    <s v="Neonatal Jaundice"/>
    <s v="Phototherapy"/>
    <n v="269120.03999999998"/>
    <s v="Star Health"/>
    <s v="Unknown"/>
    <s v="Expired"/>
  </r>
  <r>
    <s v="HOSP-10400"/>
    <s v="Ananya Mehta"/>
    <n v="32"/>
    <x v="0"/>
    <s v="Pune"/>
    <s v="Cardiology"/>
    <s v="Dr.Naresh Trehan"/>
    <d v="2025-08-25T00:00:00"/>
    <d v="2025-08-27T00:00:00"/>
    <s v="Arrhythmia"/>
    <s v="Pacemaker Implantation"/>
    <n v="147820.29"/>
    <s v="Star Health"/>
    <s v="Partially Paid"/>
    <s v="Discharged"/>
  </r>
  <r>
    <s v="HOSP-144"/>
    <s v="Sunita Verma"/>
    <n v="31"/>
    <x v="0"/>
    <s v="Delhi"/>
    <s v="Oncology"/>
    <s v="Dr.Harit Chaturvedi"/>
    <d v="2025-09-06T00:00:00"/>
    <d v="2025-08-09T00:00:00"/>
    <s v="Lymphoma"/>
    <s v="R-Chop Regimen"/>
    <n v="310729.95"/>
    <s v="Care Health"/>
    <s v="Partially Paid"/>
    <s v="Discharged Against Medical Advice"/>
  </r>
  <r>
    <s v="HOSP-10402"/>
    <s v="Aditya Iyer"/>
    <n v="34"/>
    <x v="1"/>
    <s v="Jaipur"/>
    <s v="General Medicine"/>
    <s v="Dr.Atul Gogia"/>
    <d v="2025-11-01T00:00:00"/>
    <d v="2025-11-10T00:00:00"/>
    <s v="Hypertensive Crisis"/>
    <s v="Iv Labetalol"/>
    <n v="174458.85"/>
    <s v="Icici Lombard"/>
    <s v="Pending"/>
    <s v="Discharged"/>
  </r>
  <r>
    <s v="HOSP-114"/>
    <s v="Neha Bose"/>
    <n v="7"/>
    <x v="0"/>
    <s v="Jaipur"/>
    <s v="Orthopedics"/>
    <s v="Dr.Ramneek Mahajan"/>
    <d v="2025-11-28T00:00:00"/>
    <d v="2025-12-23T00:00:00"/>
    <s v="Osteoarthritis Knee"/>
    <s v="Total Knee Replacement"/>
    <n v="316907.76"/>
    <s v="Star Health"/>
    <s v="Partially Paid"/>
    <s v="Admitted"/>
  </r>
  <r>
    <s v="HOSP-10404"/>
    <s v="Meera Mehta"/>
    <n v="69"/>
    <x v="0"/>
    <s v="Pune"/>
    <s v="Gastroenterology"/>
    <s v="Dr.Unknown"/>
    <d v="2025-04-10T00:00:00"/>
    <d v="2025-10-01T00:00:00"/>
    <s v="Peptic Ulcer Bleeding"/>
    <s v="Endoscopic Banding"/>
    <n v="142969.68"/>
    <s v="None"/>
    <s v="Claim Processing"/>
    <s v="Transferred"/>
  </r>
  <r>
    <s v="HOSP-10406"/>
    <s v="Kabir Verma"/>
    <n v="67"/>
    <x v="1"/>
    <s v="Jaipur"/>
    <s v="Gastroenterology"/>
    <s v="Dr.Randhir Sud"/>
    <d v="2025-01-06T00:00:00"/>
    <d v="2025-01-20T00:00:00"/>
    <s v="Acute Pancreatitis"/>
    <s v="Conservative Management"/>
    <n v="200127.72"/>
    <s v="Icici Lombard"/>
    <s v="Disputed"/>
    <s v="Discharged"/>
  </r>
  <r>
    <s v="HOSP-10407"/>
    <s v="Manoj Sharma"/>
    <n v="40"/>
    <x v="1"/>
    <s v="Delhi"/>
    <s v="Orthopedics"/>
    <s v="Dr.Ramneek Mahajan"/>
    <d v="2025-04-04T00:00:00"/>
    <d v="2025-12-23T00:00:00"/>
    <s v="Femur Fracture"/>
    <s v="Internal Fixation"/>
    <n v="165777.60000000001"/>
    <s v="Care Health"/>
    <s v="Claim Processing"/>
    <s v="Admitted"/>
  </r>
  <r>
    <s v="HOSP-10410"/>
    <s v="Unknown"/>
    <n v="45"/>
    <x v="0"/>
    <s v="Ahmedabad"/>
    <s v="Oncology"/>
    <s v="Dr.Suresh Advani"/>
    <d v="2025-07-07T00:00:00"/>
    <d v="2025-12-23T00:00:00"/>
    <s v="Lung Adenocarcinoma"/>
    <s v="Targeted Therapy"/>
    <n v="281407.65999999997"/>
    <s v="Icici Lombard"/>
    <s v="Claim Processing"/>
    <s v="Admitted"/>
  </r>
  <r>
    <s v="HOSP-10411"/>
    <s v="Anjali Patel"/>
    <n v="5"/>
    <x v="0"/>
    <s v="Kolkata"/>
    <s v="General Medicine"/>
    <s v="Dr.Atul Gogia"/>
    <d v="2025-09-09T00:00:00"/>
    <d v="2025-09-12T00:00:00"/>
    <s v="Hypertensive Crisis"/>
    <s v="Iv Labetalol"/>
    <n v="40000"/>
    <s v="None / Self Pay"/>
    <s v="Unknown"/>
    <s v="Expired"/>
  </r>
  <r>
    <s v="HOSP-10412"/>
    <s v="Sneha Gupta"/>
    <n v="47"/>
    <x v="0"/>
    <s v="Chennai"/>
    <s v="Oncology"/>
    <s v="Dr.Suresh Advani"/>
    <d v="2025-04-10T00:00:00"/>
    <d v="2025-12-23T00:00:00"/>
    <s v="Lung Adenocarcinoma"/>
    <s v="Targeted Therapy"/>
    <n v="174532.25"/>
    <s v="Bajaj Allianz"/>
    <s v="Claim Processing"/>
    <s v="Admitted"/>
  </r>
  <r>
    <s v="HOSP-10413"/>
    <s v="Unknown"/>
    <n v="47"/>
    <x v="0"/>
    <s v="Jaipur"/>
    <s v="Cardiology"/>
    <s v="Dr.Naresh Trehan"/>
    <d v="2025-03-06T00:00:00"/>
    <d v="2025-12-23T00:00:00"/>
    <s v="Coronary Artery Disease"/>
    <s v="Angioplasty"/>
    <n v="72763.16"/>
    <s v="None / Self Pay"/>
    <s v="Partially Paid"/>
    <s v="Admitted"/>
  </r>
  <r>
    <s v="HOSP-10414"/>
    <s v="Manoj Bose"/>
    <n v="62"/>
    <x v="1"/>
    <s v="Pune"/>
    <s v="General Medicine"/>
    <s v="Dr.Atul Gogia"/>
    <d v="2025-08-05T00:00:00"/>
    <d v="2025-11-08T00:00:00"/>
    <s v="Urinary Tract Infection"/>
    <s v="Antibiotic Course"/>
    <n v="177051.77"/>
    <s v="Icici Lombard"/>
    <s v="Paid"/>
    <s v="Expired"/>
  </r>
  <r>
    <s v="HOSP-10415"/>
    <s v="Sneha Joshi"/>
    <n v="65"/>
    <x v="0"/>
    <s v="Chennai"/>
    <s v="Pediatrics"/>
    <s v="Dr.Krishan Chugh"/>
    <d v="2025-10-08T00:00:00"/>
    <d v="2025-10-24T00:00:00"/>
    <s v="Unknown"/>
    <s v="Nebulization &amp; O2 Support"/>
    <n v="51762.55"/>
    <s v="Max Bupa"/>
    <s v="Disputed"/>
    <s v="Discharged Against Medical Advice"/>
  </r>
  <r>
    <s v="HOSP-10418"/>
    <s v="Ritu Iyer"/>
    <n v="38"/>
    <x v="0"/>
    <s v="Chandigarh"/>
    <s v="Neurology"/>
    <s v="Dr.P. N. Renjen"/>
    <d v="2025-08-08T00:00:00"/>
    <d v="2025-08-14T00:00:00"/>
    <s v="Migraine Chronic"/>
    <s v="Botox Injection &amp; Triptans"/>
    <n v="144237.31"/>
    <s v="Icici Lombard"/>
    <s v="Partially Paid"/>
    <s v="Transferred"/>
  </r>
  <r>
    <s v="HOSP-10419"/>
    <s v="Amit Kumar"/>
    <n v="17"/>
    <x v="1"/>
    <s v="Chennai"/>
    <s v="Orthopedics"/>
    <s v="Dr.Harshavardhan Hegde"/>
    <d v="2025-07-12T00:00:00"/>
    <d v="2025-12-23T00:00:00"/>
    <s v="Osteoarthritis Knee"/>
    <s v="Total Knee Replacement"/>
    <n v="154474.9"/>
    <s v="Bajaj Allianz"/>
    <s v="Pending"/>
    <s v="Admitted"/>
  </r>
  <r>
    <s v="HOSP-10420"/>
    <s v="Priya Verma"/>
    <n v="28"/>
    <x v="0"/>
    <s v="Chandigarh"/>
    <s v="Orthopedics"/>
    <s v="Dr.Sks Marya"/>
    <d v="2025-10-13T00:00:00"/>
    <d v="2025-12-23T00:00:00"/>
    <s v="Osteoarthritis Knee"/>
    <s v="Total Knee Replacement"/>
    <n v="-271072.07"/>
    <s v="Star Health"/>
    <s v="Paid"/>
    <s v="Discharged"/>
  </r>
  <r>
    <s v="HOSP-10421"/>
    <s v="Meera Iyer"/>
    <n v="78"/>
    <x v="0"/>
    <s v="Unknown"/>
    <s v="Oncology"/>
    <s v="Dr.Suresh Advani"/>
    <d v="2025-04-26T00:00:00"/>
    <d v="2025-05-14T00:00:00"/>
    <s v="Colorectal Cancer"/>
    <s v="Colectomy"/>
    <n v="40000"/>
    <s v="Icici Lombard"/>
    <s v="Pending"/>
    <s v="Discharged Against Medical Advice"/>
  </r>
  <r>
    <s v="HOSP-10423"/>
    <s v="Aarav Reddy"/>
    <n v="86"/>
    <x v="1"/>
    <s v="Bangalore"/>
    <s v="Unknown"/>
    <s v="Dr.Devi Shetty"/>
    <d v="2025-08-30T00:00:00"/>
    <d v="2025-09-11T00:00:00"/>
    <s v="Myocardial Infarction"/>
    <s v="Thrombolysis"/>
    <n v="47767.94"/>
    <s v="Hdfc Ergo"/>
    <s v="Partially Paid"/>
    <s v="Transferred"/>
  </r>
  <r>
    <s v="HOSP-10424"/>
    <s v="Ananya Nair"/>
    <n v="78"/>
    <x v="0"/>
    <s v="Pune"/>
    <s v="General Medicine"/>
    <s v="Dr.Atul Gogia"/>
    <d v="2025-03-29T00:00:00"/>
    <d v="2025-04-04T00:00:00"/>
    <s v="Type 2 Diabetes Uncontrolled"/>
    <s v="Insulin Titration"/>
    <n v="42917.919999999998"/>
    <s v="Bajaj Allianz"/>
    <s v="Paid"/>
    <s v="Discharged Against Medical Advice"/>
  </r>
  <r>
    <s v="HOSP-10425"/>
    <s v="Rajesh Joshi"/>
    <n v="57"/>
    <x v="1"/>
    <s v="Mumbai"/>
    <s v="Orthopedics"/>
    <s v="Dr.Sks Marya"/>
    <d v="2025-01-18T00:00:00"/>
    <d v="2025-02-02T00:00:00"/>
    <s v="Rotator Cuff Tear"/>
    <s v="Arthroscopic Repair"/>
    <n v="276405.78000000003"/>
    <s v="None / Self Pay"/>
    <s v="Unknown"/>
    <s v="Discharged"/>
  </r>
  <r>
    <s v="HOSP-10426"/>
    <s v="Diya Gupta"/>
    <n v="32"/>
    <x v="0"/>
    <s v="Chandigarh"/>
    <s v="Pediatrics"/>
    <s v="Dr.Veena Kalra"/>
    <d v="2025-09-03T00:00:00"/>
    <d v="2025-08-09T00:00:00"/>
    <s v="Severe Pneumonia"/>
    <s v="Iv Antibiotics"/>
    <n v="270242.33"/>
    <s v="Bajaj Allianz"/>
    <s v="Disputed"/>
    <s v="Discharged Against Medical Advice"/>
  </r>
  <r>
    <s v="HOSP-10427"/>
    <s v="Aarav Iyer"/>
    <n v="83"/>
    <x v="1"/>
    <s v="Mumbai"/>
    <s v="Neurology"/>
    <s v="Dr.Mukul Varma"/>
    <d v="2025-10-03T00:00:00"/>
    <d v="2025-10-15T00:00:00"/>
    <s v="Epilepsy"/>
    <s v="Anticonvulsant Therapy"/>
    <n v="243996.75"/>
    <s v="Unknown"/>
    <s v="Paid"/>
    <s v="Discharged Against Medical Advice"/>
  </r>
  <r>
    <s v="HOSP-143"/>
    <s v="Unknown"/>
    <n v="21"/>
    <x v="1"/>
    <s v="Pune"/>
    <s v="Orthopedics"/>
    <s v="Dr.Sks Marya"/>
    <d v="2025-02-10T00:00:00"/>
    <d v="2025-12-23T00:00:00"/>
    <s v="Osteoarthritis Knee"/>
    <s v="Total Knee Replacement"/>
    <n v="27887.200000000001"/>
    <s v="Unknown"/>
    <s v="Disputed"/>
    <s v="Admitted"/>
  </r>
  <r>
    <s v="HOSP-10429"/>
    <s v="Suresh Gupta"/>
    <n v="48"/>
    <x v="1"/>
    <s v="Hyderabad"/>
    <s v="Oncology"/>
    <s v="Dr.Harit Chaturvedi"/>
    <d v="2025-08-23T00:00:00"/>
    <d v="2025-09-06T00:00:00"/>
    <s v="Lung Adenocarcinoma"/>
    <s v="Targeted Therapy"/>
    <n v="94685.56"/>
    <s v="Max Bupa"/>
    <s v="Pending"/>
    <s v="Discharged Against Medical Advice"/>
  </r>
  <r>
    <s v="HOSP-10430"/>
    <s v="Priya Verma"/>
    <n v="28"/>
    <x v="0"/>
    <s v="Pune"/>
    <s v="Gastroenterology"/>
    <s v="Dr.Govind Makharia"/>
    <d v="2025-03-02T00:00:00"/>
    <d v="2025-03-05T00:00:00"/>
    <s v="Peptic Ulcer Bleeding"/>
    <s v="Endoscopic Banding"/>
    <n v="297160.62"/>
    <s v="None"/>
    <s v="Disputed"/>
    <s v="In-Patient"/>
  </r>
  <r>
    <s v="HOSP-10431"/>
    <s v="Vihaan Nair"/>
    <n v="2"/>
    <x v="1"/>
    <s v="Pune"/>
    <s v="Unknown"/>
    <s v="Dr.Sks Marya"/>
    <d v="2025-07-28T00:00:00"/>
    <d v="2025-08-12T00:00:00"/>
    <s v="Rotator Cuff Tear"/>
    <s v="Arthroscopic Repair"/>
    <n v="226360.94"/>
    <s v="Max Bupa"/>
    <s v="Claim Processing"/>
    <s v="Transferred"/>
  </r>
  <r>
    <s v="HOSP-10432"/>
    <s v="Vihaan Verma"/>
    <n v="19"/>
    <x v="1"/>
    <s v="Pune"/>
    <s v="Oncology"/>
    <s v="Dr.Suresh Advani"/>
    <d v="2025-11-09T00:00:00"/>
    <d v="2025-12-23T00:00:00"/>
    <s v="Breast Carcinoma"/>
    <s v="Chemotherapy &amp; Lumpectomy"/>
    <n v="67171.45"/>
    <s v="Star Health"/>
    <s v="Paid"/>
    <s v="Admitted"/>
  </r>
  <r>
    <s v="HOSP-10433"/>
    <s v="Aarav Joshi"/>
    <n v="6"/>
    <x v="1"/>
    <s v="Mumbai"/>
    <s v="Gastroenterology"/>
    <s v="Dr.Govind Makharia"/>
    <d v="2025-06-23T00:00:00"/>
    <d v="2025-06-29T00:00:00"/>
    <s v="Liver Cirrhosis"/>
    <s v="Paracentesis &amp; Diuretics"/>
    <n v="269392.61"/>
    <s v="Max Bupa"/>
    <s v="Partially Paid"/>
    <s v="Discharged Against Medical Advice"/>
  </r>
  <r>
    <s v="HOSP-123"/>
    <s v="Deepak Mehta"/>
    <n v="19"/>
    <x v="1"/>
    <s v="Hyderabad"/>
    <s v="Orthopedics"/>
    <s v="Dr.Ramneek Mahajan"/>
    <d v="2025-11-12T00:00:00"/>
    <d v="2025-11-16T00:00:00"/>
    <s v="Femur Fracture"/>
    <s v="Internal Fixation"/>
    <n v="58427.63"/>
    <s v="Icici Lombard"/>
    <s v="Paid"/>
    <s v="Expired"/>
  </r>
  <r>
    <s v="HOSP-10435"/>
    <s v="Rajesh Verma"/>
    <n v="82"/>
    <x v="1"/>
    <s v="Mumbai"/>
    <s v="Neurology"/>
    <s v="Dr.Unknown"/>
    <d v="2025-12-09T00:00:00"/>
    <d v="2025-12-17T00:00:00"/>
    <s v="Epilepsy"/>
    <s v="Anticonvulsant Therapy"/>
    <n v="231726.06"/>
    <s v="None / Self Pay"/>
    <s v="Paid"/>
    <s v="Discharged Against Medical Advice"/>
  </r>
  <r>
    <s v="HOSP-10436"/>
    <s v="Aditya Iyer"/>
    <n v="8"/>
    <x v="1"/>
    <s v="Chandigarh"/>
    <s v="General Medicine"/>
    <s v="Dr.Anoop Misra"/>
    <d v="2025-03-30T00:00:00"/>
    <d v="2025-04-15T00:00:00"/>
    <s v="Hypertensive Crisis"/>
    <s v="Iv Labetalol"/>
    <n v="40000"/>
    <s v="Care Health"/>
    <s v="Disputed"/>
    <s v="Expired"/>
  </r>
  <r>
    <s v="HOSP-10437"/>
    <s v="Amit Joshi"/>
    <n v="17"/>
    <x v="1"/>
    <s v="Jaipur"/>
    <s v="Oncology"/>
    <s v="Dr.Vinod Raina"/>
    <d v="2025-09-29T00:00:00"/>
    <d v="2025-03-10T00:00:00"/>
    <s v="Unknown"/>
    <s v="R-Chop Regimen"/>
    <n v="-32263.040000000001"/>
    <s v="Care Health"/>
    <s v="Disputed"/>
    <s v="Transferred"/>
  </r>
  <r>
    <s v="HOSP-10438"/>
    <s v="Anjali Nair"/>
    <n v="12"/>
    <x v="0"/>
    <s v="Delhi"/>
    <s v="Cardiology"/>
    <s v="Dr.Naresh Trehan"/>
    <d v="2025-04-10T00:00:00"/>
    <d v="2025-02-23T00:00:00"/>
    <s v="Myocardial Infarction"/>
    <s v="Thrombolysis"/>
    <n v="330944.7"/>
    <s v="Bajaj Allianz"/>
    <s v="Pending"/>
    <s v="Discharged"/>
  </r>
  <r>
    <s v="HOSP-10440"/>
    <s v="Sneha Joshi"/>
    <n v="52"/>
    <x v="0"/>
    <s v="Bangalore"/>
    <s v="Oncology"/>
    <s v="Dr.Suresh Advani"/>
    <d v="2025-06-18T00:00:00"/>
    <d v="2025-06-19T00:00:00"/>
    <s v="Lung Adenocarcinoma"/>
    <s v="Targeted Therapy"/>
    <n v="15338.44"/>
    <s v="Care Health"/>
    <s v="Disputed"/>
    <s v="Transferred"/>
  </r>
  <r>
    <s v="HOSP-10441"/>
    <s v="Ritu Mehta"/>
    <n v="73"/>
    <x v="0"/>
    <s v="Hyderabad"/>
    <s v="Oncology"/>
    <s v="Dr.Suresh Advani"/>
    <d v="2025-02-08T00:00:00"/>
    <d v="2025-02-21T00:00:00"/>
    <s v="Lymphoma"/>
    <s v="R-Chop Regimen"/>
    <n v="301563.46000000002"/>
    <s v="Max Bupa"/>
    <s v="Disputed"/>
    <s v="Expired"/>
  </r>
  <r>
    <s v="HOSP-10442"/>
    <s v="Meera Kumar"/>
    <n v="38"/>
    <x v="0"/>
    <s v="Unknown"/>
    <s v="Cardiology"/>
    <s v="Dr.Naresh Trehan"/>
    <d v="2025-10-03T00:00:00"/>
    <d v="2025-10-16T00:00:00"/>
    <s v="Coronary Artery Disease"/>
    <s v="Angioplasty"/>
    <n v="266848.95"/>
    <s v="Bajaj Allianz"/>
    <s v="Pending"/>
    <s v="Discharged"/>
  </r>
  <r>
    <s v="HOSP-141"/>
    <s v="Aarav Iyer"/>
    <n v="56"/>
    <x v="1"/>
    <s v="Ahmedabad"/>
    <s v="Cardiology"/>
    <s v="Dr.Ashok Seth"/>
    <d v="2025-04-10T00:00:00"/>
    <d v="2025-12-23T00:00:00"/>
    <s v="Arrhythmia"/>
    <s v="Pacemaker Implantation"/>
    <n v="-349245.8"/>
    <s v="N/A"/>
    <s v="Paid"/>
    <s v="Admitted"/>
  </r>
  <r>
    <s v="HOSP-10445"/>
    <s v="Manoj Verma"/>
    <n v="62"/>
    <x v="1"/>
    <s v="Kolkata"/>
    <s v="Pediatrics"/>
    <s v="Dr.Veena Kalra"/>
    <d v="2025-08-27T00:00:00"/>
    <d v="2025-12-23T00:00:00"/>
    <s v="Unknown"/>
    <s v="Iv Fluids &amp; Electrolytes"/>
    <n v="257045.17"/>
    <s v="Bajaj Allianz"/>
    <s v="Pending"/>
    <s v="Admitted"/>
  </r>
  <r>
    <s v="HOSP-10446"/>
    <s v="Vihaan Singh"/>
    <n v="80"/>
    <x v="1"/>
    <s v="Chennai"/>
    <s v="Oncology"/>
    <s v="Dr.Suresh Advani"/>
    <d v="2025-04-10T00:00:00"/>
    <d v="2025-10-21T00:00:00"/>
    <s v="Colorectal Cancer"/>
    <s v="Colectomy"/>
    <n v="113667.33"/>
    <s v="Care Health"/>
    <s v="Paid"/>
    <s v="Transferred"/>
  </r>
  <r>
    <s v="HOSP-10447"/>
    <s v="Rajesh Mehta"/>
    <n v="33"/>
    <x v="1"/>
    <s v="Pune"/>
    <s v="Oncology"/>
    <s v="Dr.Suresh Advani"/>
    <d v="2025-05-26T00:00:00"/>
    <d v="2025-12-23T00:00:00"/>
    <s v="Lung Adenocarcinoma"/>
    <s v="Targeted Therapy"/>
    <n v="327664.96000000002"/>
    <s v="Care Health"/>
    <s v="Disputed"/>
    <s v="Admitted"/>
  </r>
  <r>
    <s v="HOSP-10448"/>
    <s v="Sunita Joshi"/>
    <n v="77"/>
    <x v="0"/>
    <s v="Ahmedabad"/>
    <s v="Orthopedics"/>
    <s v="Dr.Ramneek Mahajan"/>
    <d v="2025-03-19T00:00:00"/>
    <d v="2025-03-31T00:00:00"/>
    <s v="Rotator Cuff Tear"/>
    <s v="Arthroscopic Repair"/>
    <n v="14412.2"/>
    <s v="Star Health"/>
    <s v="Paid"/>
    <s v="Discharged Against Medical Advice"/>
  </r>
  <r>
    <s v="HOSP-10449"/>
    <s v="Pooja Mehta"/>
    <n v="69"/>
    <x v="0"/>
    <s v="Hyderabad"/>
    <s v="Pediatrics"/>
    <s v="Dr.Arvind Bagga"/>
    <d v="2025-10-27T00:00:00"/>
    <d v="2025-11-02T00:00:00"/>
    <s v="Acute Bronchiolitis"/>
    <s v="Nebulization &amp; O2 Support"/>
    <n v="206432.71"/>
    <s v="Icici Lombard"/>
    <s v="Pending"/>
    <s v="Expired"/>
  </r>
  <r>
    <s v="HOSP-10450"/>
    <s v="Ramesh Patel"/>
    <n v="17"/>
    <x v="1"/>
    <s v="Chennai"/>
    <s v="Neurology"/>
    <s v="Dr.Mukul Varma"/>
    <d v="2025-05-04T00:00:00"/>
    <d v="2025-05-15T00:00:00"/>
    <s v="Unknown"/>
    <s v="Tpa Therapy"/>
    <n v="-115728.64"/>
    <s v="Hdfc Ergo"/>
    <s v="Pending"/>
    <s v="Transferred"/>
  </r>
  <r>
    <s v="HOSP-10452"/>
    <s v="Vihaan Singh"/>
    <n v="85"/>
    <x v="1"/>
    <s v="Chandigarh"/>
    <s v="Gastroenterology"/>
    <s v="Dr.Govind Makharia"/>
    <d v="2025-02-16T00:00:00"/>
    <d v="2025-12-23T00:00:00"/>
    <s v="Acute Pancreatitis"/>
    <s v="Conservative Management"/>
    <n v="68567.039999999994"/>
    <s v="None / Self Pay"/>
    <s v="Paid"/>
    <s v="Admitted"/>
  </r>
  <r>
    <s v="HOSP-10453"/>
    <s v="Manoj Patel"/>
    <n v="18"/>
    <x v="1"/>
    <s v="Chandigarh"/>
    <s v="Gastroenterology"/>
    <s v="Dr.Randhir Sud"/>
    <d v="2025-02-21T00:00:00"/>
    <d v="2025-02-23T00:00:00"/>
    <s v="Gallstones / Cholecystitis"/>
    <s v="Laparoscopic Cholecystectomy"/>
    <n v="245988.96"/>
    <s v="Unknown"/>
    <s v="Disputed"/>
    <s v="Discharged"/>
  </r>
  <r>
    <s v="HOSP-10454"/>
    <s v="Rajesh Singh"/>
    <n v="50"/>
    <x v="1"/>
    <s v="Kolkata"/>
    <s v="Oncology"/>
    <s v="Dr.Unknown"/>
    <d v="2025-06-17T00:00:00"/>
    <d v="2025-06-26T00:00:00"/>
    <s v="Breast Carcinoma"/>
    <s v="Chemotherapy &amp; Lumpectomy"/>
    <n v="75111.69"/>
    <s v="Hdfc Ergo"/>
    <s v="Paid"/>
    <s v="Expired"/>
  </r>
  <r>
    <s v="HOSP-10455"/>
    <s v="Deepak Verma"/>
    <n v="65"/>
    <x v="1"/>
    <s v="Hyderabad"/>
    <s v="Pediatrics"/>
    <s v="Dr.Veena Kalra"/>
    <d v="2025-04-16T00:00:00"/>
    <d v="2025-04-19T00:00:00"/>
    <s v="Acute Bronchiolitis"/>
    <s v="Nebulization &amp; O2 Support"/>
    <n v="180878.3"/>
    <s v="Star Health"/>
    <s v="Paid"/>
    <s v="Discharged"/>
  </r>
  <r>
    <s v="HOSP-10456"/>
    <s v="Aarav Mehta"/>
    <n v="25"/>
    <x v="1"/>
    <s v="Hyderabad"/>
    <s v="Neurology"/>
    <s v="Dr.P. N. Renjen"/>
    <d v="2025-03-22T00:00:00"/>
    <d v="2025-04-06T00:00:00"/>
    <s v="Epilepsy"/>
    <s v="Anticonvulsant Therapy"/>
    <n v="68817.2"/>
    <s v="Icici Lombard"/>
    <s v="Partially Paid"/>
    <s v="Discharged Against Medical Advice"/>
  </r>
  <r>
    <s v="HOSP-10458"/>
    <s v="Sneha Gupta"/>
    <n v="58"/>
    <x v="2"/>
    <s v="Delhi"/>
    <s v="Neurology"/>
    <s v="Dr.Unknown"/>
    <d v="2025-04-05T00:00:00"/>
    <d v="2025-04-14T00:00:00"/>
    <s v="Migraine Chronic"/>
    <s v="Botox Injection &amp; Triptans"/>
    <n v="229226.77"/>
    <s v="Icici Lombard"/>
    <s v="Pending"/>
    <s v="Expired"/>
  </r>
  <r>
    <s v="HOSP-10459"/>
    <s v="Vikram Mehta"/>
    <n v="29"/>
    <x v="1"/>
    <s v="Jaipur"/>
    <s v="Oncology"/>
    <s v="Dr.Suresh Advani"/>
    <d v="2025-02-01T00:00:00"/>
    <d v="2025-12-23T00:00:00"/>
    <s v="Lung Adenocarcinoma"/>
    <s v="Targeted Therapy"/>
    <n v="183161.99"/>
    <s v="Bajaj Allianz"/>
    <s v="Paid"/>
    <s v="Admitted"/>
  </r>
  <r>
    <s v="HOSP-10460"/>
    <s v="Amit Singh"/>
    <n v="14"/>
    <x v="2"/>
    <s v="Delhi"/>
    <s v="Pediatrics"/>
    <s v="Dr.Krishan Chugh"/>
    <d v="2025-04-08T00:00:00"/>
    <d v="2025-04-24T00:00:00"/>
    <s v="Acute Bronchiolitis"/>
    <s v="Nebulization &amp; O2 Support"/>
    <n v="129525.51"/>
    <s v="Care Health"/>
    <s v="Partially Paid"/>
    <s v="Discharged"/>
  </r>
  <r>
    <s v="HOSP-10461"/>
    <s v="Vikram Verma"/>
    <n v="3"/>
    <x v="1"/>
    <s v="Hyderabad"/>
    <s v="Neurology"/>
    <s v="Dr.Mukul Varma"/>
    <d v="2025-02-10T00:00:00"/>
    <d v="2025-02-08T00:00:00"/>
    <s v="Acute Ischemic Stroke"/>
    <s v="Tpa Therapy"/>
    <n v="174036.3"/>
    <s v="Bajaj Allianz"/>
    <s v="Partially Paid"/>
    <s v="Discharged"/>
  </r>
  <r>
    <s v="HOSP-10462"/>
    <s v="Rajesh Singh"/>
    <n v="83"/>
    <x v="1"/>
    <s v="Delhi"/>
    <s v="General Medicine"/>
    <s v="Dr.Anoop Misra"/>
    <d v="2025-12-10T00:00:00"/>
    <d v="2025-12-11T00:00:00"/>
    <s v="Unknown"/>
    <s v="Platelet Support"/>
    <n v="21364.73"/>
    <s v="Bajaj Allianz"/>
    <s v="Claim Processing"/>
    <s v="Discharged"/>
  </r>
  <r>
    <s v="HOSP-10464"/>
    <s v="Diya Reddy"/>
    <n v="22"/>
    <x v="0"/>
    <s v="Hyderabad"/>
    <s v="Pediatrics"/>
    <s v="Dr.Arvind Bagga"/>
    <d v="2025-02-01T00:00:00"/>
    <d v="2025-02-18T00:00:00"/>
    <s v="Acute Bronchiolitis"/>
    <s v="Nebulization &amp; O2 Support"/>
    <n v="344496.24"/>
    <s v="Icici Lombard"/>
    <s v="Disputed"/>
    <s v="Discharged Against Medical Advice"/>
  </r>
  <r>
    <s v="HOSP-10466"/>
    <s v="Vikram Iyer"/>
    <n v="26"/>
    <x v="2"/>
    <s v="Pune"/>
    <s v="Pediatrics"/>
    <s v="Dr.Arvind Bagga"/>
    <d v="2025-06-26T00:00:00"/>
    <d v="2025-08-07T00:00:00"/>
    <s v="Severe Pneumonia"/>
    <s v="Iv Antibiotics"/>
    <n v="346234.73"/>
    <s v="None"/>
    <s v="Partially Paid"/>
    <s v="Discharged"/>
  </r>
  <r>
    <s v="HOSP-1467"/>
    <s v="Vihaan Verma"/>
    <n v="3"/>
    <x v="1"/>
    <s v="Ahmedabad"/>
    <s v="Gastroenterology"/>
    <s v="Dr.Randhir Sud"/>
    <d v="2025-08-18T00:00:00"/>
    <d v="2025-12-23T00:00:00"/>
    <s v="Peptic Ulcer Bleeding"/>
    <s v="Endoscopic Banding"/>
    <n v="-228488.28"/>
    <s v="Care Health"/>
    <s v="Paid"/>
    <s v="Admitted"/>
  </r>
  <r>
    <s v="HOSP-10468"/>
    <s v="Deepak Verma"/>
    <n v="58"/>
    <x v="1"/>
    <s v="Hyderabad"/>
    <s v="Cardiology"/>
    <s v="Dr.Naresh Trehan"/>
    <d v="2025-01-29T00:00:00"/>
    <d v="2025-05-02T00:00:00"/>
    <s v="Coronary Artery Disease"/>
    <s v="Angioplasty"/>
    <n v="284470.31"/>
    <s v="Bajaj Allianz"/>
    <s v="Partially Paid"/>
    <s v="Transferred"/>
  </r>
  <r>
    <s v="HOSP-10469"/>
    <s v="Manoj Nair"/>
    <n v="47"/>
    <x v="1"/>
    <s v="Delhi"/>
    <s v="Orthopedics"/>
    <s v="Dr.Ramneek Mahajan"/>
    <d v="2025-12-07T00:00:00"/>
    <d v="2025-12-23T00:00:00"/>
    <s v="Rotator Cuff Tear"/>
    <s v="Arthroscopic Repair"/>
    <n v="291337.67"/>
    <s v="Icici Lombard"/>
    <s v="Paid"/>
    <s v="Admitted"/>
  </r>
  <r>
    <s v="HOSP-10470"/>
    <s v="Aditya Mehta"/>
    <n v="53"/>
    <x v="1"/>
    <s v="Delhi"/>
    <s v="Neurology"/>
    <s v="Dr.Sushil Razdan"/>
    <d v="2025-09-19T00:00:00"/>
    <d v="2025-12-23T00:00:00"/>
    <s v="Acute Ischemic Stroke"/>
    <s v="Tpa Therapy"/>
    <n v="315860.09999999998"/>
    <s v="None / Self Pay"/>
    <s v="Partially Paid"/>
    <s v="Admitted"/>
  </r>
  <r>
    <s v="HOSP-10472"/>
    <s v="Sunita Kumar"/>
    <n v="61"/>
    <x v="0"/>
    <s v="Chandigarh"/>
    <s v="Unknown"/>
    <s v="Dr.Govind Makharia"/>
    <d v="2025-01-11T00:00:00"/>
    <d v="2025-01-15T00:00:00"/>
    <s v="Peptic Ulcer Bleeding"/>
    <s v="Endoscopic Banding"/>
    <n v="12286.13"/>
    <s v="None"/>
    <s v="Paid"/>
    <s v="Discharged"/>
  </r>
  <r>
    <s v="HOSP-10473"/>
    <s v="Priya Verma"/>
    <n v="83"/>
    <x v="0"/>
    <s v="Kolkata"/>
    <s v="Gastroenterology"/>
    <s v="Dr.Randhir Sud"/>
    <d v="2025-03-05T00:00:00"/>
    <d v="2025-06-05T00:00:00"/>
    <s v="Liver Cirrhosis"/>
    <s v="Paracentesis &amp; Diuretics"/>
    <n v="81893.210000000006"/>
    <s v="None / Self Pay"/>
    <s v="Pending"/>
    <s v="Transferred"/>
  </r>
  <r>
    <s v="HOSP-10475"/>
    <s v="Meera Bose"/>
    <n v="10"/>
    <x v="0"/>
    <s v="Ahmedabad"/>
    <s v="Orthopedics"/>
    <s v="Dr.Harshavardhan Hegde"/>
    <d v="2025-02-06T00:00:00"/>
    <d v="2025-12-23T00:00:00"/>
    <s v="Lumbar Spondylosis"/>
    <s v="Spinal Decompression"/>
    <n v="15667.1"/>
    <s v="Star Health"/>
    <s v="Disputed"/>
    <s v="Admitted"/>
  </r>
  <r>
    <s v="HOSP-10477"/>
    <s v="Rohan Bose"/>
    <n v="88"/>
    <x v="1"/>
    <s v="Bangalore"/>
    <s v="Pediatrics"/>
    <s v="Dr.Veena Kalra"/>
    <d v="2025-06-09T00:00:00"/>
    <d v="2025-12-23T00:00:00"/>
    <s v="Severe Pneumonia"/>
    <s v="Iv Antibiotics"/>
    <n v="328190.71000000002"/>
    <s v="Bajaj Allianz"/>
    <s v="Pending"/>
    <s v="Admitted"/>
  </r>
  <r>
    <s v="HOSP-10478"/>
    <s v="Vihaan Verma"/>
    <n v="16"/>
    <x v="1"/>
    <s v="Pune"/>
    <s v="Cardiology"/>
    <s v="Dr.Ashok Seth"/>
    <d v="2025-10-18T00:00:00"/>
    <d v="2025-01-11T00:00:00"/>
    <s v="Heart Failure"/>
    <s v="Ace Inhibitors &amp; Diuretics"/>
    <n v="102588.38"/>
    <s v="Icici Lombard"/>
    <s v="Disputed"/>
    <s v="Discharged Against Medical Advice"/>
  </r>
  <r>
    <s v="HOSP-10479"/>
    <s v="Anita Joshi"/>
    <n v="18"/>
    <x v="0"/>
    <s v="Mumbai"/>
    <s v="Pediatrics"/>
    <s v="Dr.Unknown"/>
    <d v="2025-06-23T00:00:00"/>
    <d v="2025-06-24T00:00:00"/>
    <s v="Severe Pneumonia"/>
    <s v="Iv Antibiotics"/>
    <n v="243594.27"/>
    <s v="None / Self Pay"/>
    <s v="Pending"/>
    <s v="Discharged Against Medical Advice"/>
  </r>
  <r>
    <s v="HOSP-10480"/>
    <s v="Neha Iyer"/>
    <n v="88"/>
    <x v="0"/>
    <s v="Unknown"/>
    <s v="Oncology"/>
    <s v="Dr.Harit Chaturvedi"/>
    <d v="2025-08-02T00:00:00"/>
    <d v="2025-12-23T00:00:00"/>
    <s v="Breast Carcinoma"/>
    <s v="Chemotherapy &amp; Lumpectomy"/>
    <n v="261994.94"/>
    <s v="Unknown"/>
    <s v="Paid"/>
    <s v="Admitted"/>
  </r>
  <r>
    <s v="HOSP-10481"/>
    <s v="Neha Reddy"/>
    <n v="79"/>
    <x v="0"/>
    <s v="Kolkata"/>
    <s v="Gastroenterology"/>
    <s v="Dr.Govind Makharia"/>
    <d v="2025-07-02T00:00:00"/>
    <d v="2025-07-15T00:00:00"/>
    <s v="Acute Pancreatitis"/>
    <s v="Conservative Management"/>
    <n v="80052.56"/>
    <s v="Icici Lombard"/>
    <s v="Paid"/>
    <s v="Discharged Against Medical Advice"/>
  </r>
  <r>
    <s v="HOSP-10483"/>
    <s v="Vihaan Sharma"/>
    <n v="15"/>
    <x v="1"/>
    <s v="Ahmedabad"/>
    <s v="Orthopedics"/>
    <s v="Dr.Sks Marya"/>
    <d v="2025-11-28T00:00:00"/>
    <d v="2025-12-23T00:00:00"/>
    <s v="Lumbar Spondylosis"/>
    <s v="Spinal Decompression"/>
    <n v="285895.32"/>
    <s v="Bajaj Allianz"/>
    <s v="Pending"/>
    <s v="Admitted"/>
  </r>
  <r>
    <s v="HOSP-10485"/>
    <s v="Unknown"/>
    <n v="18"/>
    <x v="0"/>
    <s v="Kolkata"/>
    <s v="Gastroenterology"/>
    <s v="Dr.Randhir Sud"/>
    <d v="2025-11-20T00:00:00"/>
    <d v="2025-11-28T00:00:00"/>
    <s v="Liver Cirrhosis"/>
    <s v="Paracentesis &amp; Diuretics"/>
    <n v="118716.9"/>
    <s v="None / Self Pay"/>
    <s v="Pending"/>
    <s v="Expired"/>
  </r>
  <r>
    <s v="HOSP-10487"/>
    <s v="Rohan Kumar"/>
    <n v="38"/>
    <x v="1"/>
    <s v="Chennai"/>
    <s v="Oncology"/>
    <s v="Dr.Vinod Raina"/>
    <d v="2025-01-18T00:00:00"/>
    <d v="2025-01-25T00:00:00"/>
    <s v="Breast Carcinoma"/>
    <s v="Chemotherapy &amp; Lumpectomy"/>
    <n v="316292.25"/>
    <s v="Max Bupa"/>
    <s v="Partially Paid"/>
    <s v="Transferred"/>
  </r>
  <r>
    <s v="HOSP-10488"/>
    <s v="Kabir Reddy"/>
    <n v="64"/>
    <x v="1"/>
    <s v="Unknown"/>
    <s v="General Medicine"/>
    <s v="Dr.R. K. Singhal"/>
    <d v="2025-01-19T00:00:00"/>
    <d v="2025-01-20T00:00:00"/>
    <s v="Dengue Fever With Thrombocytopenia"/>
    <s v="Unknown"/>
    <n v="138512.87"/>
    <s v="Max Bupa"/>
    <s v="Partially Paid"/>
    <s v="Discharged Against Medical Advice"/>
  </r>
  <r>
    <s v="HOSP-132"/>
    <s v="Anita Gupta"/>
    <n v="81"/>
    <x v="0"/>
    <s v="Mumbai"/>
    <s v="Cardiology"/>
    <s v="Dr.Devi Shetty"/>
    <d v="2025-06-20T00:00:00"/>
    <d v="2025-07-06T00:00:00"/>
    <s v="Arrhythmia"/>
    <s v="Pacemaker Implantation"/>
    <n v="164538.67000000001"/>
    <s v="Star Health"/>
    <s v="Paid"/>
    <s v="Expired"/>
  </r>
  <r>
    <s v="HOSP-10491"/>
    <s v="Priya Sharma"/>
    <n v="31"/>
    <x v="0"/>
    <s v="Chandigarh"/>
    <s v="Pediatrics"/>
    <s v="Dr.Veena Kalra"/>
    <d v="2025-07-06T00:00:00"/>
    <d v="2025-07-16T00:00:00"/>
    <s v="Severe Pneumonia"/>
    <s v="Iv Antibiotics"/>
    <n v="265719.40000000002"/>
    <s v="Hdfc Ergo"/>
    <s v="Disputed"/>
    <s v="Discharged Against Medical Advice"/>
  </r>
  <r>
    <s v="HOSP-10493"/>
    <s v="Amit Patel"/>
    <n v="41"/>
    <x v="1"/>
    <s v="Jaipur"/>
    <s v="Pediatrics"/>
    <s v="Dr.Veena Kalra"/>
    <d v="2025-02-18T00:00:00"/>
    <d v="2025-02-24T00:00:00"/>
    <s v="Neonatal Jaundice"/>
    <s v="Phototherapy"/>
    <n v="5470.34"/>
    <s v="Unknown"/>
    <s v="Pending"/>
    <s v="Discharged"/>
  </r>
  <r>
    <s v="HOSP-10494"/>
    <s v="Priya Verma"/>
    <n v="14"/>
    <x v="0"/>
    <s v="Chandigarh"/>
    <s v="Oncology"/>
    <s v="Dr.Suresh Advani"/>
    <d v="2025-02-28T00:00:00"/>
    <d v="2025-03-05T00:00:00"/>
    <s v="Breast Carcinoma"/>
    <s v="Chemotherapy &amp; Lumpectomy"/>
    <n v="-153231.04999999999"/>
    <s v="Icici Lombard"/>
    <s v="Partially Paid"/>
    <s v="Expired"/>
  </r>
  <r>
    <s v="HOSP-10495"/>
    <s v="Neha Gupta"/>
    <n v="64"/>
    <x v="0"/>
    <s v="Jaipur"/>
    <s v="Pediatrics"/>
    <s v="Dr.Krishan Chugh"/>
    <d v="2025-05-08T00:00:00"/>
    <d v="2025-05-17T00:00:00"/>
    <s v="Severe Pneumonia"/>
    <s v="Unknown"/>
    <n v="298327.53999999998"/>
    <s v="Icici Lombard"/>
    <s v="Unknown"/>
    <s v="Discharged"/>
  </r>
  <r>
    <s v="HOSP-10498"/>
    <s v="Aditya Iyer"/>
    <n v="12"/>
    <x v="1"/>
    <s v="Chandigarh"/>
    <s v="Oncology"/>
    <s v="Dr.Suresh Advani"/>
    <d v="2025-04-10T00:00:00"/>
    <d v="2025-10-28T00:00:00"/>
    <s v="Breast Carcinoma"/>
    <s v="Chemotherapy &amp; Lumpectomy"/>
    <n v="314197.02"/>
    <s v="Care Health"/>
    <s v="Pending"/>
    <s v="Expired"/>
  </r>
  <r>
    <s v="HOSP-10499"/>
    <s v="Rohan Nair"/>
    <n v="35"/>
    <x v="1"/>
    <s v="Hyderabad"/>
    <s v="Oncology"/>
    <s v="Dr.Vinod Raina"/>
    <d v="2025-09-04T00:00:00"/>
    <d v="2025-12-23T00:00:00"/>
    <s v="Breast Carcinoma"/>
    <s v="Chemotherapy &amp; Lumpectomy"/>
    <n v="308766.90999999997"/>
    <s v="Icici Lombard"/>
    <s v="Partially Paid"/>
    <s v="Admitted"/>
  </r>
  <r>
    <s v="Unknown"/>
    <s v="Ananya Patel"/>
    <n v="2"/>
    <x v="0"/>
    <s v="Ahmedabad"/>
    <s v="Unknown"/>
    <s v="Dr.Govind Makharia"/>
    <d v="2025-08-09T00:00:00"/>
    <d v="2025-08-20T00:00:00"/>
    <s v="Acute Pancreatitis"/>
    <s v="Conservative Management"/>
    <n v="99999999"/>
    <s v="Care Health"/>
    <s v="Claim Processing"/>
    <s v="Discharged Against Medical Advic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s v="HOSP-10002"/>
    <s v="Ritu Singh"/>
    <n v="55"/>
    <s v="Female"/>
    <s v="Unknown"/>
    <x v="0"/>
    <s v="Dr.Suresh Advani"/>
    <d v="2025-12-01T00:00:00"/>
    <d v="2025-01-24T00:00:00"/>
    <s v="Lung Adenocarcinoma"/>
    <s v="Targeted Therapy"/>
    <n v="100821.63"/>
    <s v="None / Self Pay"/>
    <s v="Disputed"/>
    <s v="Discharged"/>
  </r>
  <r>
    <s v="HOSP-10003"/>
    <s v="Pooja Bose"/>
    <n v="11"/>
    <s v="Female"/>
    <s v="Jaipur"/>
    <x v="1"/>
    <s v="Dr.Anoop Misra"/>
    <d v="2025-09-11T00:00:00"/>
    <d v="2025-12-23T00:00:00"/>
    <s v="Dengue Fever With Thrombocytopenia"/>
    <s v="Platelet Support"/>
    <n v="159034.31"/>
    <s v="Hdfc Ergo"/>
    <s v="Partially Paid"/>
    <s v="Admitted"/>
  </r>
  <r>
    <s v="HOSP-135"/>
    <s v="Neha Sharma"/>
    <n v="42"/>
    <s v="Female"/>
    <s v="Bangalore"/>
    <x v="2"/>
    <s v="Dr.P. N. Renjen"/>
    <d v="2025-06-13T00:00:00"/>
    <d v="2025-12-23T00:00:00"/>
    <s v="Parkinson'S Disease"/>
    <s v="Levodopa Therapy"/>
    <n v="201434.4"/>
    <s v="Max Bupa"/>
    <s v="Pending"/>
    <s v="Admitted"/>
  </r>
  <r>
    <s v="HOSP-10005"/>
    <s v="Ananya Gupta"/>
    <n v="52"/>
    <s v="Female"/>
    <s v="Delhi"/>
    <x v="3"/>
    <s v="Dr.Arvind Bagga"/>
    <d v="2025-03-16T00:00:00"/>
    <d v="2025-03-27T00:00:00"/>
    <s v="Viral Gastroenteritis"/>
    <s v="Iv Fluids &amp; Electrolytes"/>
    <n v="130701.41"/>
    <s v="Hdfc Ergo"/>
    <s v="Disputed"/>
    <s v="Discharged"/>
  </r>
  <r>
    <s v="HOSP-10006"/>
    <s v="Priya Mehta"/>
    <n v="6"/>
    <s v="Female"/>
    <s v="Jaipur"/>
    <x v="1"/>
    <s v="Dr.Anoop Misra"/>
    <d v="2025-10-11T00:00:00"/>
    <d v="2025-10-18T00:00:00"/>
    <s v="Unknown"/>
    <s v="Insulin Titration"/>
    <n v="235214.45"/>
    <s v="Icici Lombard"/>
    <s v="Paid"/>
    <s v="Unknown"/>
  </r>
  <r>
    <s v="HOSP-10007"/>
    <s v="Manoj Verma"/>
    <n v="44"/>
    <s v="Male"/>
    <s v="Mumbai"/>
    <x v="1"/>
    <s v="Dr.Unknown"/>
    <d v="2025-02-07T00:00:00"/>
    <d v="2025-07-09T00:00:00"/>
    <s v="Dengue Fever With Thrombocytopenia"/>
    <s v="Platelet Support"/>
    <n v="64345.01"/>
    <s v="None / Self Pay"/>
    <s v="Claim Processing"/>
    <s v="Discharged Against Medical Advice"/>
  </r>
  <r>
    <s v="HOSP-10009"/>
    <s v="Ritu Nair"/>
    <n v="82"/>
    <s v="Female"/>
    <s v="Delhi"/>
    <x v="0"/>
    <s v="Dr.Suresh Advani"/>
    <d v="2025-03-19T00:00:00"/>
    <d v="2025-03-25T00:00:00"/>
    <s v="Colorectal Cancer"/>
    <s v="Colectomy"/>
    <n v="70846.91"/>
    <s v="Care Health"/>
    <s v="Claim Processing"/>
    <s v="Expired"/>
  </r>
  <r>
    <s v="HOSP-10010"/>
    <s v="Neha Iyer"/>
    <n v="8"/>
    <s v="Female"/>
    <s v="Chennai"/>
    <x v="1"/>
    <s v="Dr.R. K. Singhal"/>
    <d v="2025-01-23T00:00:00"/>
    <d v="2025-02-05T00:00:00"/>
    <s v="Urinary Tract Infection"/>
    <s v="Antibiotic Course"/>
    <n v="293150.34999999998"/>
    <s v="None / Self Pay"/>
    <s v="Claim Processing"/>
    <s v="Discharged"/>
  </r>
  <r>
    <s v="HOSP-10013"/>
    <s v="Meera Iyer"/>
    <n v="32"/>
    <s v="Female"/>
    <s v="Mumbai"/>
    <x v="4"/>
    <s v="Dr.Devi Shetty"/>
    <d v="2025-11-07T00:00:00"/>
    <d v="2025-11-12T00:00:00"/>
    <s v="Myocardial Infarction"/>
    <s v="Thrombolysis"/>
    <n v="278473.99"/>
    <s v="Star Health"/>
    <s v="Pending"/>
    <s v="Transferred"/>
  </r>
  <r>
    <s v="Unknown"/>
    <s v="Ananya Gupta"/>
    <n v="82"/>
    <s v="Female"/>
    <s v="Pune"/>
    <x v="5"/>
    <s v="Dr.Randhir Sud"/>
    <d v="2025-10-25T00:00:00"/>
    <d v="2025-11-05T00:00:00"/>
    <s v="Peptic Ulcer Bleeding"/>
    <s v="Endoscopic Banding"/>
    <n v="328729.7"/>
    <s v="Hdfc Ergo"/>
    <s v="Paid"/>
    <s v="Expired"/>
  </r>
  <r>
    <s v="HOSP-10015"/>
    <s v="Kabir Patel"/>
    <n v="27"/>
    <s v="Unspecified"/>
    <s v="Mumbai"/>
    <x v="1"/>
    <s v="Dr.Unknown"/>
    <d v="2025-03-31T00:00:00"/>
    <d v="2025-03-26T00:00:00"/>
    <s v="Hypertensive Crisis"/>
    <s v="Iv Labetalol"/>
    <n v="75685.5"/>
    <s v="Bajaj Allianz"/>
    <s v="Paid"/>
    <s v="Expired"/>
  </r>
  <r>
    <s v="HOSP-123"/>
    <s v="Deepak Bose"/>
    <n v="30"/>
    <s v="Male"/>
    <s v="Unknown"/>
    <x v="0"/>
    <s v="Dr.Vinod Raina"/>
    <d v="2025-08-14T00:00:00"/>
    <d v="2025-08-25T00:00:00"/>
    <s v="Breast Carcinoma"/>
    <s v="Chemotherapy &amp; Lumpectomy"/>
    <n v="18589.990000000002"/>
    <s v="Max Bupa"/>
    <s v="Paid"/>
    <s v="Deceased"/>
  </r>
  <r>
    <s v="HOSP-10017"/>
    <s v="Kabir Patel"/>
    <n v="18"/>
    <s v="Male"/>
    <s v="Chennai"/>
    <x v="5"/>
    <s v="Dr.Subhash Gupta"/>
    <d v="2025-07-02T00:00:00"/>
    <d v="2025-07-03T00:00:00"/>
    <s v="Peptic Ulcer Bleeding"/>
    <s v="Endoscopic Banding"/>
    <n v="121300.98"/>
    <s v="Care Health"/>
    <s v="Pending"/>
    <s v="Discharged Against Medical Advice"/>
  </r>
  <r>
    <s v="HOSP-10019"/>
    <s v="Meera Reddy"/>
    <n v="18"/>
    <s v="Female"/>
    <s v="Hyderabad"/>
    <x v="4"/>
    <s v="Dr.Naresh Trehan"/>
    <d v="2025-09-27T00:00:00"/>
    <d v="2025-07-10T00:00:00"/>
    <s v="Arrhythmia"/>
    <s v="Pacemaker Implantation"/>
    <n v="102930.63"/>
    <s v="Hdfc Ergo"/>
    <s v="Claim_Pending"/>
    <s v="Expired"/>
  </r>
  <r>
    <s v="HOSP-10020"/>
    <s v="Ananya Bose"/>
    <n v="78"/>
    <s v="Female"/>
    <s v="Delhi"/>
    <x v="1"/>
    <s v="Dr.R. K. Singhal"/>
    <d v="2025-01-23T00:00:00"/>
    <d v="2025-12-23T00:00:00"/>
    <s v="Urinary Tract Infection"/>
    <s v="Antibiotic Course"/>
    <n v="296127.5"/>
    <s v="Care Health"/>
    <s v="Paid"/>
    <s v="Admitted"/>
  </r>
  <r>
    <s v="HOSP-10022"/>
    <s v="Manoj Kumar"/>
    <n v="38"/>
    <s v="Male"/>
    <s v="Jaipur"/>
    <x v="5"/>
    <s v="Dr.Randhir Sud"/>
    <d v="2025-01-06T00:00:00"/>
    <d v="2025-01-08T00:00:00"/>
    <s v="Liver Cirrhosis"/>
    <s v="Paracentesis &amp; Diuretics"/>
    <n v="218725.35"/>
    <s v="Max Bupa"/>
    <s v="Paid"/>
    <s v="Discharged"/>
  </r>
  <r>
    <s v="HOSP-10023"/>
    <s v="Vikram Mehta"/>
    <n v="15"/>
    <s v="Male"/>
    <s v="Kolkata"/>
    <x v="1"/>
    <s v="Dr.Anoop Misra"/>
    <d v="2025-05-02T00:00:00"/>
    <d v="2025-12-23T00:00:00"/>
    <s v="Urinary Tract Infection"/>
    <s v="Antibiotic Course"/>
    <n v="17679.5"/>
    <s v="Bajaj Allianz"/>
    <s v="Pending"/>
    <s v="Admitted"/>
  </r>
  <r>
    <s v="HOSP-10024"/>
    <s v="Diya Reddy"/>
    <n v="33"/>
    <s v="Female"/>
    <s v="Pune"/>
    <x v="3"/>
    <s v="Dr.Unknown"/>
    <d v="2025-09-26T00:00:00"/>
    <d v="2025-10-02T00:00:00"/>
    <s v="Severe Pneumonia"/>
    <s v="Iv Antibiotics"/>
    <n v="345599.6"/>
    <s v="Care Health"/>
    <s v="Unknown"/>
    <s v="Discharged"/>
  </r>
  <r>
    <s v="HOSP-10027"/>
    <s v="Anita Iyer"/>
    <n v="42"/>
    <s v="Unspecified"/>
    <s v="Jaipur"/>
    <x v="6"/>
    <s v="Dr.Sks Marya"/>
    <d v="2025-10-14T00:00:00"/>
    <d v="2025-11-01T00:00:00"/>
    <s v="Lumbar Spondylosis"/>
    <s v="Spinal Decompression"/>
    <n v="192645.57"/>
    <s v="Max Bupa"/>
    <s v="Pending"/>
    <s v="Expired"/>
  </r>
  <r>
    <s v="HOSP-10028"/>
    <s v="Sneha Kumar"/>
    <n v="60"/>
    <s v="Female"/>
    <s v="Chandigarh"/>
    <x v="3"/>
    <s v="Dr.Veena Kalra"/>
    <d v="2025-05-26T00:00:00"/>
    <d v="2025-06-07T00:00:00"/>
    <s v="Severe Pneumonia"/>
    <s v="Iv Antibiotics"/>
    <n v="264892.76"/>
    <s v="Icici Lombard"/>
    <s v="Paid"/>
    <s v="Unknown"/>
  </r>
  <r>
    <s v="HOSP-10029"/>
    <s v="Vikram Patel"/>
    <n v="1"/>
    <s v="Male"/>
    <s v="Hyderabad"/>
    <x v="1"/>
    <s v="Dr.Anoop Misra"/>
    <d v="2025-10-29T00:00:00"/>
    <d v="2025-11-07T00:00:00"/>
    <s v="Unknown"/>
    <s v="Iv Labetalol"/>
    <n v="273333.11"/>
    <s v="Star Health"/>
    <s v="Claim Processing"/>
    <s v="Expired"/>
  </r>
  <r>
    <s v="HOSP-10030"/>
    <s v="Ramesh Nair"/>
    <n v="79"/>
    <s v="Male"/>
    <s v="Bangalore"/>
    <x v="6"/>
    <s v="Dr.Ramneek Mahajan"/>
    <d v="2025-01-06T00:00:00"/>
    <d v="2025-12-23T00:00:00"/>
    <s v="Femur Fracture"/>
    <s v="Internal Fixation"/>
    <n v="222932.36"/>
    <s v="Max Bupa"/>
    <s v="Partially Paid"/>
    <s v="Admitted"/>
  </r>
  <r>
    <s v="HOSP-10031"/>
    <s v="Kavita Singh"/>
    <n v="65"/>
    <s v="Female"/>
    <s v="Chandigarh"/>
    <x v="0"/>
    <s v="Dr.Suresh Advani"/>
    <d v="2025-02-11T00:00:00"/>
    <d v="2025-02-12T00:00:00"/>
    <s v="Lung Adenocarcinoma"/>
    <s v="Unknown"/>
    <n v="83463"/>
    <s v="Hdfc Ergo"/>
    <s v="Claim Processing"/>
    <s v="Expired"/>
  </r>
  <r>
    <s v="HOSP-10032"/>
    <s v="Suresh Iyer"/>
    <n v="65"/>
    <s v="Male"/>
    <s v="Hyderabad"/>
    <x v="2"/>
    <s v="Dr.Mukul Varma"/>
    <d v="2025-01-24T00:00:00"/>
    <d v="2025-02-10T00:00:00"/>
    <s v="Acute Ischemic Stroke"/>
    <s v="Tpa Therapy"/>
    <n v="312331.51"/>
    <s v="Icici Lombard"/>
    <s v="Paid"/>
    <s v="Transferred"/>
  </r>
  <r>
    <s v="HOSP-10035"/>
    <s v="Kabir Singh"/>
    <n v="14"/>
    <s v="Male"/>
    <s v="Hyderabad"/>
    <x v="3"/>
    <s v="Dr.Veena Kalra"/>
    <d v="2025-05-07T00:00:00"/>
    <d v="2025-12-05T00:00:00"/>
    <s v="Acute Bronchiolitis"/>
    <s v="Nebulization &amp; O2 Support"/>
    <n v="42926.97"/>
    <s v="Icici Lombard"/>
    <s v="Paid"/>
    <s v="Discharged Against Medical Advice"/>
  </r>
  <r>
    <s v="HOSP-10036"/>
    <s v="Sneha Iyer"/>
    <n v="38"/>
    <s v="Female"/>
    <s v="Chandigarh"/>
    <x v="4"/>
    <s v="Dr.Ashok Seth"/>
    <d v="2025-04-10T00:00:00"/>
    <d v="2025-03-23T00:00:00"/>
    <s v="Myocardial Infarction"/>
    <s v="Thrombolysis"/>
    <n v="136077.35999999999"/>
    <s v="Care Health"/>
    <s v="Paid"/>
    <s v="Transferred"/>
  </r>
  <r>
    <s v="HOSP-10037"/>
    <s v="Ritu Patel"/>
    <n v="18"/>
    <s v="Female"/>
    <s v="Chennai"/>
    <x v="1"/>
    <s v="Dr.Atul Gogia"/>
    <d v="2025-10-05T00:00:00"/>
    <d v="2025-10-18T00:00:00"/>
    <s v="Unknown"/>
    <s v="Antibiotic Course"/>
    <n v="305300.05"/>
    <s v="None"/>
    <s v="Partially Paid"/>
    <s v="Discharged Against Medical Advice"/>
  </r>
  <r>
    <s v="HOSP-10040"/>
    <s v="Neha Sharma"/>
    <n v="23"/>
    <s v="Female"/>
    <s v="Pune"/>
    <x v="6"/>
    <s v="Dr.Sks Marya"/>
    <d v="2025-01-14T00:00:00"/>
    <d v="2025-02-01T00:00:00"/>
    <s v="Osteoarthritis Knee"/>
    <s v="Total Knee Replacement"/>
    <n v="98162.26"/>
    <s v="Star Health"/>
    <s v="Disputed"/>
    <s v="Discharged Against Medical Advice"/>
  </r>
  <r>
    <s v="HOSP-10041"/>
    <s v="Rajesh Sharma"/>
    <n v="63"/>
    <s v="Male"/>
    <s v="Calcutta"/>
    <x v="0"/>
    <s v="Dr.Vinod Raina"/>
    <d v="2025-06-28T00:00:00"/>
    <d v="2025-12-23T00:00:00"/>
    <s v="Unknown"/>
    <s v="R-Chop Regimen"/>
    <n v="255824.81"/>
    <s v="Hdfc Ergo"/>
    <s v="Claim Processing"/>
    <s v="Admitted"/>
  </r>
  <r>
    <s v="HOSP-10042"/>
    <s v="Ritu Sharma"/>
    <n v="54"/>
    <s v="Female"/>
    <s v="Ahmedabad"/>
    <x v="5"/>
    <s v="Dr.Randhir Sud"/>
    <d v="2025-06-14T00:00:00"/>
    <d v="2025-07-02T00:00:00"/>
    <s v="Gallstones / Cholecystitis"/>
    <s v="Laparoscopic Cholecystectomy"/>
    <n v="121026.07"/>
    <s v="Star Health"/>
    <s v="Paid"/>
    <s v="Discharged Against Medical Advice"/>
  </r>
  <r>
    <s v="HOSP-10045"/>
    <s v="Anjali Nair"/>
    <n v="23"/>
    <s v="Female"/>
    <s v="Pune"/>
    <x v="1"/>
    <s v="Dr.Anoop Misra"/>
    <d v="2025-04-07T00:00:00"/>
    <d v="2025-04-15T00:00:00"/>
    <s v="Dengue Fever With Thrombocytopenia"/>
    <s v="Platelet Support"/>
    <n v="160725.21"/>
    <s v="None / Self Pay"/>
    <s v="Paid"/>
    <s v="Transferred"/>
  </r>
  <r>
    <s v="HOSP-10047"/>
    <s v="Meera Kumar"/>
    <n v="3"/>
    <s v="Female"/>
    <s v="Chandigarh"/>
    <x v="4"/>
    <s v="Dr.Devi Shetty"/>
    <d v="2025-10-23T00:00:00"/>
    <d v="2025-11-01T00:00:00"/>
    <s v="Coronary Artery Disease"/>
    <s v="Angioplasty"/>
    <n v="30598.91"/>
    <s v="Bajaj Allianz"/>
    <s v="Disputed"/>
    <s v="Discharged Against Medical Advice"/>
  </r>
  <r>
    <s v="HOSP-131"/>
    <s v="Priya Verma"/>
    <n v="55"/>
    <s v="Female"/>
    <s v="Hyderabad"/>
    <x v="2"/>
    <s v="Dr.Mukul Varma"/>
    <d v="2025-06-26T00:00:00"/>
    <d v="2025-06-30T00:00:00"/>
    <s v="Parkinson'S Disease"/>
    <s v="Levodopa Therapy"/>
    <n v="298691.20000000001"/>
    <s v="None / Self Pay"/>
    <s v="Disputed"/>
    <s v="Discharged Against Medical Advice"/>
  </r>
  <r>
    <s v="HOSP-113"/>
    <s v="Neha Patel"/>
    <n v="47"/>
    <s v="Female"/>
    <s v="Kolkata"/>
    <x v="0"/>
    <s v="Dr.Harit Chaturvedi"/>
    <d v="2025-03-16T00:00:00"/>
    <d v="2025-12-23T00:00:00"/>
    <s v="Colorectal Cancer"/>
    <s v="Colectomy"/>
    <n v="341800.01"/>
    <s v="None / Self Pay"/>
    <s v="Paid"/>
    <s v="Admitted"/>
  </r>
  <r>
    <s v="HOSP-10050"/>
    <s v="Kabir Mehta"/>
    <n v="27"/>
    <s v="Male"/>
    <s v="Hyderabad"/>
    <x v="6"/>
    <s v="Dr.Harshavardhan Hegde"/>
    <d v="2025-07-30T00:00:00"/>
    <d v="2025-08-14T00:00:00"/>
    <s v="Lumbar Spondylosis"/>
    <s v="Spinal Decompression"/>
    <n v="153551.82"/>
    <s v="Care Health"/>
    <s v="Paid"/>
    <s v="Discharged"/>
  </r>
  <r>
    <s v="HOSP-10051"/>
    <s v="Manoj Joshi"/>
    <n v="71"/>
    <s v="Male"/>
    <s v="Chandigarh"/>
    <x v="3"/>
    <s v="Dr.Arvind Bagga"/>
    <d v="2025-10-30T00:00:00"/>
    <d v="2025-07-11T00:00:00"/>
    <s v="Neonatal Jaundice"/>
    <s v="Phototherapy"/>
    <n v="166546.48000000001"/>
    <s v="Star Health"/>
    <s v="Disputed"/>
    <s v="Expired"/>
  </r>
  <r>
    <s v="HOSP-10052"/>
    <s v="Manoj Kumar"/>
    <n v="18"/>
    <s v="Male"/>
    <s v="Bangalore"/>
    <x v="6"/>
    <s v="Dr.Sks Marya"/>
    <d v="2025-09-05T00:00:00"/>
    <d v="2025-09-06T00:00:00"/>
    <s v="Lumbar Spondylosis"/>
    <s v="Spinal Decompression"/>
    <n v="104991.88"/>
    <s v="Bajaj Allianz"/>
    <s v="Claim Processing"/>
    <s v="Discharged"/>
  </r>
  <r>
    <s v="HOSP-10053"/>
    <s v="Deepak_Singh"/>
    <n v="19"/>
    <s v="Male"/>
    <s v="Pune"/>
    <x v="2"/>
    <s v="Dr.P. N. Renjen"/>
    <d v="2025-04-25T00:00:00"/>
    <d v="2025-05-02T00:00:00"/>
    <s v="Parkinson'S Disease"/>
    <s v="Levodopa Therapy"/>
    <n v="158630.85"/>
    <s v="Icici Lombard"/>
    <s v="Partially Paid"/>
    <s v="Unknown"/>
  </r>
  <r>
    <s v="HOSP-10054"/>
    <s v="Sunita Gupta"/>
    <n v="20"/>
    <s v="Female"/>
    <s v="Hyderabad"/>
    <x v="5"/>
    <s v="Dr.Randhir Sud"/>
    <d v="2025-11-29T00:00:00"/>
    <d v="2025-12-23T00:00:00"/>
    <s v="Gallstones / Cholecystitis"/>
    <s v="Laparoscopic Cholecystectomy"/>
    <n v="259400.48"/>
    <s v="Icici Lombard"/>
    <s v="Pending"/>
    <s v="Admitted"/>
  </r>
  <r>
    <s v="HOSP-10055"/>
    <s v="Ramesh Bose"/>
    <n v="62"/>
    <s v="Male"/>
    <s v="Kolkata"/>
    <x v="0"/>
    <s v="Dr.Vinod Raina"/>
    <d v="2025-03-31T00:00:00"/>
    <d v="2025-12-23T00:00:00"/>
    <s v="Breast Carcinoma"/>
    <s v="Chemotherapy &amp; Lumpectomy"/>
    <n v="6330.59"/>
    <s v="Max Bupa"/>
    <s v="Disputed"/>
    <s v="Admitted"/>
  </r>
  <r>
    <s v="HOSP-10057"/>
    <s v="Meera Patel"/>
    <n v="4"/>
    <s v="Female"/>
    <s v="Mumbai"/>
    <x v="3"/>
    <s v="Dr.Arvind Bagga"/>
    <d v="2025-07-07T00:00:00"/>
    <d v="2025-12-23T00:00:00"/>
    <s v="Acute Bronchiolitis"/>
    <s v="Nebulization &amp; O2 Support"/>
    <n v="117856.84"/>
    <s v="Hdfc Ergo"/>
    <s v="Paid"/>
    <s v="Transferred"/>
  </r>
  <r>
    <s v="HOSP-10058"/>
    <s v="Manoj Bose"/>
    <n v="56"/>
    <s v="Male"/>
    <s v="Jaipur"/>
    <x v="2"/>
    <s v="Dr.P. N. Renjen"/>
    <d v="2025-01-13T00:00:00"/>
    <d v="2025-12-23T00:00:00"/>
    <s v="Parkinson'S Disease"/>
    <s v="Levodopa Therapy"/>
    <n v="135291.62"/>
    <s v="Hdfc Ergo"/>
    <s v="Claim Processing"/>
    <s v="Admitted"/>
  </r>
  <r>
    <s v="HOSP-1059"/>
    <s v="Ananya Reddy"/>
    <n v="71"/>
    <s v="Female"/>
    <s v="Bangalore"/>
    <x v="4"/>
    <s v="Dr.Naresh Trehan"/>
    <d v="2025-03-20T00:00:00"/>
    <d v="2025-03-31T00:00:00"/>
    <s v="Coronary Artery Disease"/>
    <s v="Angioplasty"/>
    <n v="274287.35999999999"/>
    <s v="Care Health"/>
    <s v="Pending"/>
    <s v="Transferred"/>
  </r>
  <r>
    <s v="HOSP-10061"/>
    <s v="Ramesh Verma"/>
    <n v="37"/>
    <s v="Male"/>
    <s v="Kolkata"/>
    <x v="7"/>
    <s v="Dr.Atul Gogia"/>
    <d v="2025-01-04T00:00:00"/>
    <d v="2025-12-23T00:00:00"/>
    <s v="Dengue Fever With Thrombocytopenia"/>
    <s v="Platelet Support"/>
    <n v="133136.07999999999"/>
    <s v="Max Bupa"/>
    <s v="Pending"/>
    <s v="Admitted"/>
  </r>
  <r>
    <s v="HOSP-10062"/>
    <s v="Neha Singh"/>
    <n v="38"/>
    <s v="Unspecified"/>
    <s v="Chandigarh"/>
    <x v="2"/>
    <s v="Dr.Sushil Razdan"/>
    <d v="2025-08-20T00:00:00"/>
    <d v="2025-08-31T00:00:00"/>
    <s v="Acute Ischemic Stroke"/>
    <s v="Tpa Therapy"/>
    <n v="301763.98"/>
    <s v="Bajaj Allianz"/>
    <s v="Pending"/>
    <s v="Discharged Against Medical Advice"/>
  </r>
  <r>
    <s v="HOSP-10064"/>
    <s v="Rohan Patel"/>
    <n v="18"/>
    <s v="Male"/>
    <s v="Mumbai"/>
    <x v="1"/>
    <s v="Dr.R. K. Singhal"/>
    <d v="2025-12-19T00:00:00"/>
    <d v="2026-01-01T00:00:00"/>
    <s v="Hypertensive Crisis"/>
    <s v="Iv Labetalol"/>
    <n v="40000"/>
    <s v="None / Self Pay"/>
    <s v="Paid"/>
    <s v="Discharged Against Medical Advice"/>
  </r>
  <r>
    <s v="HOSP-10066"/>
    <s v="Sunita Nair"/>
    <n v="18"/>
    <s v="Female"/>
    <s v="Mumbai"/>
    <x v="1"/>
    <s v="Dr.Anoop Misra"/>
    <d v="2025-08-21T00:00:00"/>
    <d v="2025-08-28T00:00:00"/>
    <s v="Dengue Fever With Thrombocytopenia"/>
    <s v="Platelet Support"/>
    <n v="20999.67"/>
    <s v="Bajaj Allianz"/>
    <s v="Claim Processing"/>
    <s v="Expired"/>
  </r>
  <r>
    <s v="HOSP-10067"/>
    <s v="Unknown"/>
    <n v="72"/>
    <s v="Female"/>
    <s v="Unknown"/>
    <x v="0"/>
    <s v="Dr.Harit Chaturvedi"/>
    <d v="2025-08-11T00:00:00"/>
    <d v="2025-08-25T00:00:00"/>
    <s v="Lymphoma"/>
    <s v="R-Chop Regimen"/>
    <n v="269850.53999999998"/>
    <s v="Hdfc Ergo"/>
    <s v="Partially Paid"/>
    <s v="Expired"/>
  </r>
  <r>
    <s v="HOSP-10068"/>
    <s v="Aarav Bose"/>
    <n v="32"/>
    <s v="Male"/>
    <s v="Chennai"/>
    <x v="2"/>
    <s v="Dr.Unknown"/>
    <d v="2025-05-07T00:00:00"/>
    <d v="2025-12-23T00:00:00"/>
    <s v="Epilepsy"/>
    <s v="Anticonvulsant Therapy"/>
    <n v="29938.95"/>
    <s v="Unknown"/>
    <s v="Paid"/>
    <s v="Admitted"/>
  </r>
  <r>
    <s v="HOSP-10069"/>
    <s v="Sneha Joshi"/>
    <n v="77"/>
    <s v="Female"/>
    <s v="Ahmedabad"/>
    <x v="6"/>
    <s v="Dr.Sks Marya"/>
    <d v="2025-03-31T00:00:00"/>
    <d v="2025-04-03T00:00:00"/>
    <s v="Lumbar Spondylosis"/>
    <s v="Spinal Decompression"/>
    <n v="146946.73000000001"/>
    <s v="Care Health"/>
    <s v="Paid"/>
    <s v="Discharged Against Medical Advice"/>
  </r>
  <r>
    <s v="HOSP-10070"/>
    <s v="Anjali Verma"/>
    <n v="8"/>
    <s v="Female"/>
    <s v="Pune"/>
    <x v="3"/>
    <s v="Dr.Arvind Bagga"/>
    <d v="2025-07-16T00:00:00"/>
    <d v="2025-07-24T00:00:00"/>
    <s v="Neonatal Jaundice"/>
    <s v="Phototherapy"/>
    <n v="340423.43"/>
    <s v="Icici Lombard"/>
    <s v="Claim Processing"/>
    <s v="Discharged"/>
  </r>
  <r>
    <s v="HOSP-10071"/>
    <s v="Unknown"/>
    <n v="18"/>
    <s v="Male"/>
    <s v="Jaipur"/>
    <x v="1"/>
    <s v="Dr.Atul Gogia"/>
    <d v="2025-07-13T00:00:00"/>
    <d v="2025-07-19T00:00:00"/>
    <s v="Dengue Fever With Thrombocytopenia"/>
    <s v="Platelet Support"/>
    <n v="343098.9"/>
    <s v="Bajaj Allianz"/>
    <s v="Claim Processing"/>
    <s v="Discharged Against Medical Advice"/>
  </r>
  <r>
    <s v="HOSP-10072"/>
    <s v="Aarav Bose"/>
    <n v="36"/>
    <s v="Male"/>
    <s v="Hyderabad"/>
    <x v="7"/>
    <s v="Dr.Atul Gogia"/>
    <d v="2025-07-15T00:00:00"/>
    <d v="2025-12-23T00:00:00"/>
    <s v="Dengue Fever With Thrombocytopenia"/>
    <s v="Platelet Support"/>
    <n v="66896.94"/>
    <s v="Max Bupa"/>
    <s v="Partially Paid"/>
    <s v="Admitted"/>
  </r>
  <r>
    <s v="HOSP-10073"/>
    <s v="Priya Nair"/>
    <n v="36"/>
    <s v="Female"/>
    <s v="Unknown"/>
    <x v="0"/>
    <s v="Dr.Suresh Advani"/>
    <d v="2025-07-04T00:00:00"/>
    <d v="2025-07-21T00:00:00"/>
    <s v="Lung Adenocarcinoma"/>
    <s v="Unknown"/>
    <n v="285194.14"/>
    <s v="Care Health"/>
    <s v="Claim Processing"/>
    <s v="Transferred"/>
  </r>
  <r>
    <s v="HOSP-10075"/>
    <s v="Meera Mehta"/>
    <n v="37"/>
    <s v="Unspecified"/>
    <s v="Kolkata"/>
    <x v="2"/>
    <s v="Dr.Sushil Razdan"/>
    <d v="2025-01-25T00:00:00"/>
    <d v="2025-01-02T00:00:00"/>
    <s v="Migraine Chronic"/>
    <s v="Unknown"/>
    <n v="177019.16"/>
    <s v="Hdfc Ergo"/>
    <s v="Claim Processing"/>
    <s v="Discharged Against Medical Advice"/>
  </r>
  <r>
    <s v="HOSP-10077"/>
    <s v="Kabir Verma"/>
    <n v="5"/>
    <s v="Male"/>
    <s v="Ahmedabad"/>
    <x v="4"/>
    <s v="Dr.Naresh Trehan"/>
    <d v="2025-05-25T00:00:00"/>
    <d v="2025-12-23T00:00:00"/>
    <s v="Coronary Artery Disease"/>
    <s v="Angioplasty"/>
    <n v="303411.21999999997"/>
    <s v="Star Health"/>
    <s v="Paid"/>
    <s v="Admitted"/>
  </r>
  <r>
    <s v="HOSP-10078"/>
    <s v="Amit Nair"/>
    <n v="42"/>
    <s v="Male"/>
    <s v="Kolkata"/>
    <x v="0"/>
    <s v="Dr.Unknown"/>
    <d v="2025-11-01T00:00:00"/>
    <d v="2025-01-22T00:00:00"/>
    <s v="Lung Adenocarcinoma"/>
    <s v="Targeted Therapy"/>
    <n v="276272.88"/>
    <s v="Max Bupa"/>
    <s v="Claim Processing"/>
    <s v="Discharged Against Medical Advice"/>
  </r>
  <r>
    <s v="HOSP-10079"/>
    <s v="Priya Sharma"/>
    <n v="2"/>
    <s v="Female"/>
    <s v="Chennai"/>
    <x v="0"/>
    <s v="Dr.Vinod Raina"/>
    <d v="2025-10-01T00:00:00"/>
    <d v="2025-02-10T00:00:00"/>
    <s v="Lung Adenocarcinoma"/>
    <s v="Targeted Therapy"/>
    <n v="154201.07"/>
    <s v="Icici Lombard"/>
    <s v="Paid"/>
    <s v="Discharged Against Medical Advice"/>
  </r>
  <r>
    <s v="HOSP-10080"/>
    <s v="Ramesh Gupta"/>
    <n v="32"/>
    <s v="Male"/>
    <s v="Mumbai"/>
    <x v="0"/>
    <s v="Dr.Harit Chaturvedi"/>
    <d v="2025-05-27T00:00:00"/>
    <d v="2025-06-06T00:00:00"/>
    <s v="Lymphoma"/>
    <s v="R-Chop Regimen"/>
    <n v="229647.94"/>
    <s v="Hdfc Ergo"/>
    <s v="Partially Paid"/>
    <s v="Discharged"/>
  </r>
  <r>
    <s v="HOSP-10083"/>
    <s v="Pooja Bose"/>
    <n v="1"/>
    <s v="Female"/>
    <s v="Chennai"/>
    <x v="3"/>
    <s v="Dr.Krishan Chugh"/>
    <d v="2025-11-18T00:00:00"/>
    <d v="2025-11-24T00:00:00"/>
    <s v="Severe Pneumonia"/>
    <s v="Iv Antibiotics"/>
    <n v="144977.74"/>
    <s v="Care Health"/>
    <s v="Partially Paid"/>
    <s v="Discharged"/>
  </r>
  <r>
    <s v="HOSP-10084"/>
    <s v="Suresh Mehta"/>
    <n v="31"/>
    <s v="Male"/>
    <s v="Kolkata"/>
    <x v="1"/>
    <s v="Dr.Atul Gogia"/>
    <d v="2025-01-04T00:00:00"/>
    <d v="2025-09-01T00:00:00"/>
    <s v="Hypertensive Crisis"/>
    <s v="Iv Labetalol"/>
    <n v="33830.339999999997"/>
    <s v="Max Bupa"/>
    <s v="Claim Processing"/>
    <s v="Expired"/>
  </r>
  <r>
    <s v="HOSP-10085"/>
    <s v="Deepak Kumar"/>
    <n v="73"/>
    <s v="Unspecified"/>
    <s v="Chandigarh"/>
    <x v="0"/>
    <s v="Dr.Suresh Advani"/>
    <d v="2025-12-04T00:00:00"/>
    <d v="2025-04-22T00:00:00"/>
    <s v="Lymphoma"/>
    <s v="R-Chop Regimen"/>
    <n v="19666.78"/>
    <s v="Care Health"/>
    <s v="Claim Processing"/>
    <s v="Discharged"/>
  </r>
  <r>
    <s v="HOSP-10087"/>
    <s v="Suresh Singh"/>
    <n v="11"/>
    <s v="Male"/>
    <s v="Kolkata"/>
    <x v="0"/>
    <s v="Dr.Harit Chaturvedi"/>
    <d v="2025-09-28T00:00:00"/>
    <d v="2025-10-08T00:00:00"/>
    <s v="Lymphoma"/>
    <s v="R-Chop Regimen"/>
    <n v="320565.07"/>
    <s v="Icici Lombard"/>
    <s v="Claim Processing"/>
    <s v="Expired"/>
  </r>
  <r>
    <s v="HOSP-10088"/>
    <s v="Ritu Mehta"/>
    <n v="47"/>
    <s v="Female"/>
    <s v="Chandigarh"/>
    <x v="5"/>
    <s v="Dr.Subhash Gupta"/>
    <d v="2025-10-19T00:00:00"/>
    <d v="2025-10-31T00:00:00"/>
    <s v="Acute Pancreatitis"/>
    <s v="Conservative Management"/>
    <n v="230031.26"/>
    <s v="None"/>
    <s v="Partially Paid"/>
    <s v="Discharged"/>
  </r>
  <r>
    <s v="HOSP-10089"/>
    <s v="Pooja Joshi"/>
    <n v="78"/>
    <s v="Female"/>
    <s v="Chandigarh"/>
    <x v="4"/>
    <s v="Dr.Unknown"/>
    <d v="2025-05-10T00:00:00"/>
    <d v="2025-05-18T00:00:00"/>
    <s v="Arrhythmia"/>
    <s v="Pacemaker Implantation"/>
    <n v="258859.27"/>
    <s v="None / Self Pay"/>
    <s v="Pending"/>
    <s v="Discharged"/>
  </r>
  <r>
    <s v="HOSP-10090"/>
    <s v="Rajesh Iyer"/>
    <n v="40"/>
    <s v="Male"/>
    <s v="Jaipur"/>
    <x v="2"/>
    <s v="Dr.P. N. Renjen"/>
    <d v="2025-09-28T00:00:00"/>
    <d v="2025-10-10T00:00:00"/>
    <s v="Epilepsy"/>
    <s v="Anticonvulsant Therapy"/>
    <n v="133462.39999999999"/>
    <s v="Star Health"/>
    <s v="Partially Paid"/>
    <s v="Discharged"/>
  </r>
  <r>
    <s v="HOSP-10091"/>
    <s v="Aarav Verma"/>
    <n v="18"/>
    <s v="Male"/>
    <s v="Bangalore"/>
    <x v="3"/>
    <s v="Dr.Veena Kalra"/>
    <d v="2025-08-13T00:00:00"/>
    <d v="2025-12-23T00:00:00"/>
    <s v="Viral Gastroenteritis"/>
    <s v="Iv Fluids &amp; Electrolytes"/>
    <n v="326064.67"/>
    <s v="Unknown"/>
    <s v="Disputed"/>
    <s v="Admitted"/>
  </r>
  <r>
    <s v="HOSP-10092"/>
    <s v="Ritu Bose"/>
    <n v="16"/>
    <s v="Female"/>
    <s v="Delhi"/>
    <x v="5"/>
    <s v="Dr.Subhash Gupta"/>
    <d v="2025-09-12T00:00:00"/>
    <d v="2025-09-29T00:00:00"/>
    <s v="Peptic Ulcer Bleeding"/>
    <s v="Endoscopic Banding"/>
    <n v="63936.59"/>
    <s v="Bajaj Allianz"/>
    <s v="Partially Paid"/>
    <s v="Discharged Against Medical Advice"/>
  </r>
  <r>
    <s v="HOSP-10093"/>
    <s v="Sunita Gupta"/>
    <n v="43"/>
    <s v="Female"/>
    <s v="Pune"/>
    <x v="1"/>
    <s v="Dr.R. K. Singhal"/>
    <d v="2025-12-20T00:00:00"/>
    <d v="2025-12-31T00:00:00"/>
    <s v="Unknown"/>
    <s v="Iv Labetalol"/>
    <n v="240187.3"/>
    <s v="Star Health"/>
    <s v="Partially Paid"/>
    <s v="Discharged"/>
  </r>
  <r>
    <s v="HOSP-10095"/>
    <s v="Kavita Iyer"/>
    <n v="76"/>
    <s v="Female"/>
    <s v="Chandigarh"/>
    <x v="2"/>
    <s v="Dr.Mukul Varma"/>
    <d v="2025-02-12T00:00:00"/>
    <d v="2025-02-17T00:00:00"/>
    <s v="Migraine Chronic"/>
    <s v="Botox Injection &amp; Triptans"/>
    <n v="307755.56"/>
    <s v="Bajaj Allianz"/>
    <s v="Disputed"/>
    <s v="Expired"/>
  </r>
  <r>
    <s v="HOSP-10096"/>
    <s v="Deepak Iyer"/>
    <n v="58"/>
    <s v="Male"/>
    <s v="Chennai"/>
    <x v="6"/>
    <s v="Dr.Sks Marya"/>
    <d v="2025-10-18T00:00:00"/>
    <d v="2025-11-03T00:00:00"/>
    <s v="Osteoarthritis Knee"/>
    <s v="Total Knee Replacement"/>
    <n v="347786.26"/>
    <s v="Bajaj Allianz"/>
    <s v="Pending"/>
    <s v="Expired"/>
  </r>
  <r>
    <s v="HOSP-10099"/>
    <s v="Pooja Reddy"/>
    <n v="85"/>
    <s v="Female"/>
    <s v="Chennai"/>
    <x v="5"/>
    <s v="Dr.Govind Makharia"/>
    <d v="2025-06-17T00:00:00"/>
    <d v="2025-12-23T00:00:00"/>
    <s v="Unknown"/>
    <s v="Endoscopic Banding"/>
    <n v="281096.51"/>
    <s v="Star Health"/>
    <s v="Claim Processing"/>
    <s v="Discharged"/>
  </r>
  <r>
    <s v="HOSP-10101"/>
    <s v="Ritu Sharma"/>
    <n v="70"/>
    <s v="Female"/>
    <s v="Mumbai"/>
    <x v="5"/>
    <s v="Dr.Randhir Sud"/>
    <d v="2025-05-23T00:00:00"/>
    <d v="2025-05-31T00:00:00"/>
    <s v="Liver Cirrhosis"/>
    <s v="Paracentesis &amp; Diuretics"/>
    <n v="339192.39"/>
    <s v="Bajaj Allianz"/>
    <s v="Claim Processing"/>
    <s v="Discharged"/>
  </r>
  <r>
    <s v="HOSP-10105"/>
    <s v="Aarav Bose"/>
    <n v="38"/>
    <s v="Unspecified"/>
    <s v="Bangalore"/>
    <x v="5"/>
    <s v="Dr.Subhash Gupta"/>
    <d v="2025-09-16T00:00:00"/>
    <d v="2025-09-29T00:00:00"/>
    <s v="Acute Pancreatitis"/>
    <s v="Conservative Management"/>
    <n v="84421.63"/>
    <s v="Care Health"/>
    <s v="Partially Paid"/>
    <s v="Transferred"/>
  </r>
  <r>
    <s v="HOSP-10108"/>
    <s v="Priya Nair"/>
    <n v="49"/>
    <s v="Female"/>
    <s v="Hyderabad"/>
    <x v="2"/>
    <s v="Dr.Unknown"/>
    <d v="2025-08-05T00:00:00"/>
    <d v="2025-08-18T00:00:00"/>
    <s v="Epilepsy"/>
    <s v="Anticonvulsant Therapy"/>
    <n v="245228.63"/>
    <s v="None / Self Pay"/>
    <s v="Disputed"/>
    <s v="Transferred"/>
  </r>
  <r>
    <s v="HOSP-10113"/>
    <s v="Diya Joshi"/>
    <n v="72"/>
    <s v="Female"/>
    <s v="Jaipur"/>
    <x v="0"/>
    <s v="Dr.Suresh Advani"/>
    <d v="2025-05-23T00:00:00"/>
    <d v="2025-06-05T00:00:00"/>
    <s v="Breast Carcinoma"/>
    <s v="Chemotherapy &amp; Lumpectomy"/>
    <n v="20469.05"/>
    <s v="Bajaj Allianz"/>
    <s v="Partially Paid"/>
    <s v="Discharged"/>
  </r>
  <r>
    <s v="HOSP-10115"/>
    <s v="Priya Reddy"/>
    <n v="54"/>
    <s v="Female"/>
    <s v="Hyderabad"/>
    <x v="7"/>
    <s v="Dr.Unknown"/>
    <d v="2025-04-28T00:00:00"/>
    <d v="2025-05-13T00:00:00"/>
    <s v="Acute Pancreatitis"/>
    <s v="Conservative Management"/>
    <n v="-60490.93"/>
    <s v="Unknown"/>
    <s v="Claim Processing"/>
    <s v="Discharged Against Medical Advice"/>
  </r>
  <r>
    <s v="HOSP-10116"/>
    <s v="Ramesh Mehta"/>
    <n v="68"/>
    <s v="Male"/>
    <s v="Kolkata"/>
    <x v="5"/>
    <s v="Dr.Randhir Sud"/>
    <d v="2025-06-01T00:00:00"/>
    <d v="2025-01-17T00:00:00"/>
    <s v="Peptic Ulcer Bleeding"/>
    <s v="Endoscopic Banding"/>
    <n v="140940.70000000001"/>
    <s v="Hdfc Ergo"/>
    <s v="Paid"/>
    <s v="Expired"/>
  </r>
  <r>
    <s v="HOSP-10117"/>
    <s v="Deepak Mehta"/>
    <n v="16"/>
    <s v="Male"/>
    <s v="Kolkata"/>
    <x v="5"/>
    <s v="Dr.Randhir Sud"/>
    <d v="2025-04-04T00:00:00"/>
    <d v="2025-04-16T00:00:00"/>
    <s v="Gallstones / Cholecystitis"/>
    <s v="Laparoscopic Cholecystectomy"/>
    <n v="13022.92"/>
    <s v="Max Bupa"/>
    <s v="Partially Paid"/>
    <s v="Discharged Against Medical Advice"/>
  </r>
  <r>
    <s v="HOSP-10118"/>
    <s v="Deepak Singh"/>
    <n v="44"/>
    <s v="Male"/>
    <s v="Bangalore"/>
    <x v="6"/>
    <s v="Dr.Sks Marya"/>
    <d v="2025-10-10T00:00:00"/>
    <d v="2025-10-16T00:00:00"/>
    <s v="Rotator Cuff Tear"/>
    <s v="Arthroscopic Repair"/>
    <n v="218150.25"/>
    <s v="Care Health"/>
    <s v="Disputed"/>
    <s v="Expired"/>
  </r>
  <r>
    <s v="HOSP-10119"/>
    <s v="Ananya Reddy"/>
    <n v="46"/>
    <s v="Female"/>
    <s v="Kolkata"/>
    <x v="5"/>
    <s v="Dr.Subhash Gupta"/>
    <d v="2025-10-12T00:00:00"/>
    <d v="2025-12-23T00:00:00"/>
    <s v="Gallstones / Cholecystitis"/>
    <s v="Laparoscopic Cholecystectomy"/>
    <n v="164587.4"/>
    <s v="Care Health"/>
    <s v="Partially Paid"/>
    <s v="Admitted"/>
  </r>
  <r>
    <s v="HOSP-10120"/>
    <s v="Priya Bose"/>
    <n v="35"/>
    <s v="Female"/>
    <s v="Hyderabad"/>
    <x v="6"/>
    <s v="Dr.Ramneek Mahajan"/>
    <d v="2025-06-20T00:00:00"/>
    <d v="2025-12-23T00:00:00"/>
    <s v="Femur Fracture"/>
    <s v="Internal Fixation"/>
    <n v="110184.01"/>
    <s v="Bajaj Allianz"/>
    <s v="Claim Processing"/>
    <s v="Unknown"/>
  </r>
  <r>
    <s v="HOSP-10122"/>
    <s v="Ananya Kumar"/>
    <n v="83"/>
    <s v="Female"/>
    <s v="Chandigarh"/>
    <x v="4"/>
    <s v="Dr.Ashok Seth"/>
    <d v="2025-02-03T00:00:00"/>
    <d v="2025-01-31T00:00:00"/>
    <s v="Arrhythmia"/>
    <s v="Pacemaker Implantation"/>
    <n v="342473.08"/>
    <s v="Unknown"/>
    <s v="Paid"/>
    <s v="Discharged"/>
  </r>
  <r>
    <s v="HOSP-10124"/>
    <s v="Anjali Kumar"/>
    <n v="19"/>
    <s v="Female"/>
    <s v="Ahmedabad"/>
    <x v="0"/>
    <s v="Dr.Harit Chaturvedi"/>
    <d v="2025-05-30T00:00:00"/>
    <d v="2025-06-08T00:00:00"/>
    <s v="Breast Carcinoma"/>
    <s v="Chemotherapy &amp; Lumpectomy"/>
    <n v="120795.08"/>
    <s v="Max Bupa"/>
    <s v="Unknown"/>
    <s v="Discharged"/>
  </r>
  <r>
    <s v="HOSP-10125"/>
    <s v="Kavita Iyer"/>
    <n v="51"/>
    <s v="Female"/>
    <s v="Bangalore"/>
    <x v="4"/>
    <s v="Dr.Naresh Trehan"/>
    <d v="2025-03-04T00:00:00"/>
    <d v="2025-03-15T00:00:00"/>
    <s v="Myocardial Infarction"/>
    <s v="Thrombolysis"/>
    <n v="267080.71000000002"/>
    <s v="Star Health"/>
    <s v="Disputed"/>
    <s v="Discharged Against Medical Advice"/>
  </r>
  <r>
    <s v="HOSP-10126"/>
    <s v="Diya Joshi"/>
    <n v="8"/>
    <s v="Female"/>
    <s v="Kolkata"/>
    <x v="7"/>
    <s v="Dr.P. N. Renjen"/>
    <d v="2025-08-29T00:00:00"/>
    <d v="2025-09-05T00:00:00"/>
    <s v="Acute Ischemic Stroke"/>
    <s v="Tpa Therapy"/>
    <n v="274996.57"/>
    <s v="Hdfc Ergo"/>
    <s v="Paid"/>
    <s v="Discharged"/>
  </r>
  <r>
    <s v="Unknown"/>
    <s v="Amit Iyer"/>
    <n v="5"/>
    <s v="Male"/>
    <s v="Pune"/>
    <x v="0"/>
    <s v="Dr.Vinod Raina"/>
    <d v="2025-01-15T00:00:00"/>
    <d v="2025-12-23T00:00:00"/>
    <s v="Lymphoma"/>
    <s v="R-Chop Regimen"/>
    <n v="319520.46999999997"/>
    <s v="Icici Lombard"/>
    <s v="Disputed"/>
    <s v="Admitted"/>
  </r>
  <r>
    <s v="HOSP-10128"/>
    <s v="Vihaan Gupta"/>
    <n v="26"/>
    <s v="Male"/>
    <s v="Jaipur"/>
    <x v="3"/>
    <s v="Dr.Arvind Bagga"/>
    <d v="2025-10-16T00:00:00"/>
    <d v="2025-11-03T00:00:00"/>
    <s v="Viral Gastroenteritis"/>
    <s v="Iv Fluids &amp; Electrolytes"/>
    <n v="171035.99"/>
    <s v="Care Health"/>
    <s v="Paid"/>
    <s v="Discharged Against Medical Advice"/>
  </r>
  <r>
    <s v="HOSP-10129"/>
    <s v="Kabir_Mehta"/>
    <n v="56"/>
    <s v="Male"/>
    <s v="Chandigarh"/>
    <x v="6"/>
    <s v="Dr.Harshavardhan Hegde"/>
    <d v="2025-03-30T00:00:00"/>
    <d v="2025-04-16T00:00:00"/>
    <s v="Femur Fracture"/>
    <s v="Internal Fixation"/>
    <n v="185136.82"/>
    <s v="Icici Lombard"/>
    <s v="Disputed"/>
    <s v="Unknown"/>
  </r>
  <r>
    <s v="HOSP-10130"/>
    <s v="Manoj Kumar"/>
    <n v="48"/>
    <s v="Male"/>
    <s v="Mumbai"/>
    <x v="2"/>
    <s v="Dr.Mukul Varma"/>
    <d v="2025-06-23T00:00:00"/>
    <d v="2025-07-07T00:00:00"/>
    <s v="Parkinson'S Disease"/>
    <s v="Unknown"/>
    <n v="94467.58"/>
    <s v="None / Self Pay"/>
    <s v="Disputed"/>
    <s v="Expired"/>
  </r>
  <r>
    <s v="HOSP-10131"/>
    <s v="Manoj Patel"/>
    <n v="25"/>
    <s v="Male"/>
    <s v="Jaipur"/>
    <x v="0"/>
    <s v="Dr.Vinod Raina"/>
    <d v="2025-06-06T00:00:00"/>
    <d v="2025-06-15T00:00:00"/>
    <s v="Lymphoma"/>
    <s v="R-Chop Regimen"/>
    <n v="20656.7"/>
    <s v="Care Health"/>
    <s v="Disputed"/>
    <s v="Discharged"/>
  </r>
  <r>
    <s v="HOSP-10132"/>
    <s v="Diya_Singh"/>
    <n v="53"/>
    <s v="Female"/>
    <s v="Delhi"/>
    <x v="6"/>
    <s v="Dr.Harshavardhan Hegde"/>
    <d v="2025-01-01T00:00:00"/>
    <d v="2025-01-05T00:00:00"/>
    <s v="Osteoarthritis Knee"/>
    <s v="Total Knee Replacement"/>
    <n v="181016.57"/>
    <s v="Star Health"/>
    <s v="Pending"/>
    <s v="Expired"/>
  </r>
  <r>
    <s v="HOSP-10133"/>
    <s v="Vihaan Singh"/>
    <n v="82"/>
    <s v="Male"/>
    <s v="Delhi"/>
    <x v="3"/>
    <s v="Dr.Arvind Bagga"/>
    <d v="2025-03-21T00:00:00"/>
    <d v="2025-04-04T00:00:00"/>
    <s v="Neonatal Jaundice"/>
    <s v="Phototherapy"/>
    <n v="309912.63"/>
    <s v="Star Health"/>
    <s v="Partially Paid"/>
    <s v="Discharged"/>
  </r>
  <r>
    <s v="HOSP-10134"/>
    <s v="Kavita Verma"/>
    <n v="27"/>
    <s v="Female"/>
    <s v="Bangalore"/>
    <x v="5"/>
    <s v="Dr.Subhash Gupta"/>
    <d v="2025-08-29T00:00:00"/>
    <d v="2025-12-23T00:00:00"/>
    <s v="Acute Pancreatitis"/>
    <s v="Conservative Management"/>
    <n v="141900.42000000001"/>
    <s v="N/A"/>
    <s v="Claim Processing"/>
    <s v="Unknown"/>
  </r>
  <r>
    <s v="HOSP-10136"/>
    <s v="Priya Gupta"/>
    <n v="59"/>
    <s v="Female"/>
    <s v="Bangalore"/>
    <x v="2"/>
    <s v="Dr.Sushil Razdan"/>
    <d v="2025-12-06T00:00:00"/>
    <d v="2025-12-23T00:00:00"/>
    <s v="Acute Ischemic Stroke"/>
    <s v="Tpa Therapy"/>
    <n v="68547.92"/>
    <s v="Bajaj Allianz"/>
    <s v="Partially Paid"/>
    <s v="Discharged"/>
  </r>
  <r>
    <s v="HOSP-10137"/>
    <s v="Rajesh Joshi"/>
    <n v="52"/>
    <s v="Male"/>
    <s v="Chandigarh"/>
    <x v="3"/>
    <s v="Dr.Krishan Chugh"/>
    <d v="2025-02-03T00:00:00"/>
    <d v="2025-02-12T00:00:00"/>
    <s v="Viral Gastroenteritis"/>
    <s v="Iv Fluids &amp; Electrolytes"/>
    <n v="88870.79"/>
    <s v="Care Health"/>
    <s v="Disputed"/>
    <s v="Expired"/>
  </r>
  <r>
    <s v="HOSP-10140"/>
    <s v="Vikram Nair"/>
    <n v="160"/>
    <s v="Male"/>
    <s v="Chandigarh"/>
    <x v="0"/>
    <s v="Dr.Suresh Advani"/>
    <d v="2025-01-14T00:00:00"/>
    <d v="2025-01-22T00:00:00"/>
    <s v="Breast Carcinoma"/>
    <s v="Chemotherapy &amp; Lumpectomy"/>
    <n v="221590.42"/>
    <s v="None / Self Pay"/>
    <s v="Paid"/>
    <s v="Discharged"/>
  </r>
  <r>
    <s v="HOSP-10141"/>
    <s v="Vihaan Reddy"/>
    <n v="26"/>
    <s v="Male"/>
    <s v="Delhi"/>
    <x v="2"/>
    <s v="Dr.P. N. Renjen"/>
    <d v="2025-03-23T00:00:00"/>
    <d v="2025-12-23T00:00:00"/>
    <s v="Migraine Chronic"/>
    <s v="Botox Injection &amp; Triptans"/>
    <n v="211178.03"/>
    <s v="None / Self Pay"/>
    <s v="Claim Processing"/>
    <s v="Admitted"/>
  </r>
  <r>
    <s v="Unknown"/>
    <s v="Anjali Nair"/>
    <n v="10"/>
    <s v="Female"/>
    <s v="Chennai"/>
    <x v="6"/>
    <s v="Dr.Sks Marya"/>
    <d v="2025-04-10T00:00:00"/>
    <d v="2025-09-12T00:00:00"/>
    <s v="Osteoarthritis Knee"/>
    <s v="Total Knee Replacement"/>
    <n v="99999999"/>
    <s v="N/A"/>
    <s v="Disputed"/>
    <s v="Expired"/>
  </r>
  <r>
    <s v="HOSP-10144"/>
    <s v="Kavita Bose"/>
    <n v="11"/>
    <s v="Female"/>
    <s v="Pune"/>
    <x v="2"/>
    <s v="Dr.Sushil Razdan"/>
    <d v="2025-11-04T00:00:00"/>
    <d v="2025-11-15T00:00:00"/>
    <s v="Acute Ischemic Stroke"/>
    <s v="Tpa Therapy"/>
    <n v="286748.51"/>
    <s v="Hdfc Ergo"/>
    <s v="Paid"/>
    <s v="Expired"/>
  </r>
  <r>
    <s v="HOSP-10145"/>
    <s v="Vikram Mehta"/>
    <n v="45"/>
    <s v="Male"/>
    <s v="Chandigarh"/>
    <x v="6"/>
    <s v="Dr.Ramneek Mahajan"/>
    <d v="2025-03-26T00:00:00"/>
    <d v="2025-12-23T00:00:00"/>
    <s v="Lumbar Spondylosis"/>
    <s v="Spinal Decompression"/>
    <n v="138546.84"/>
    <s v="Icici Lombard"/>
    <s v="Paid"/>
    <s v="Admitted"/>
  </r>
  <r>
    <s v="HOSP-10146"/>
    <s v="Rohan Sharma"/>
    <n v="18"/>
    <s v="Male"/>
    <s v="Hyderabad"/>
    <x v="4"/>
    <s v="Dr.Ashok Seth"/>
    <d v="2025-10-20T00:00:00"/>
    <d v="2025-11-05T00:00:00"/>
    <s v="Arrhythmia"/>
    <s v="Pacemaker Implantation"/>
    <n v="347176.11"/>
    <s v="Star Health"/>
    <s v="Claim Processing"/>
    <s v="Discharged Against Medical Advice"/>
  </r>
  <r>
    <s v="HOSP-10147"/>
    <s v="Amit Mehta"/>
    <n v="45"/>
    <s v="Male"/>
    <s v="Mumbai"/>
    <x v="6"/>
    <s v="Dr.Harshavardhan Hegde"/>
    <d v="2025-04-19T00:00:00"/>
    <d v="2025-04-27T00:00:00"/>
    <s v="Osteoarthritis Knee"/>
    <s v="Total Knee Replacement"/>
    <n v="296274.05"/>
    <s v="Icici Lombard"/>
    <s v="Partially Paid"/>
    <s v="Expired"/>
  </r>
  <r>
    <s v="HOSP-10148"/>
    <s v="Vikram Reddy"/>
    <n v="61"/>
    <s v="Male"/>
    <s v="Kolkata"/>
    <x v="5"/>
    <s v="Dr.Subhash Gupta"/>
    <d v="2025-08-31T00:00:00"/>
    <d v="2025-12-23T00:00:00"/>
    <s v="Liver Cirrhosis"/>
    <s v="Paracentesis &amp; Diuretics"/>
    <n v="263655.98"/>
    <s v="Max Bupa"/>
    <s v="Claim Processing"/>
    <s v="Admitted"/>
  </r>
  <r>
    <s v="HOSP-10149"/>
    <s v="Deepak Bose"/>
    <n v="18"/>
    <s v="Unspecified"/>
    <s v="Unknown"/>
    <x v="6"/>
    <s v="Dr.Harshavardhan Hegde"/>
    <d v="2025-09-03T00:00:00"/>
    <d v="2025-12-23T00:00:00"/>
    <s v="Lumbar Spondylosis"/>
    <s v="Spinal Decompression"/>
    <n v="274232.43"/>
    <s v="None"/>
    <s v="Disputed"/>
    <s v="Admitted"/>
  </r>
  <r>
    <s v="HOSP-10150"/>
    <s v="Anita Verma"/>
    <n v="75"/>
    <s v="Female"/>
    <s v="Mumbai"/>
    <x v="6"/>
    <s v="Dr.Harshavardhan Hegde"/>
    <d v="2025-01-10T00:00:00"/>
    <d v="2025-01-27T00:00:00"/>
    <s v="Rotator Cuff Tear"/>
    <s v="Arthroscopic Repair"/>
    <n v="212814.74"/>
    <s v="N/A"/>
    <s v="Unknown"/>
    <s v="Expired"/>
  </r>
  <r>
    <s v="HOSP-10152"/>
    <s v="Kabir Iyer"/>
    <n v="42"/>
    <s v="Male"/>
    <s v="Ahmedabad"/>
    <x v="6"/>
    <s v="Dr.Ramneek Mahajan"/>
    <d v="2025-04-10T00:00:00"/>
    <d v="2025-02-12T00:00:00"/>
    <s v="Femur Fracture"/>
    <s v="Internal Fixation"/>
    <n v="326680.27"/>
    <s v="Hdfc Ergo"/>
    <s v="Disputed"/>
    <s v="Discharged"/>
  </r>
  <r>
    <s v="HOSP-10154"/>
    <s v="Rajesh Singh"/>
    <n v="12"/>
    <s v="Male"/>
    <s v="Pune"/>
    <x v="4"/>
    <s v="Dr.Ashok Seth"/>
    <d v="2025-07-04T00:00:00"/>
    <d v="2025-12-23T00:00:00"/>
    <s v="Arrhythmia"/>
    <s v="Pacemaker Implantation"/>
    <n v="296656.08"/>
    <s v="Icici Lombard"/>
    <s v="Pending"/>
    <s v="Admitted"/>
  </r>
  <r>
    <s v="HOSP-10155"/>
    <s v="Kavita Sharma"/>
    <n v="38"/>
    <s v="Female"/>
    <s v="Kolkata"/>
    <x v="3"/>
    <s v="Dr.Krishan Chugh"/>
    <d v="2025-03-19T00:00:00"/>
    <d v="2025-03-24T00:00:00"/>
    <s v="Viral Gastroenteritis"/>
    <s v="Iv Fluids &amp; Electrolytes"/>
    <n v="319545.57"/>
    <s v="None"/>
    <s v="Unknown"/>
    <s v="Discharged Against Medical Advice"/>
  </r>
  <r>
    <s v="HOSP-10156"/>
    <s v="Rajesh Kumar"/>
    <n v="67"/>
    <s v="Male"/>
    <s v="Delhi"/>
    <x v="3"/>
    <s v="Dr.Arvind Bagga"/>
    <d v="2025-02-28T00:00:00"/>
    <d v="2025-03-18T00:00:00"/>
    <s v="Acute Bronchiolitis"/>
    <s v="Nebulization &amp; O2 Support"/>
    <n v="288794.3"/>
    <s v="Bajaj Allianz"/>
    <s v="Paid"/>
    <s v="Transferred"/>
  </r>
  <r>
    <s v="HOSP-10157"/>
    <s v="Ritu Sharma"/>
    <n v="88"/>
    <s v="Female"/>
    <s v="Delhi"/>
    <x v="3"/>
    <s v="Dr.Krishan Chugh"/>
    <d v="2025-06-15T00:00:00"/>
    <d v="2025-06-29T00:00:00"/>
    <s v="Neonatal Jaundice"/>
    <s v="Phototherapy"/>
    <n v="216146.47"/>
    <s v="Unknown"/>
    <s v="Partially Paid"/>
    <s v="Transferred"/>
  </r>
  <r>
    <s v="HOSP-10158"/>
    <s v="Ananya Mehta"/>
    <n v="7"/>
    <s v="Female"/>
    <s v="Jaipur"/>
    <x v="7"/>
    <s v="Dr.Veena Kalra"/>
    <d v="2025-11-09T00:00:00"/>
    <d v="2025-12-23T00:00:00"/>
    <s v="Severe Pneumonia"/>
    <s v="Iv Antibiotics"/>
    <n v="206117.65"/>
    <s v="Bajaj Allianz"/>
    <s v="Claim Processing"/>
    <s v="Admitted"/>
  </r>
  <r>
    <s v="HOSP-10160"/>
    <s v="Kavita Patel"/>
    <n v="84"/>
    <s v="Female"/>
    <s v="Pune"/>
    <x v="1"/>
    <s v="Dr.R. K. Singhal"/>
    <d v="2025-04-28T00:00:00"/>
    <d v="2025-05-16T00:00:00"/>
    <s v="Dengue Fever With Thrombocytopenia"/>
    <s v="Platelet Support"/>
    <n v="260581.65"/>
    <s v="Care Health"/>
    <s v="Partially Paid"/>
    <s v="Discharged Against Medical Advice"/>
  </r>
  <r>
    <s v="HOSP-10161"/>
    <s v="Kavita Joshi"/>
    <n v="70"/>
    <s v="Female"/>
    <s v="Ahmedabad"/>
    <x v="0"/>
    <s v="Dr.Harit Chaturvedi"/>
    <d v="2025-01-15T00:00:00"/>
    <d v="2025-01-28T00:00:00"/>
    <s v="Lung Adenocarcinoma"/>
    <s v="Targeted Therapy"/>
    <n v="40000"/>
    <s v="Bajaj Allianz"/>
    <s v="Paid"/>
    <s v="Discharged Against Medical Advice"/>
  </r>
  <r>
    <s v="HOSP-10162"/>
    <s v="Pooja Singh"/>
    <n v="28"/>
    <s v="Female"/>
    <s v="Bangalore"/>
    <x v="0"/>
    <s v="Dr.Vinod Raina"/>
    <d v="2025-09-28T00:00:00"/>
    <d v="2025-10-10T00:00:00"/>
    <s v="Unknown"/>
    <s v="Chemotherapy &amp; Lumpectomy"/>
    <n v="325321.69"/>
    <s v="None / Self Pay"/>
    <s v="Pending"/>
    <s v="Expired"/>
  </r>
  <r>
    <s v="HOSP-1164"/>
    <s v="Neha Joshi"/>
    <n v="79"/>
    <s v="Female"/>
    <s v="Mumbai"/>
    <x v="5"/>
    <s v="Dr.Govind Makharia"/>
    <d v="2025-01-03T00:00:00"/>
    <d v="2025-12-23T00:00:00"/>
    <s v="Peptic Ulcer Bleeding"/>
    <s v="Endoscopic Banding"/>
    <n v="257496.48"/>
    <s v="Hdfc Ergo"/>
    <s v="Disputed"/>
    <s v="Admitted"/>
  </r>
  <r>
    <s v="HOSP-10165"/>
    <s v="Priya Mehta"/>
    <n v="43"/>
    <s v="Female"/>
    <s v="Bangalore"/>
    <x v="1"/>
    <s v="Dr.Atul Gogia"/>
    <d v="2025-12-27T00:00:00"/>
    <d v="2025-12-31T00:00:00"/>
    <s v="Type 2 Diabetes Uncontrolled"/>
    <s v="Insulin Titration"/>
    <n v="328694.76"/>
    <s v="Star Health"/>
    <s v="Paid"/>
    <s v="Discharged Against Medical Advice"/>
  </r>
  <r>
    <s v="HOSP-10167"/>
    <s v="Unknown"/>
    <n v="18"/>
    <s v="Male"/>
    <s v="Pune"/>
    <x v="3"/>
    <s v="Dr.Arvind Bagga"/>
    <d v="2025-03-28T00:00:00"/>
    <d v="2025-04-01T00:00:00"/>
    <s v="Unknown"/>
    <s v="Phototherapy"/>
    <n v="219135.3"/>
    <s v="Star Health"/>
    <s v="Paid"/>
    <s v="Expired"/>
  </r>
  <r>
    <s v="HOSP-10168"/>
    <s v="Ananya Joshi"/>
    <n v="85"/>
    <s v="Female"/>
    <s v="Hyderabad"/>
    <x v="0"/>
    <s v="Dr.Harit Chaturvedi"/>
    <d v="2025-04-03T00:00:00"/>
    <d v="2025-03-20T00:00:00"/>
    <s v="Breast Carcinoma"/>
    <s v="Chemotherapy &amp; Lumpectomy"/>
    <n v="129775.24"/>
    <s v="Max Bupa"/>
    <s v="Disputed"/>
    <s v="Discharged"/>
  </r>
  <r>
    <s v="HOSP-10169"/>
    <s v="Ramesh Sharma"/>
    <n v="83"/>
    <s v="Male"/>
    <s v="Chandigarh"/>
    <x v="2"/>
    <s v="Dr.Mukul Varma"/>
    <d v="2025-05-01T00:00:00"/>
    <d v="2025-05-06T00:00:00"/>
    <s v="Parkinson'S Disease"/>
    <s v="Levodopa Therapy"/>
    <n v="41341.620000000003"/>
    <s v="None"/>
    <s v="Disputed"/>
    <s v="Discharged"/>
  </r>
  <r>
    <s v="HOSP-10170"/>
    <s v="Kavita Reddy"/>
    <n v="81"/>
    <s v="Female"/>
    <s v="Hyderabad"/>
    <x v="5"/>
    <s v="Dr.Randhir Sud"/>
    <d v="2025-01-05T00:00:00"/>
    <d v="2025-01-08T00:00:00"/>
    <s v="Peptic Ulcer Bleeding"/>
    <s v="Endoscopic Banding"/>
    <n v="146620.88"/>
    <s v="None / Self Pay"/>
    <s v="Disputed"/>
    <s v="Discharged Against Medical Advice"/>
  </r>
  <r>
    <s v="HOSP-1172"/>
    <s v="Aditya Nair"/>
    <n v="18"/>
    <s v="Male"/>
    <s v="Jaipur"/>
    <x v="3"/>
    <s v="Dr.Arvind Bagga"/>
    <d v="2025-07-16T00:00:00"/>
    <d v="2025-07-26T00:00:00"/>
    <s v="Viral Gastroenteritis"/>
    <s v="Iv Fluids &amp; Electrolytes"/>
    <n v="47162.34"/>
    <s v="Max Bupa"/>
    <s v="Claim Processing"/>
    <s v="Discharged"/>
  </r>
  <r>
    <s v="HOSP-10173"/>
    <s v="Rohan Patel"/>
    <n v="18"/>
    <s v="Male"/>
    <s v="Delhi"/>
    <x v="2"/>
    <s v="Dr.P. N. Renjen"/>
    <d v="2025-07-01T00:00:00"/>
    <d v="2025-07-09T00:00:00"/>
    <s v="Acute Ischemic Stroke"/>
    <s v="Tpa Therapy"/>
    <n v="61086.32"/>
    <s v="Hdfc Ergo"/>
    <s v="Partially Paid"/>
    <s v="Expired"/>
  </r>
  <r>
    <s v="HOSP-10174"/>
    <s v="Unknown"/>
    <n v="39"/>
    <s v="Male"/>
    <s v="Pune"/>
    <x v="6"/>
    <s v="Dr.Harshavardhan Hegde"/>
    <d v="2025-01-11T00:00:00"/>
    <d v="2025-12-01T00:00:00"/>
    <s v="Rotator Cuff Tear"/>
    <s v="Arthroscopic Repair"/>
    <n v="296960.7"/>
    <s v="None"/>
    <s v="Paid"/>
    <s v="Expired"/>
  </r>
  <r>
    <s v="HOSP-1175"/>
    <s v="Rohan Joshi"/>
    <n v="71"/>
    <s v="Male"/>
    <s v="Jaipur"/>
    <x v="6"/>
    <s v="Dr.Harshavardhan Hegde"/>
    <d v="2025-04-10T00:00:00"/>
    <d v="2025-12-23T00:00:00"/>
    <s v="Rotator Cuff Tear"/>
    <s v="Arthroscopic Repair"/>
    <n v="145643.35999999999"/>
    <s v="None / Self Pay"/>
    <s v="Pending"/>
    <s v="Admitted"/>
  </r>
  <r>
    <s v="HOSP-10176"/>
    <s v="Manoj Bose"/>
    <n v="7"/>
    <s v="Male"/>
    <s v="Chennai"/>
    <x v="0"/>
    <s v="Dr.Suresh Advani"/>
    <d v="2025-03-05T00:00:00"/>
    <d v="2025-03-07T00:00:00"/>
    <s v="Colorectal Cancer"/>
    <s v="Colectomy"/>
    <n v="122826.86"/>
    <s v="N/A"/>
    <s v="Partially Paid"/>
    <s v="Discharged Against Medical Advice"/>
  </r>
  <r>
    <s v="HOSP-10178"/>
    <s v="Deepak Sharma"/>
    <n v="44"/>
    <s v="Male"/>
    <s v="Kolkata"/>
    <x v="1"/>
    <s v="Dr.Anoop Misra"/>
    <d v="2025-03-06T00:00:00"/>
    <d v="2025-06-11T00:00:00"/>
    <s v="Urinary Tract Infection"/>
    <s v="Antibiotic Course"/>
    <n v="263979.82"/>
    <s v="Max Bupa"/>
    <s v="Disputed"/>
    <s v="Transferred"/>
  </r>
  <r>
    <s v="HOSP-10180"/>
    <s v="Vikram Mehta"/>
    <n v="81"/>
    <s v="Male"/>
    <s v="Mumbai"/>
    <x v="3"/>
    <s v="Dr.Krishan Chugh"/>
    <d v="2025-04-24T00:00:00"/>
    <d v="2025-12-23T00:00:00"/>
    <s v="Severe Pneumonia"/>
    <s v="Iv Antibiotics"/>
    <n v="240033.83"/>
    <s v="Max Bupa"/>
    <s v="Partially Paid"/>
    <s v="Admitted"/>
  </r>
  <r>
    <s v="HOSP-10181"/>
    <s v="Kabir Nair"/>
    <n v="39"/>
    <s v="Male"/>
    <s v="Jaipur"/>
    <x v="6"/>
    <s v="Dr.Sks Marya"/>
    <d v="2025-04-10T00:00:00"/>
    <d v="2025-07-18T00:00:00"/>
    <s v="Osteoarthritis Knee"/>
    <s v="Total Knee Replacement"/>
    <n v="72671.100000000006"/>
    <s v="Icici Lombard"/>
    <s v="Paid"/>
    <s v="Transferred"/>
  </r>
  <r>
    <s v="HOSP-10182"/>
    <s v="Priya Nair"/>
    <n v="76"/>
    <s v="Female"/>
    <s v="Hyderabad"/>
    <x v="6"/>
    <s v="Dr.Sks Marya"/>
    <d v="2025-04-10T00:00:00"/>
    <d v="2025-12-23T00:00:00"/>
    <s v="Femur Fracture"/>
    <s v="Internal Fixation"/>
    <n v="337302.75"/>
    <s v="None / Self Pay"/>
    <s v="Pending"/>
    <s v="Admitted"/>
  </r>
  <r>
    <s v="HOSP-10183"/>
    <s v="Ananya Nair"/>
    <n v="88"/>
    <s v="Female"/>
    <s v="Delhi"/>
    <x v="4"/>
    <s v="Dr.Devi Shetty"/>
    <d v="2025-09-25T00:00:00"/>
    <d v="2025-06-10T00:00:00"/>
    <s v="Heart Failure"/>
    <s v="Ace Inhibitors &amp; Diuretics"/>
    <n v="335905.47"/>
    <s v="Unknown"/>
    <s v="Disputed"/>
    <s v="Transferred"/>
  </r>
  <r>
    <s v="HOSP-117"/>
    <s v="Rajesh Singh"/>
    <n v="12"/>
    <s v="Male"/>
    <s v="Bangalore"/>
    <x v="1"/>
    <s v="Dr.Anoop Misra"/>
    <d v="2025-06-24T00:00:00"/>
    <d v="2025-12-23T00:00:00"/>
    <s v="Dengue Fever With Thrombocytopenia"/>
    <s v="Platelet Support"/>
    <n v="340229.7"/>
    <s v="Icici Lombard"/>
    <s v="Partially Paid"/>
    <s v="Admitted"/>
  </r>
  <r>
    <s v="HOSP-10185"/>
    <s v="Rohan Verma"/>
    <n v="41"/>
    <s v="Male"/>
    <s v="Mumbai"/>
    <x v="6"/>
    <s v="Dr.Harshavardhan Hegde"/>
    <d v="2025-04-10T00:00:00"/>
    <d v="2025-11-16T00:00:00"/>
    <s v="Lumbar Spondylosis"/>
    <s v="Spinal Decompression"/>
    <n v="40000"/>
    <s v="N/A"/>
    <s v="Paid"/>
    <s v="Transferred"/>
  </r>
  <r>
    <s v="HOSP-10187"/>
    <s v="Pooja Joshi"/>
    <n v="85"/>
    <s v="Female"/>
    <s v="Bangalore"/>
    <x v="5"/>
    <s v="Dr.Randhir Sud"/>
    <d v="2025-09-21T00:00:00"/>
    <d v="2025-10-06T00:00:00"/>
    <s v="Gallstones / Cholecystitis"/>
    <s v="Laparoscopic Cholecystectomy"/>
    <n v="337085.85"/>
    <s v="Hdfc Ergo"/>
    <s v="Paid"/>
    <s v="Discharged"/>
  </r>
  <r>
    <s v="HOSP-10192"/>
    <s v="Kavita Mehta"/>
    <n v="42"/>
    <s v="Female"/>
    <s v="Hyderabad"/>
    <x v="2"/>
    <s v="Dr.P. N. Renjen"/>
    <d v="2025-04-10T00:00:00"/>
    <d v="2025-02-15T00:00:00"/>
    <s v="Migraine Chronic"/>
    <s v="Botox Injection &amp; Triptans"/>
    <n v="310615.59999999998"/>
    <s v="Care Health"/>
    <s v="Pending"/>
    <s v="Discharged"/>
  </r>
  <r>
    <s v="HOSP-10193"/>
    <s v="Ramesh Singh"/>
    <n v="22"/>
    <s v="Male"/>
    <s v="Kolkata"/>
    <x v="1"/>
    <s v="Dr.R. K. Singhal"/>
    <d v="2025-10-08T00:00:00"/>
    <d v="2025-10-22T00:00:00"/>
    <s v="Type 2 Diabetes Uncontrolled"/>
    <s v="Insulin Titration"/>
    <n v="348616.66"/>
    <s v="Star Health"/>
    <s v="Pending"/>
    <s v="Discharged"/>
  </r>
  <r>
    <s v="HOSP-10195"/>
    <s v="Kabir Joshi"/>
    <n v="2"/>
    <s v="Male"/>
    <s v="Kolkata"/>
    <x v="6"/>
    <s v="Dr.Sks Marya"/>
    <d v="2025-12-09T00:00:00"/>
    <d v="2025-12-24T00:00:00"/>
    <s v="Osteoarthritis Knee"/>
    <s v="Total Knee Replacement"/>
    <n v="107724.71"/>
    <s v="Bajaj Allianz"/>
    <s v="Pending"/>
    <s v="Transferred"/>
  </r>
  <r>
    <s v="HOSP-10196"/>
    <s v="Aarav Gupta"/>
    <n v="50"/>
    <s v="Male"/>
    <s v="Chennai"/>
    <x v="2"/>
    <s v="Dr.Mukul Varma"/>
    <d v="2025-12-02T00:00:00"/>
    <d v="2025-02-13T00:00:00"/>
    <s v="Epilepsy"/>
    <s v="Anticonvulsant Therapy"/>
    <n v="272521.56"/>
    <s v="Max Bupa"/>
    <s v="Partially Paid"/>
    <s v="Transferred"/>
  </r>
  <r>
    <s v="HOSP-10197"/>
    <s v="Ramesh Joshi"/>
    <n v="62"/>
    <s v="Male"/>
    <s v="Delhi"/>
    <x v="7"/>
    <s v="Dr.R. K. Singhal"/>
    <d v="2025-01-02T00:00:00"/>
    <d v="2025-01-13T00:00:00"/>
    <s v="Urinary Tract Infection"/>
    <s v="Unknown"/>
    <n v="88182.91"/>
    <s v="Care Health"/>
    <s v="Paid"/>
    <s v="Discharged"/>
  </r>
  <r>
    <s v="HOSP-10199"/>
    <s v="Aarav Patel"/>
    <n v="27"/>
    <s v="Male"/>
    <s v="Chandigarh"/>
    <x v="5"/>
    <s v="Dr.Govind Makharia"/>
    <d v="2025-07-22T00:00:00"/>
    <d v="2025-07-29T00:00:00"/>
    <s v="Peptic Ulcer Bleeding"/>
    <s v="Endoscopic Banding"/>
    <n v="88203.79"/>
    <s v="None"/>
    <s v="Disputed"/>
    <s v="Expired"/>
  </r>
  <r>
    <s v="HOSP-10200"/>
    <s v="Kavita Singh"/>
    <n v="71"/>
    <s v="Female"/>
    <s v="Chandigarh"/>
    <x v="7"/>
    <s v="Dr.P. N. Renjen"/>
    <d v="2025-07-01T00:00:00"/>
    <d v="2025-07-19T00:00:00"/>
    <s v="Migraine Chronic"/>
    <s v="Botox Injection &amp; Triptans"/>
    <n v="330817.42"/>
    <s v="Unknown"/>
    <s v="Partially Paid"/>
    <s v="Expired"/>
  </r>
  <r>
    <s v="HOSP-10201"/>
    <s v="Diya Sharma"/>
    <n v="72"/>
    <s v="Female"/>
    <s v="Mumbai"/>
    <x v="6"/>
    <s v="Dr.Sks Marya"/>
    <d v="2025-11-14T00:00:00"/>
    <d v="2025-11-25T00:00:00"/>
    <s v="Osteoarthritis Knee"/>
    <s v="Total Knee Replacement"/>
    <n v="40000"/>
    <s v="Unknown"/>
    <s v="Pending"/>
    <s v="Discharged Against Medical Advice"/>
  </r>
  <r>
    <s v="HOSP-10203"/>
    <s v="Rohan Singh"/>
    <n v="18"/>
    <s v="Male"/>
    <s v="Jaipur"/>
    <x v="1"/>
    <s v="Dr.R. K. Singhal"/>
    <d v="2025-04-30T00:00:00"/>
    <d v="2025-12-23T00:00:00"/>
    <s v="Type 2 Diabetes Uncontrolled"/>
    <s v="Insulin Titration"/>
    <n v="94965.17"/>
    <s v="None / Self Pay"/>
    <s v="Pending"/>
    <s v="Admitted"/>
  </r>
  <r>
    <s v="HOSP-10204"/>
    <s v="Kabir Nair"/>
    <n v="18"/>
    <s v="Male"/>
    <s v="Delhi"/>
    <x v="0"/>
    <s v="Dr.Harit Chaturvedi"/>
    <d v="2025-09-01T00:00:00"/>
    <d v="2025-09-18T00:00:00"/>
    <s v="Lung Adenocarcinoma"/>
    <s v="Targeted Therapy"/>
    <n v="266670.65000000002"/>
    <s v="None / Self Pay"/>
    <s v="Paid"/>
    <s v="Discharged Against Medical Advice"/>
  </r>
  <r>
    <s v="HOSP-10205"/>
    <s v="Aarav Reddy"/>
    <n v="27"/>
    <s v="Male"/>
    <s v="Jaipur"/>
    <x v="1"/>
    <s v="Dr.Unknown"/>
    <d v="2025-06-18T00:00:00"/>
    <d v="2025-12-23T00:00:00"/>
    <s v="Hypertensive Crisis"/>
    <s v="Iv Labetalol"/>
    <n v="52142.03"/>
    <s v="Star Health"/>
    <s v="Claim Processing"/>
    <s v="Admitted"/>
  </r>
  <r>
    <s v="HOSP-10206"/>
    <s v="Priya Joshi"/>
    <n v="52"/>
    <s v="Female"/>
    <s v="Hyderabad"/>
    <x v="4"/>
    <s v="Dr.Ashok Seth"/>
    <d v="2025-10-01T00:00:00"/>
    <d v="2025-12-23T00:00:00"/>
    <s v="Heart Failure"/>
    <s v="Ace Inhibitors &amp; Diuretics"/>
    <n v="101756.58"/>
    <s v="None / Self Pay"/>
    <s v="Paid"/>
    <s v="Admitted"/>
  </r>
  <r>
    <s v="HOSP-10208"/>
    <s v="Priya Iyer"/>
    <n v="160"/>
    <s v="Female"/>
    <s v="Ahmedabad"/>
    <x v="0"/>
    <s v="Dr.Harit Chaturvedi"/>
    <d v="2025-12-09T00:00:00"/>
    <d v="2025-12-26T00:00:00"/>
    <s v="Lymphoma"/>
    <s v="R-Chop Regimen"/>
    <n v="41236.160000000003"/>
    <s v="N/A"/>
    <s v="Partially Paid"/>
    <s v="In-Patient"/>
  </r>
  <r>
    <s v="HOSP-10209"/>
    <s v="Meera Reddy"/>
    <n v="47"/>
    <s v="Female"/>
    <s v="Pune"/>
    <x v="3"/>
    <s v="Dr.Arvind Bagga"/>
    <d v="2025-09-27T00:00:00"/>
    <d v="2025-10-10T00:00:00"/>
    <s v="Viral Gastroenteritis"/>
    <s v="Iv Fluids &amp; Electrolytes"/>
    <n v="224317.54"/>
    <s v="None / Self Pay"/>
    <s v="Pending"/>
    <s v="Expired"/>
  </r>
  <r>
    <s v="HOSP-10210"/>
    <s v="Diya Iyer"/>
    <n v="81"/>
    <s v="Female"/>
    <s v="Jaipur"/>
    <x v="2"/>
    <s v="Dr.Mukul Varma"/>
    <d v="2025-07-23T00:00:00"/>
    <d v="2025-08-04T00:00:00"/>
    <s v="Parkinson'S Disease"/>
    <s v="Levodopa Therapy"/>
    <n v="141814.6"/>
    <s v="Max Bupa"/>
    <s v="Claim_Pending"/>
    <s v="Discharged"/>
  </r>
  <r>
    <s v="Unknown"/>
    <s v="Anjali Joshi"/>
    <n v="87"/>
    <s v="Female"/>
    <s v="Chandigarh"/>
    <x v="4"/>
    <s v="Dr.Ashok Seth"/>
    <d v="2025-01-18T00:00:00"/>
    <d v="2025-01-25T00:00:00"/>
    <s v="Heart Failure"/>
    <s v="Ace Inhibitors &amp; Diuretics"/>
    <n v="258112.74"/>
    <s v="None"/>
    <s v="Paid"/>
    <s v="Discharged"/>
  </r>
  <r>
    <s v="HOSP-10212"/>
    <s v="Ananya Gupta"/>
    <n v="16"/>
    <s v="Female"/>
    <s v="Jaipur"/>
    <x v="6"/>
    <s v="Dr.Ramneek Mahajan"/>
    <d v="2025-11-01T00:00:00"/>
    <d v="2025-12-23T00:00:00"/>
    <s v="Rotator Cuff Tear"/>
    <s v="Arthroscopic Repair"/>
    <n v="255614.72"/>
    <s v="Max Bupa"/>
    <s v="Claim_Pending"/>
    <s v="Admitted"/>
  </r>
  <r>
    <s v="HOSP-10213"/>
    <s v="Aarav Joshi"/>
    <n v="40"/>
    <s v="Unspecified"/>
    <s v="Hyderabad"/>
    <x v="3"/>
    <s v="Dr.Veena Kalra"/>
    <d v="2025-10-10T00:00:00"/>
    <d v="2025-12-23T00:00:00"/>
    <s v="Neonatal Jaundice"/>
    <s v="Phototherapy"/>
    <n v="317722.57"/>
    <s v="Max Bupa"/>
    <s v="Pending"/>
    <s v="Admitted"/>
  </r>
  <r>
    <s v="HOSP-10214"/>
    <s v="Amit Bose"/>
    <n v="70"/>
    <s v="Male"/>
    <s v="Ahmedabad"/>
    <x v="2"/>
    <s v="Dr.Mukul Varma"/>
    <d v="2025-11-01T00:00:00"/>
    <d v="2025-01-15T00:00:00"/>
    <s v="Parkinson'S Disease"/>
    <s v="Levodopa Therapy"/>
    <n v="259754.43"/>
    <s v="Care Health"/>
    <s v="Pending"/>
    <s v="Discharged Against Medical Advice"/>
  </r>
  <r>
    <s v="HOSP-10215"/>
    <s v="Unknown"/>
    <n v="29"/>
    <s v="Male"/>
    <s v="Mumbai"/>
    <x v="4"/>
    <s v="Dr.Naresh Trehan"/>
    <d v="2025-04-04T00:00:00"/>
    <d v="2025-04-07T00:00:00"/>
    <s v="Heart Failure"/>
    <s v="Ace Inhibitors &amp; Diuretics"/>
    <n v="43156.46"/>
    <s v="Bajaj Allianz"/>
    <s v="Disputed"/>
    <s v="Unknown"/>
  </r>
  <r>
    <s v="HOSP-10216"/>
    <s v="Neha Nair"/>
    <n v="69"/>
    <s v="Female"/>
    <s v="Chennai"/>
    <x v="0"/>
    <s v="Dr.Vinod Raina"/>
    <d v="2025-04-14T00:00:00"/>
    <d v="2025-12-23T00:00:00"/>
    <s v="Lung Adenocarcinoma"/>
    <s v="Targeted Therapy"/>
    <n v="8472.35"/>
    <s v="Star Health"/>
    <s v="Pending"/>
    <s v="Admitted"/>
  </r>
  <r>
    <s v="HOSP-10217"/>
    <s v="Vikram_Nair"/>
    <n v="6"/>
    <s v="Male"/>
    <s v="Delhi"/>
    <x v="3"/>
    <s v="Dr.Veena Kalra"/>
    <d v="2025-11-11T00:00:00"/>
    <d v="2025-11-23T00:00:00"/>
    <s v="Severe Pneumonia"/>
    <s v="Iv Antibiotics"/>
    <n v="287606.32"/>
    <s v="Max Bupa"/>
    <s v="Claim Processing"/>
    <s v="Discharged"/>
  </r>
  <r>
    <s v="HOSP-10218"/>
    <s v="Ananya Reddy"/>
    <n v="24"/>
    <s v="Female"/>
    <s v="Jaipur"/>
    <x v="5"/>
    <s v="Dr.Govind Makharia"/>
    <d v="2025-04-06T00:00:00"/>
    <d v="2025-12-23T00:00:00"/>
    <s v="Gallstones / Cholecystitis"/>
    <s v="Laparoscopic Cholecystectomy"/>
    <n v="289092.03000000003"/>
    <s v="Icici Lombard"/>
    <s v="Claim Processing"/>
    <s v="Admitted"/>
  </r>
  <r>
    <s v="HOSP-10219"/>
    <s v="Ananya Verma"/>
    <n v="54"/>
    <s v="Unspecified"/>
    <s v="Bangalore"/>
    <x v="5"/>
    <s v="Dr.Randhir Sud"/>
    <d v="2025-12-12T00:00:00"/>
    <d v="2025-12-30T00:00:00"/>
    <s v="Liver Cirrhosis"/>
    <s v="Paracentesis &amp; Diuretics"/>
    <n v="33757.449999999997"/>
    <s v="Max Bupa"/>
    <s v="Unpaid"/>
    <s v="Transferred"/>
  </r>
  <r>
    <s v="HOSP-10220"/>
    <s v="Suresh Joshi"/>
    <n v="73"/>
    <s v="Male"/>
    <s v="Unknown"/>
    <x v="3"/>
    <s v="Dr.Veena Kalra"/>
    <d v="2025-07-13T00:00:00"/>
    <d v="2025-07-25T00:00:00"/>
    <s v="Neonatal Jaundice"/>
    <s v="Phototherapy"/>
    <n v="137604.06"/>
    <s v="Icici Lombard"/>
    <s v="Disputed"/>
    <s v="Discharged Against Medical Advice"/>
  </r>
  <r>
    <s v="HOSP-10222"/>
    <s v="Anita Reddy"/>
    <n v="65"/>
    <s v="Female"/>
    <s v="Bangalore"/>
    <x v="6"/>
    <s v="Dr.Ramneek Mahajan"/>
    <d v="2025-03-04T00:00:00"/>
    <d v="2025-12-23T00:00:00"/>
    <s v="Rotator Cuff Tear"/>
    <s v="Arthroscopic Repair"/>
    <n v="270774.19"/>
    <s v="None / Self Pay"/>
    <s v="Unknown"/>
    <s v="Admitted"/>
  </r>
  <r>
    <s v="HOSP-10223"/>
    <s v="Diya Mehta"/>
    <n v="65"/>
    <s v="Female"/>
    <s v="Jaipur"/>
    <x v="6"/>
    <s v="Dr.Sks Marya"/>
    <d v="2025-03-21T00:00:00"/>
    <d v="2025-03-29T00:00:00"/>
    <s v="Lumbar Spondylosis"/>
    <s v="Spinal Decompression"/>
    <n v="337793.92"/>
    <s v="None"/>
    <s v="Disputed"/>
    <s v="Discharged Against Medical Advice"/>
  </r>
  <r>
    <s v="HOSP-10224"/>
    <s v="Anjali Reddy"/>
    <n v="5"/>
    <s v="Female"/>
    <s v="Bangalore"/>
    <x v="1"/>
    <s v="Dr.Unknown"/>
    <d v="2025-12-23T00:00:00"/>
    <d v="2025-12-23T00:00:00"/>
    <s v="Dengue Fever With Thrombocytopenia"/>
    <s v="Platelet Support"/>
    <n v="288515.28999999998"/>
    <s v="Hdfc Ergo"/>
    <s v="Claim Processing"/>
    <s v="Admitted"/>
  </r>
  <r>
    <s v="HOSP-10225"/>
    <s v="Vikram Nair"/>
    <n v="16"/>
    <s v="Male"/>
    <s v="Hyderabad"/>
    <x v="1"/>
    <s v="Dr.Anoop Misra"/>
    <d v="2025-07-13T00:00:00"/>
    <d v="2025-07-22T00:00:00"/>
    <s v="Urinary Tract Infection"/>
    <s v="Antibiotic Course"/>
    <n v="330046.03999999998"/>
    <s v="Icici Lombard"/>
    <s v="Disputed"/>
    <s v="Discharged"/>
  </r>
  <r>
    <s v="HOSP-10226"/>
    <s v="Meera Joshi"/>
    <n v="31"/>
    <s v="Female"/>
    <s v="Ahmedabad"/>
    <x v="1"/>
    <s v="Dr.Atul Gogia"/>
    <d v="2025-04-10T00:00:00"/>
    <d v="2025-12-23T00:00:00"/>
    <s v="Type 2 Diabetes Uncontrolled"/>
    <s v="Insulin Titration"/>
    <n v="64734.19"/>
    <s v="Max Bupa"/>
    <s v="Pending"/>
    <s v="Admitted"/>
  </r>
  <r>
    <s v="HOSP-10227"/>
    <s v="Amit Nair"/>
    <n v="84"/>
    <s v="Male"/>
    <s v="Delhi"/>
    <x v="3"/>
    <s v="Dr.Veena Kalra"/>
    <d v="2025-01-10T00:00:00"/>
    <d v="2025-01-11T00:00:00"/>
    <s v="Unknown"/>
    <s v="Iv Antibiotics"/>
    <n v="340459.81"/>
    <s v="Hdfc Ergo"/>
    <s v="Disputed"/>
    <s v="Discharged"/>
  </r>
  <r>
    <s v="HOSP-10228"/>
    <s v="Manoj Kumar"/>
    <n v="63"/>
    <s v="Male"/>
    <s v="Mumbai"/>
    <x v="0"/>
    <s v="Dr.Suresh Advani"/>
    <d v="2025-06-10T00:00:00"/>
    <d v="2025-12-23T00:00:00"/>
    <s v="Lung Adenocarcinoma"/>
    <s v="Targeted Therapy"/>
    <n v="82982.5"/>
    <s v="Bajaj Allianz"/>
    <s v="Paid"/>
    <s v="Unknown"/>
  </r>
  <r>
    <s v="HOSP-10229"/>
    <s v="Suresh Joshi"/>
    <n v="40"/>
    <s v="Male"/>
    <s v="Hyderabad"/>
    <x v="1"/>
    <s v="Dr.Anoop Misra"/>
    <d v="2025-05-06T00:00:00"/>
    <d v="2025-12-23T00:00:00"/>
    <s v="Urinary Tract Infection"/>
    <s v="Antibiotic Course"/>
    <n v="99999999"/>
    <s v="Hdfc Ergo"/>
    <s v="Disputed"/>
    <s v="Admitted"/>
  </r>
  <r>
    <s v="HOSP-10230"/>
    <s v="Pooja Patel"/>
    <n v="64"/>
    <s v="Unspecified"/>
    <s v="Hyderabad"/>
    <x v="2"/>
    <s v="Dr.P. N. Renjen"/>
    <d v="2025-05-02T00:00:00"/>
    <d v="2025-02-19T00:00:00"/>
    <s v="Acute Ischemic Stroke"/>
    <s v="Tpa Therapy"/>
    <n v="324747.28000000003"/>
    <s v="Icici Lombard"/>
    <s v="Pending"/>
    <s v="Transferred"/>
  </r>
  <r>
    <s v="HOSP-10231"/>
    <s v="Aditya Singh"/>
    <n v="43"/>
    <s v="Male"/>
    <s v="Delhi"/>
    <x v="1"/>
    <s v="Dr.R. K. Singhal"/>
    <d v="2025-01-02T00:00:00"/>
    <d v="2025-01-03T00:00:00"/>
    <s v="Type 2 Diabetes Uncontrolled"/>
    <s v="Insulin Titration"/>
    <n v="40000"/>
    <s v="None / Self Pay"/>
    <s v="Claim Processing"/>
    <s v="Discharged"/>
  </r>
  <r>
    <s v="HOSP-10234"/>
    <s v="Anjali Nair"/>
    <n v="8"/>
    <s v="Female"/>
    <s v="Chennai"/>
    <x v="3"/>
    <s v="Dr.Arvind Bagga"/>
    <d v="2025-11-17T00:00:00"/>
    <d v="2025-12-23T00:00:00"/>
    <s v="Severe Pneumonia"/>
    <s v="Iv Antibiotics"/>
    <n v="-287384.84000000003"/>
    <s v="Icici Lombard"/>
    <s v="Paid"/>
    <s v="Expired"/>
  </r>
  <r>
    <s v="HOSP-10235"/>
    <s v="Unknown"/>
    <n v="83"/>
    <s v="Female"/>
    <s v="Ahmedabad"/>
    <x v="3"/>
    <s v="Dr.Krishan Chugh"/>
    <d v="2025-01-29T00:00:00"/>
    <d v="2025-02-13T00:00:00"/>
    <s v="Acute Bronchiolitis"/>
    <s v="Nebulization &amp; O2 Support"/>
    <n v="339754.62"/>
    <s v="Bajaj Allianz"/>
    <s v="Claim Processing"/>
    <s v="Expired"/>
  </r>
  <r>
    <s v="HOSP-10237"/>
    <s v="Priya Mehta"/>
    <n v="57"/>
    <s v="Female"/>
    <s v="Chandigarh"/>
    <x v="7"/>
    <s v="Dr.Unknown"/>
    <d v="2025-08-26T00:00:00"/>
    <d v="2025-09-08T00:00:00"/>
    <s v="Heart Failure"/>
    <s v="Ace Inhibitors &amp; Diuretics"/>
    <n v="293518.03000000003"/>
    <s v="Icici Lombard"/>
    <s v="Disputed"/>
    <s v="Transferred"/>
  </r>
  <r>
    <s v="HOSP-10238"/>
    <s v="Unknown"/>
    <n v="86"/>
    <s v="Female"/>
    <s v="Delhi"/>
    <x v="0"/>
    <s v="Dr.Harit Chaturvedi"/>
    <d v="2025-02-28T00:00:00"/>
    <d v="2025-03-18T00:00:00"/>
    <s v="Lymphoma"/>
    <s v="R-Chop Regimen"/>
    <n v="114030.49"/>
    <s v="Max Bupa"/>
    <s v="Partially Paid"/>
    <s v="Discharged Against Medical Advice"/>
  </r>
  <r>
    <s v="HOSP-10240"/>
    <s v="Ananya Nair"/>
    <n v="52"/>
    <s v="Female"/>
    <s v="Hyderabad"/>
    <x v="6"/>
    <s v="Dr.Ramneek Mahajan"/>
    <d v="2025-08-21T00:00:00"/>
    <d v="2025-08-28T00:00:00"/>
    <s v="Lumbar Spondylosis"/>
    <s v="Spinal Decompression"/>
    <n v="266163.46999999997"/>
    <s v="None / Self Pay"/>
    <s v="Pending"/>
    <s v="Expired"/>
  </r>
  <r>
    <s v="HOSP-10241"/>
    <s v="Ramesh Bose"/>
    <n v="32"/>
    <s v="Male"/>
    <s v="Chennai"/>
    <x v="5"/>
    <s v="Dr.Subhash Gupta"/>
    <d v="2025-09-12T00:00:00"/>
    <d v="2025-12-23T00:00:00"/>
    <s v="Gallstones / Cholecystitis"/>
    <s v="Laparoscopic Cholecystectomy"/>
    <n v="306146.28999999998"/>
    <s v="Hdfc Ergo"/>
    <s v="Claim_Pending"/>
    <s v="Admitted"/>
  </r>
  <r>
    <s v="HOSP-10242"/>
    <s v="Pooja Gupta"/>
    <n v="38"/>
    <s v="Female"/>
    <s v="Chennai"/>
    <x v="2"/>
    <s v="Dr.Sushil Razdan"/>
    <d v="2025-12-12T00:00:00"/>
    <d v="2025-12-23T00:00:00"/>
    <s v="Migraine Chronic"/>
    <s v="Botox Injection &amp; Triptans"/>
    <n v="165780.85"/>
    <s v="Max Bupa"/>
    <s v="Disputed"/>
    <s v="Transferred"/>
  </r>
  <r>
    <s v="HOSP-126"/>
    <s v="Pooja Gupta"/>
    <n v="45"/>
    <s v="Female"/>
    <s v="Mumbai"/>
    <x v="2"/>
    <s v="Dr.Sushil Razdan"/>
    <d v="2025-03-15T00:00:00"/>
    <d v="2025-03-22T00:00:00"/>
    <s v="Parkinson'S Disease"/>
    <s v="Levodopa Therapy"/>
    <n v="293503.23"/>
    <s v="Hdfc Ergo"/>
    <s v="Partially Paid"/>
    <s v="Expired"/>
  </r>
  <r>
    <s v="HOSP-10244"/>
    <s v="Aditya Patel"/>
    <n v="49"/>
    <s v="Male"/>
    <s v="Kolkata"/>
    <x v="1"/>
    <s v="Dr.Anoop Misra"/>
    <d v="2025-04-10T00:00:00"/>
    <d v="2025-11-04T00:00:00"/>
    <s v="Dengue Fever With Thrombocytopenia"/>
    <s v="Platelet Support"/>
    <n v="28693.03"/>
    <s v="Care Health"/>
    <s v="Paid"/>
    <s v="Discharged"/>
  </r>
  <r>
    <s v="HOSP-10245"/>
    <s v="Sneha Kumar"/>
    <n v="60"/>
    <s v="Female"/>
    <s v="Jaipur"/>
    <x v="4"/>
    <s v="Dr.Ashok Seth"/>
    <d v="2025-03-08T00:00:00"/>
    <d v="2025-03-10T00:00:00"/>
    <s v="Coronary Artery Disease"/>
    <s v="Angioplasty"/>
    <n v="28640.639999999999"/>
    <s v="None / Self Pay"/>
    <s v="Disputed"/>
    <s v="Discharged"/>
  </r>
  <r>
    <s v="HOSP-10248"/>
    <s v="Aditya Singh"/>
    <n v="42"/>
    <s v="Male"/>
    <s v="Ahmedabad"/>
    <x v="3"/>
    <s v="Dr.Krishan Chugh"/>
    <d v="2025-08-10T00:00:00"/>
    <d v="2025-12-23T00:00:00"/>
    <s v="Severe Pneumonia"/>
    <s v="Iv Antibiotics"/>
    <n v="218046.64"/>
    <s v="Hdfc Ergo"/>
    <s v="Partially Paid"/>
    <s v="Admitted"/>
  </r>
  <r>
    <s v="HOSP-10249"/>
    <s v="Aditya Mehta"/>
    <n v="69"/>
    <s v="Male"/>
    <s v="Pune"/>
    <x v="1"/>
    <s v="Dr.Anoop Misra"/>
    <d v="2025-04-20T00:00:00"/>
    <d v="2025-08-05T00:00:00"/>
    <s v="Type 2 Diabetes Uncontrolled"/>
    <s v="Insulin Titration"/>
    <n v="40000"/>
    <s v="Hdfc Ergo"/>
    <s v="Pending"/>
    <s v="Expired"/>
  </r>
  <r>
    <s v="HOSP-10250"/>
    <s v="Vihaan Joshi"/>
    <n v="8"/>
    <s v="Male"/>
    <s v="Hyderabad"/>
    <x v="0"/>
    <s v="Dr.Harit Chaturvedi"/>
    <d v="2025-02-10T00:00:00"/>
    <d v="2025-02-22T00:00:00"/>
    <s v="Breast Carcinoma"/>
    <s v="Chemotherapy &amp; Lumpectomy"/>
    <n v="213386.28"/>
    <s v="None"/>
    <s v="Partially Paid"/>
    <s v="Transferred"/>
  </r>
  <r>
    <s v="HOSP-10252"/>
    <s v="Diya Verma"/>
    <n v="68"/>
    <s v="Female"/>
    <s v="Pune"/>
    <x v="0"/>
    <s v="Dr.Suresh Advani"/>
    <d v="2025-02-22T00:00:00"/>
    <d v="2025-03-05T00:00:00"/>
    <s v="Breast Carcinoma"/>
    <s v="Chemotherapy &amp; Lumpectomy"/>
    <n v="114914.67"/>
    <s v="Bajaj Allianz"/>
    <s v="Pending"/>
    <s v="Discharged Against Medical Advice"/>
  </r>
  <r>
    <s v="HOSP-10253"/>
    <s v="Rajesh Mehta"/>
    <n v="2"/>
    <s v="Male"/>
    <s v="Hyderabad"/>
    <x v="4"/>
    <s v="Dr.Naresh Trehan"/>
    <d v="2025-09-05T00:00:00"/>
    <d v="2025-09-21T00:00:00"/>
    <s v="Coronary Artery Disease"/>
    <s v="Angioplasty"/>
    <n v="167818.16"/>
    <s v="Hdfc Ergo"/>
    <s v="Claim Processing"/>
    <s v="Unknown"/>
  </r>
  <r>
    <s v="HOSP-10254"/>
    <s v="Vihaan Bose"/>
    <n v="31"/>
    <s v="Unspecified"/>
    <s v="Pune"/>
    <x v="1"/>
    <s v="Dr.Atul Gogia"/>
    <d v="2025-02-02T00:00:00"/>
    <d v="2025-12-23T00:00:00"/>
    <s v="Dengue Fever With Thrombocytopenia"/>
    <s v="Unknown"/>
    <n v="47432.59"/>
    <s v="Care Health"/>
    <s v="Disputed"/>
    <s v="Discharged"/>
  </r>
  <r>
    <s v="HOSP-10256"/>
    <s v="Vihaan Iyer"/>
    <n v="55"/>
    <s v="Male"/>
    <s v="Jaipur"/>
    <x v="5"/>
    <s v="Dr.Govind Makharia"/>
    <d v="2025-07-26T00:00:00"/>
    <d v="2025-07-29T00:00:00"/>
    <s v="Liver Cirrhosis"/>
    <s v="Paracentesis &amp; Diuretics"/>
    <n v="110914.54"/>
    <s v="Star Health"/>
    <s v="Disputed"/>
    <s v="Discharged"/>
  </r>
  <r>
    <s v="HOSP-10258"/>
    <s v="Anita Patel"/>
    <n v="31"/>
    <s v="Female"/>
    <s v="Hyderabad"/>
    <x v="4"/>
    <s v="Dr.Devi Shetty"/>
    <d v="2025-04-17T00:00:00"/>
    <d v="2025-04-24T00:00:00"/>
    <s v="Coronary Artery Disease"/>
    <s v="Angioplasty"/>
    <n v="161347.78"/>
    <s v="Star Health"/>
    <s v="Disputed"/>
    <s v="Expired"/>
  </r>
  <r>
    <s v="HOSP-10259"/>
    <s v="Amit Verma"/>
    <n v="57"/>
    <s v="Male"/>
    <s v="Chennai"/>
    <x v="0"/>
    <s v="Dr.Suresh Advani"/>
    <d v="2025-03-01T00:00:00"/>
    <d v="2025-01-05T00:00:00"/>
    <s v="Lung Adenocarcinoma"/>
    <s v="Targeted Therapy"/>
    <n v="138047.97"/>
    <s v="Max Bupa"/>
    <s v="Claim Processing"/>
    <s v="Discharged"/>
  </r>
  <r>
    <s v="HOSP-10260"/>
    <s v="Deepak Nair"/>
    <n v="35"/>
    <s v="Male"/>
    <s v="Chennai"/>
    <x v="2"/>
    <s v="Dr.P. N. Renjen"/>
    <d v="2025-07-15T00:00:00"/>
    <d v="2025-07-25T00:00:00"/>
    <s v="Migraine Chronic"/>
    <s v="Botox Injection &amp; Triptans"/>
    <n v="307451.11"/>
    <s v="None / Self Pay"/>
    <s v="Pending"/>
    <s v="Discharged Against Medical Advice"/>
  </r>
  <r>
    <s v="HOSP-10264"/>
    <s v="Amit Kumar"/>
    <n v="66"/>
    <s v="Male"/>
    <s v="Chandigarh"/>
    <x v="2"/>
    <s v="Dr.P. N. Renjen"/>
    <d v="2025-12-16T00:00:00"/>
    <d v="2025-12-23T00:00:00"/>
    <s v="Acute Ischemic Stroke"/>
    <s v="Tpa Therapy"/>
    <n v="40000"/>
    <s v="None / Self Pay"/>
    <s v="Paid"/>
    <s v="Admitted"/>
  </r>
  <r>
    <s v="HOSP-140"/>
    <s v="Deepak Singh"/>
    <n v="10"/>
    <s v="Male"/>
    <s v="Bombay"/>
    <x v="4"/>
    <s v="Dr.Naresh Trehan"/>
    <d v="2025-05-12T00:00:00"/>
    <d v="2025-12-16T00:00:00"/>
    <s v="Unknown"/>
    <s v="Angioplasty"/>
    <n v="337690.34"/>
    <s v="None"/>
    <s v="Pending"/>
    <s v="Discharged"/>
  </r>
  <r>
    <s v="HOSP-10266"/>
    <s v="Priya Sharma"/>
    <n v="64"/>
    <s v="Female"/>
    <s v="Pune"/>
    <x v="0"/>
    <s v="Dr.Vinod Raina"/>
    <d v="2025-12-16T00:00:00"/>
    <d v="2025-12-21T00:00:00"/>
    <s v="Breast Carcinoma"/>
    <s v="Chemotherapy &amp; Lumpectomy"/>
    <n v="81267.360000000001"/>
    <s v="Star Health"/>
    <s v="Unpaid"/>
    <s v="Discharged Against Medical Advice"/>
  </r>
  <r>
    <s v="HOSP-10267"/>
    <s v="Anita Joshi"/>
    <n v="12"/>
    <s v="Female"/>
    <s v="Jaipur"/>
    <x v="1"/>
    <s v="Dr.Atul Gogia"/>
    <d v="2025-01-11T00:00:00"/>
    <d v="2025-01-13T00:00:00"/>
    <s v="Urinary Tract Infection"/>
    <s v="Antibiotic Course"/>
    <n v="197038.65"/>
    <s v="Star Health"/>
    <s v="Pending"/>
    <s v="Discharged"/>
  </r>
  <r>
    <s v="HOSP-10268"/>
    <s v="Vikram Joshi"/>
    <n v="72"/>
    <s v="Male"/>
    <s v="Chennai"/>
    <x v="5"/>
    <s v="Dr.Govind Makharia"/>
    <d v="2025-01-02T00:00:00"/>
    <d v="2025-12-23T00:00:00"/>
    <s v="Gallstones / Cholecystitis"/>
    <s v="Laparoscopic Cholecystectomy"/>
    <n v="68996.850000000006"/>
    <s v="Care Health"/>
    <s v="Pending"/>
    <s v="Admitted"/>
  </r>
  <r>
    <s v="HOSP-10269"/>
    <s v="Ramesh Iyer"/>
    <n v="34"/>
    <s v="Male"/>
    <s v="Chandigarh"/>
    <x v="6"/>
    <s v="Dr.Sks Marya"/>
    <d v="2025-03-20T00:00:00"/>
    <d v="2025-03-23T00:00:00"/>
    <s v="Rotator Cuff Tear"/>
    <s v="Arthroscopic Repair"/>
    <n v="53213.08"/>
    <s v="Star Health"/>
    <s v="Claim Processing"/>
    <s v="Expired"/>
  </r>
  <r>
    <s v="HOSP-10270"/>
    <s v="Vihaan Gupta"/>
    <n v="45"/>
    <s v="Male"/>
    <s v="Chennai"/>
    <x v="2"/>
    <s v="Dr.P. N. Renjen"/>
    <d v="2025-04-09T00:00:00"/>
    <d v="2025-09-20T00:00:00"/>
    <s v="Parkinson'S Disease"/>
    <s v="Levodopa Therapy"/>
    <n v="280669.32"/>
    <s v="Hdfc Ergo"/>
    <s v="Paid"/>
    <s v="Expired"/>
  </r>
  <r>
    <s v="HOSP-10271"/>
    <s v="Ramesh Sharma"/>
    <n v="31"/>
    <s v="Male"/>
    <s v="Delhi"/>
    <x v="6"/>
    <s v="Dr.Ramneek Mahajan"/>
    <d v="2025-04-04T00:00:00"/>
    <d v="2025-12-23T00:00:00"/>
    <s v="Rotator Cuff Tear"/>
    <s v="Arthroscopic Repair"/>
    <n v="260700.39"/>
    <s v="Max Bupa"/>
    <s v="Partially Paid"/>
    <s v="Transferred"/>
  </r>
  <r>
    <s v="HOSP-10272"/>
    <s v="Manoj Kumar"/>
    <n v="31"/>
    <s v="Male"/>
    <s v="Kolkata"/>
    <x v="3"/>
    <s v="Dr.Arvind Bagga"/>
    <d v="2025-07-11T00:00:00"/>
    <d v="2025-12-23T00:00:00"/>
    <s v="Unknown"/>
    <s v="Iv Antibiotics"/>
    <n v="270122.58"/>
    <s v="Max Bupa"/>
    <s v="Claim Processing"/>
    <s v="Expired"/>
  </r>
  <r>
    <s v="HOSP-10273"/>
    <s v="Vikram Gupta"/>
    <n v="28"/>
    <s v="Male"/>
    <s v="Delhi"/>
    <x v="4"/>
    <s v="Dr.Ashok Seth"/>
    <d v="2025-02-24T00:00:00"/>
    <d v="2025-03-10T00:00:00"/>
    <s v="Myocardial Infarction"/>
    <s v="Thrombolysis"/>
    <n v="57284.61"/>
    <s v="Icici Lombard"/>
    <s v="Paid"/>
    <s v="Discharged"/>
  </r>
  <r>
    <s v="HOSP-10275"/>
    <s v="Neha Gupta"/>
    <n v="9"/>
    <s v="Female"/>
    <s v="Ahmedabad"/>
    <x v="5"/>
    <s v="Dr.Subhash Gupta"/>
    <d v="2025-08-13T00:00:00"/>
    <d v="2025-08-21T00:00:00"/>
    <s v="Gallstones / Cholecystitis"/>
    <s v="Laparoscopic Cholecystectomy"/>
    <n v="256236.26"/>
    <s v="Hdfc Ergo"/>
    <s v="Pending"/>
    <s v="Transferred"/>
  </r>
  <r>
    <s v="HOSP-10277"/>
    <s v="Kavita Nair"/>
    <n v="68"/>
    <s v="Female"/>
    <s v="Pune"/>
    <x v="2"/>
    <s v="Dr.Sushil Razdan"/>
    <d v="2025-03-04T00:00:00"/>
    <d v="2025-03-17T00:00:00"/>
    <s v="Epilepsy"/>
    <s v="Anticonvulsant Therapy"/>
    <n v="185996.43"/>
    <s v="Icici Lombard"/>
    <s v="Paid"/>
    <s v="Discharged Against Medical Advice"/>
  </r>
  <r>
    <s v="HOSP-10278"/>
    <s v="Kabir Patel"/>
    <n v="21"/>
    <s v="Male"/>
    <s v="Jaipur"/>
    <x v="5"/>
    <s v="Dr.Randhir Sud"/>
    <d v="2025-01-11T00:00:00"/>
    <d v="2025-01-18T00:00:00"/>
    <s v="Liver Cirrhosis"/>
    <s v="Paracentesis &amp; Diuretics"/>
    <n v="215957.52"/>
    <s v="Star Health"/>
    <s v="Pending"/>
    <s v="Discharged Against Medical Advice"/>
  </r>
  <r>
    <s v="HOSP-10279"/>
    <s v="Aditya Verma"/>
    <n v="85"/>
    <s v="Male"/>
    <s v="Ahmedabad"/>
    <x v="6"/>
    <s v="Dr.Ramneek Mahajan"/>
    <d v="2025-11-24T00:00:00"/>
    <d v="2025-11-12T00:00:00"/>
    <s v="Osteoarthritis Knee"/>
    <s v="Total Knee Replacement"/>
    <n v="222845.48"/>
    <s v="Star Health"/>
    <s v="Claim Processing"/>
    <s v="Discharged Against Medical Advice"/>
  </r>
  <r>
    <s v="HOSP-10280"/>
    <s v="Kabir Nair"/>
    <n v="53"/>
    <s v="Male"/>
    <s v="Jaipur"/>
    <x v="5"/>
    <s v="Dr.Subhash Gupta"/>
    <d v="2025-12-11T00:00:00"/>
    <d v="2025-12-24T00:00:00"/>
    <s v="Acute Pancreatitis"/>
    <s v="Conservative Management"/>
    <n v="263822.09000000003"/>
    <s v="Icici Lombard"/>
    <s v="Disputed"/>
    <s v="Transferred"/>
  </r>
  <r>
    <s v="HOSP-10281"/>
    <s v="Kavita Joshi"/>
    <n v="42"/>
    <s v="Female"/>
    <s v="Chandigarh"/>
    <x v="5"/>
    <s v="Dr.Subhash Gupta"/>
    <d v="2025-07-07T00:00:00"/>
    <d v="2025-07-09T00:00:00"/>
    <s v="Unknown"/>
    <s v="Laparoscopic Cholecystectomy"/>
    <n v="104636.58"/>
    <s v="Icici Lombard"/>
    <s v="Paid"/>
    <s v="Discharged"/>
  </r>
  <r>
    <s v="HOSP-10282"/>
    <s v="Meera Mehta"/>
    <n v="43"/>
    <s v="Female"/>
    <s v="Unknown"/>
    <x v="1"/>
    <s v="Dr.R. K. Singhal"/>
    <d v="2025-08-20T00:00:00"/>
    <d v="2025-08-24T00:00:00"/>
    <s v="Dengue Fever With Thrombocytopenia"/>
    <s v="Platelet Support"/>
    <n v="28616.080000000002"/>
    <s v="None / Self Pay"/>
    <s v="Claim Processing"/>
    <s v="Discharged"/>
  </r>
  <r>
    <s v="HOSP-10283"/>
    <s v="Sunita_Joshi"/>
    <n v="65"/>
    <s v="Female"/>
    <s v="Ahmedabad"/>
    <x v="1"/>
    <s v="Dr.Atul Gogia"/>
    <d v="2025-10-14T00:00:00"/>
    <d v="2025-10-27T00:00:00"/>
    <s v="Urinary Tract Infection"/>
    <s v="Antibiotic Course"/>
    <n v="213497.15"/>
    <s v="Hdfc Ergo"/>
    <s v="Disputed"/>
    <s v="Transferred"/>
  </r>
  <r>
    <s v="HOSP-10284"/>
    <s v="Priya Reddy"/>
    <n v="59"/>
    <s v="Unspecified"/>
    <s v="Mumbai"/>
    <x v="2"/>
    <s v="Dr.P. N. Renjen"/>
    <d v="2025-01-06T00:00:00"/>
    <d v="2025-06-11T00:00:00"/>
    <s v="Epilepsy"/>
    <s v="Anticonvulsant Therapy"/>
    <n v="40000"/>
    <s v="Care Health"/>
    <s v="Claim Processing"/>
    <s v="Transferred"/>
  </r>
  <r>
    <s v="HOSP-10285"/>
    <s v="Unknown"/>
    <n v="999"/>
    <s v="Female"/>
    <s v="Pune"/>
    <x v="4"/>
    <s v="Dr.Devi Shetty"/>
    <d v="2025-05-29T00:00:00"/>
    <d v="2025-12-23T00:00:00"/>
    <s v="Coronary Artery Disease"/>
    <s v="Angioplasty"/>
    <n v="300360.06"/>
    <s v="Icici Lombard"/>
    <s v="Partially Paid"/>
    <s v="Admitted"/>
  </r>
  <r>
    <s v="HOSP-10286"/>
    <s v="Priya Mehta"/>
    <n v="8"/>
    <s v="Female"/>
    <s v="Mumbai"/>
    <x v="6"/>
    <s v="Dr.Harshavardhan Hegde"/>
    <d v="2025-10-18T00:00:00"/>
    <d v="2025-12-23T00:00:00"/>
    <s v="Osteoarthritis Knee"/>
    <s v="Total Knee Replacement"/>
    <n v="125286.57"/>
    <s v="Icici Lombard"/>
    <s v="Paid"/>
    <s v="Admitted"/>
  </r>
  <r>
    <s v="HOSP-10288"/>
    <s v="Ritu Verma"/>
    <n v="65"/>
    <s v="Female"/>
    <s v="Chandigarh"/>
    <x v="7"/>
    <s v="Dr.Suresh Advani"/>
    <d v="2025-08-03T00:00:00"/>
    <d v="2025-12-23T00:00:00"/>
    <s v="Colorectal Cancer"/>
    <s v="Colectomy"/>
    <n v="-186594.85"/>
    <s v="None / Self Pay"/>
    <s v="Pending"/>
    <s v="Admitted"/>
  </r>
  <r>
    <s v="HOSP-10289"/>
    <s v="Aarav Kumar"/>
    <n v="53"/>
    <s v="Male"/>
    <s v="Mumbai"/>
    <x v="6"/>
    <s v="Dr.Harshavardhan Hegde"/>
    <d v="2025-11-22T00:00:00"/>
    <d v="2025-11-28T00:00:00"/>
    <s v="Osteoarthritis Knee"/>
    <s v="Total Knee Replacement"/>
    <n v="150874.89000000001"/>
    <s v="Max Bupa"/>
    <s v="Claim Processing"/>
    <s v="Expired"/>
  </r>
  <r>
    <s v="HOSP-10290"/>
    <s v="Aditya Patel"/>
    <n v="16"/>
    <s v="Male"/>
    <s v="Mumbai"/>
    <x v="5"/>
    <s v="Dr.Govind Makharia"/>
    <d v="2025-01-07T00:00:00"/>
    <d v="2025-07-07T00:00:00"/>
    <s v="Acute Pancreatitis"/>
    <s v="Conservative Management"/>
    <n v="161842.22"/>
    <s v="N/A"/>
    <s v="Claim_Pending"/>
    <s v="Discharged Against Medical Advice"/>
  </r>
  <r>
    <s v="HOSP-10291"/>
    <s v="Anjali Iyer"/>
    <n v="53"/>
    <s v="Female"/>
    <s v="Bangalore"/>
    <x v="6"/>
    <s v="Dr.Sks Marya"/>
    <d v="2025-07-04T00:00:00"/>
    <d v="2025-12-23T00:00:00"/>
    <s v="Femur Fracture"/>
    <s v="Internal Fixation"/>
    <n v="40000"/>
    <s v="None"/>
    <s v="Pending"/>
    <s v="Admitted"/>
  </r>
  <r>
    <s v="HOSP-10292"/>
    <s v="Anita Mehta"/>
    <n v="3"/>
    <s v="Female"/>
    <s v="Unknown"/>
    <x v="0"/>
    <s v="Dr.Harit Chaturvedi"/>
    <d v="2025-01-11T00:00:00"/>
    <d v="2025-01-21T00:00:00"/>
    <s v="Lymphoma"/>
    <s v="R-Chop Regimen"/>
    <n v="208374.36"/>
    <s v="Hdfc Ergo"/>
    <s v="Disputed"/>
    <s v="Transferred"/>
  </r>
  <r>
    <s v="HOSP-10293"/>
    <s v="Suresh Nair"/>
    <n v="66"/>
    <s v="Male"/>
    <s v="Kolkata"/>
    <x v="4"/>
    <s v="Dr.Ashok Seth"/>
    <d v="2025-03-14T00:00:00"/>
    <d v="2025-04-01T00:00:00"/>
    <s v="Myocardial Infarction"/>
    <s v="Thrombolysis"/>
    <n v="76422.86"/>
    <s v="Care Health"/>
    <s v="Pending"/>
    <s v="Discharged"/>
  </r>
  <r>
    <s v="HOSP-10294"/>
    <s v="Deepak Joshi"/>
    <n v="88"/>
    <s v="Male"/>
    <s v="Kolkata"/>
    <x v="0"/>
    <s v="Dr.Vinod Raina"/>
    <d v="2025-08-01T00:00:00"/>
    <d v="2025-08-04T00:00:00"/>
    <s v="Breast Carcinoma"/>
    <s v="Unknown"/>
    <n v="215647.84"/>
    <s v="Star Health"/>
    <s v="Disputed"/>
    <s v="Discharged"/>
  </r>
  <r>
    <s v="HOSP-10296"/>
    <s v="Diya Mehta"/>
    <n v="65"/>
    <s v="Female"/>
    <s v="Ahmedabad"/>
    <x v="6"/>
    <s v="Dr.Ramneek Mahajan"/>
    <d v="2025-01-17T00:00:00"/>
    <d v="2025-01-22T00:00:00"/>
    <s v="Femur Fracture"/>
    <s v="Internal Fixation"/>
    <n v="92369.02"/>
    <s v="None / Self Pay"/>
    <s v="Disputed"/>
    <s v="Discharged Against Medical Advice"/>
  </r>
  <r>
    <s v="HOSP-10297"/>
    <s v="Diya Mehta"/>
    <n v="33"/>
    <s v="Female"/>
    <s v="Chennai"/>
    <x v="2"/>
    <s v="Dr.Sushil Razdan"/>
    <d v="2025-04-03T00:00:00"/>
    <d v="2025-08-04T00:00:00"/>
    <s v="Parkinson'S Disease"/>
    <s v="Levodopa Therapy"/>
    <n v="273508.17"/>
    <s v="Star Health"/>
    <s v="Paid"/>
    <s v="Discharged"/>
  </r>
  <r>
    <s v="HOSP-10298"/>
    <s v="Pooja Verma"/>
    <n v="20"/>
    <s v="Female"/>
    <s v="Hyderabad"/>
    <x v="3"/>
    <s v="Dr.Krishan Chugh"/>
    <d v="2025-04-10T00:00:00"/>
    <d v="2025-12-23T00:00:00"/>
    <s v="Unknown"/>
    <s v="Iv Fluids &amp; Electrolytes"/>
    <n v="159154.76999999999"/>
    <s v="Bajaj Allianz"/>
    <s v="Disputed"/>
    <s v="Admitted"/>
  </r>
  <r>
    <s v="HOSP-10299"/>
    <s v="Diya Joshi"/>
    <n v="31"/>
    <s v="Female"/>
    <s v="Chandigarh"/>
    <x v="5"/>
    <s v="Dr.Govind Makharia"/>
    <d v="2025-06-22T00:00:00"/>
    <d v="2025-12-23T00:00:00"/>
    <s v="Gallstones / Cholecystitis"/>
    <s v="Laparoscopic Cholecystectomy"/>
    <n v="137168.85999999999"/>
    <s v="Hdfc Ergo"/>
    <s v="Disputed"/>
    <s v="Transferred"/>
  </r>
  <r>
    <s v="HOSP-10300"/>
    <s v="Pooja Gupta"/>
    <n v="88"/>
    <s v="Female"/>
    <s v="Hyderabad"/>
    <x v="5"/>
    <s v="Dr.Subhash Gupta"/>
    <d v="2025-01-14T00:00:00"/>
    <d v="2025-01-27T00:00:00"/>
    <s v="Gallstones / Cholecystitis"/>
    <s v="Laparoscopic Cholecystectomy"/>
    <n v="99999999"/>
    <s v="Icici Lombard"/>
    <s v="Disputed"/>
    <s v="Expired"/>
  </r>
  <r>
    <s v="HOSP-10301"/>
    <s v="Aarav Gupta"/>
    <n v="160"/>
    <s v="Male"/>
    <s v="Ahmedabad"/>
    <x v="1"/>
    <s v="Dr.Atul Gogia"/>
    <d v="2025-02-11T00:00:00"/>
    <d v="2025-02-25T00:00:00"/>
    <s v="Dengue Fever With Thrombocytopenia"/>
    <s v="Platelet Support"/>
    <n v="-234724.28"/>
    <s v="Icici Lombard"/>
    <s v="Disputed"/>
    <s v="Transferred"/>
  </r>
  <r>
    <s v="HOSP-10302"/>
    <s v="Diya Patel"/>
    <n v="67"/>
    <s v="Female"/>
    <s v="Pune"/>
    <x v="6"/>
    <s v="Dr.Sks Marya"/>
    <d v="2025-03-28T00:00:00"/>
    <d v="2025-04-03T00:00:00"/>
    <s v="Femur Fracture"/>
    <s v="Internal Fixation"/>
    <n v="330025.55"/>
    <s v="Icici Lombard"/>
    <s v="Pending"/>
    <s v="Transferred"/>
  </r>
  <r>
    <s v="HOSP-10304"/>
    <s v="Diya Nair"/>
    <n v="42"/>
    <s v="Female"/>
    <s v="Chandigarh"/>
    <x v="7"/>
    <s v="Dr.Mukul Varma"/>
    <d v="2025-05-29T00:00:00"/>
    <d v="2025-06-16T00:00:00"/>
    <s v="Epilepsy"/>
    <s v="Anticonvulsant Therapy"/>
    <n v="121793.68"/>
    <s v="None"/>
    <s v="Paid"/>
    <s v="Discharged"/>
  </r>
  <r>
    <s v="HOSP-10306"/>
    <s v="Anjali Bose"/>
    <n v="76"/>
    <s v="Female"/>
    <s v="Hyderabad"/>
    <x v="5"/>
    <s v="Dr.Subhash Gupta"/>
    <d v="2025-06-02T00:00:00"/>
    <d v="2025-06-09T00:00:00"/>
    <s v="Gallstones / Cholecystitis"/>
    <s v="Laparoscopic Cholecystectomy"/>
    <n v="35097.68"/>
    <s v="Hdfc Ergo"/>
    <s v="Disputed"/>
    <s v="Expired"/>
  </r>
  <r>
    <s v="HOSP-10307"/>
    <s v="Pooja Gupta"/>
    <n v="39"/>
    <s v="Female"/>
    <s v="Bangalore"/>
    <x v="1"/>
    <s v="Dr.R. K. Singhal"/>
    <d v="2025-05-11T00:00:00"/>
    <d v="2025-05-17T00:00:00"/>
    <s v="Urinary Tract Infection"/>
    <s v="Antibiotic Course"/>
    <n v="138020.31"/>
    <s v="Care Health"/>
    <s v="Claim Processing"/>
    <s v="Transferred"/>
  </r>
  <r>
    <s v="HOSP-10308"/>
    <s v="Ananya Iyer"/>
    <n v="45"/>
    <s v="Female"/>
    <s v="Kolkata"/>
    <x v="0"/>
    <s v="Dr.Harit Chaturvedi"/>
    <d v="2025-10-02T00:00:00"/>
    <d v="2025-10-18T00:00:00"/>
    <s v="Lung Adenocarcinoma"/>
    <s v="Targeted Therapy"/>
    <n v="346942.33"/>
    <s v="None"/>
    <s v="Claim Processing"/>
    <s v="Discharged Against Medical Advice"/>
  </r>
  <r>
    <s v="HOSP-10309"/>
    <s v="Unknown"/>
    <n v="75"/>
    <s v="Male"/>
    <s v="Jaipur"/>
    <x v="4"/>
    <s v="Dr.Ashok Seth"/>
    <d v="2025-06-06T00:00:00"/>
    <d v="2025-06-02T00:00:00"/>
    <s v="Arrhythmia"/>
    <s v="Pacemaker Implantation"/>
    <n v="-91922.240000000005"/>
    <s v="Hdfc Ergo"/>
    <s v="Disputed"/>
    <s v="Transferred"/>
  </r>
  <r>
    <s v="HOSP-10310"/>
    <s v="Aditya Singh"/>
    <n v="48"/>
    <s v="Male"/>
    <s v="Jaipur"/>
    <x v="2"/>
    <s v="Dr.Sushil Razdan"/>
    <d v="2025-10-23T00:00:00"/>
    <d v="2025-11-04T00:00:00"/>
    <s v="Acute Ischemic Stroke"/>
    <s v="Tpa Therapy"/>
    <n v="40000"/>
    <s v="Hdfc Ergo"/>
    <s v="Partially Paid"/>
    <s v="Discharged"/>
  </r>
  <r>
    <s v="HOSP-10312"/>
    <s v="Pooja Reddy"/>
    <n v="72"/>
    <s v="Female"/>
    <s v="Kolkata"/>
    <x v="4"/>
    <s v="Dr.Naresh Trehan"/>
    <d v="2025-03-03T00:00:00"/>
    <d v="2025-12-23T00:00:00"/>
    <s v="Heart Failure"/>
    <s v="Ace Inhibitors &amp; Diuretics"/>
    <n v="342444.11"/>
    <s v="None / Self Pay"/>
    <s v="Pending"/>
    <s v="Admitted"/>
  </r>
  <r>
    <s v="HOSP-10314"/>
    <s v="Anita Nair"/>
    <n v="18"/>
    <s v="Female"/>
    <s v="Chennai"/>
    <x v="2"/>
    <s v="Dr.Sushil Razdan"/>
    <d v="2025-11-08T00:00:00"/>
    <d v="2025-12-23T00:00:00"/>
    <s v="Acute Ischemic Stroke"/>
    <s v="Tpa Therapy"/>
    <n v="269352.28000000003"/>
    <s v="Bajaj Allianz"/>
    <s v="Disputed"/>
    <s v="Admitted"/>
  </r>
  <r>
    <s v="HOSP-10315"/>
    <s v="Rajesh Reddy"/>
    <n v="73"/>
    <s v="Male"/>
    <s v="Mumbai"/>
    <x v="0"/>
    <s v="Dr.Suresh Advani"/>
    <d v="2025-06-10T00:00:00"/>
    <d v="2025-06-28T00:00:00"/>
    <s v="Breast Carcinoma"/>
    <s v="Chemotherapy &amp; Lumpectomy"/>
    <n v="197586.65"/>
    <s v="Hdfc Ergo"/>
    <s v="Claim Processing"/>
    <s v="Expired"/>
  </r>
  <r>
    <s v="HOSP-10316"/>
    <s v="Pooja Verma"/>
    <n v="5"/>
    <s v="Female"/>
    <s v="Delhi"/>
    <x v="5"/>
    <s v="Dr.Unknown"/>
    <d v="2025-07-02T00:00:00"/>
    <d v="2025-07-05T00:00:00"/>
    <s v="Acute Pancreatitis"/>
    <s v="Conservative Management"/>
    <n v="87118.18"/>
    <s v="Care Health"/>
    <s v="Partially Paid"/>
    <s v="Discharged Against Medical Advice"/>
  </r>
  <r>
    <s v="HOSP-10317"/>
    <s v="Pooja Sharma"/>
    <n v="6"/>
    <s v="Female"/>
    <s v="Pune"/>
    <x v="4"/>
    <s v="Dr.Devi Shetty"/>
    <d v="2025-11-08T00:00:00"/>
    <d v="2025-11-14T00:00:00"/>
    <s v="Heart Failure"/>
    <s v="Ace Inhibitors &amp; Diuretics"/>
    <n v="173699.35"/>
    <s v="Max Bupa"/>
    <s v="Partially Paid"/>
    <s v="Expired"/>
  </r>
  <r>
    <s v="HOSP-10318"/>
    <s v="Anjali Gupta"/>
    <n v="70"/>
    <s v="Female"/>
    <s v="Bombay"/>
    <x v="6"/>
    <s v="Dr.Ramneek Mahajan"/>
    <d v="2025-12-06T00:00:00"/>
    <d v="2025-06-15T00:00:00"/>
    <s v="Osteoarthritis Knee"/>
    <s v="Total Knee Replacement"/>
    <n v="183816.01"/>
    <s v="Bajaj Allianz"/>
    <s v="Disputed"/>
    <s v="Discharged"/>
  </r>
  <r>
    <s v="HOSP-10319"/>
    <s v="Ananya Iyer"/>
    <n v="13"/>
    <s v="Female"/>
    <s v="Hyderabad"/>
    <x v="3"/>
    <s v="Dr.Arvind Bagga"/>
    <d v="2025-08-12T00:00:00"/>
    <d v="2025-08-21T00:00:00"/>
    <s v="Viral Gastroenteritis"/>
    <s v="Iv Fluids &amp; Electrolytes"/>
    <n v="43425.63"/>
    <s v="Star Health"/>
    <s v="Disputed"/>
    <s v="Expired"/>
  </r>
  <r>
    <s v="HOSP-10320"/>
    <s v="Sneha Gupta"/>
    <n v="49"/>
    <s v="Female"/>
    <s v="Pune"/>
    <x v="1"/>
    <s v="Dr.R. K. Singhal"/>
    <d v="2025-06-11T00:00:00"/>
    <d v="2025-11-19T00:00:00"/>
    <s v="Hypertensive Crisis"/>
    <s v="Iv Labetalol"/>
    <n v="40000"/>
    <s v="Care Health"/>
    <s v="Disputed"/>
    <s v="Transferred"/>
  </r>
  <r>
    <s v="HOSP-10322"/>
    <s v="Aarav Mehta"/>
    <n v="73"/>
    <s v="Male"/>
    <s v="Delhi"/>
    <x v="2"/>
    <s v="Dr.P. N. Renjen"/>
    <d v="2025-11-02T00:00:00"/>
    <d v="2025-02-12T00:00:00"/>
    <s v="Acute Ischemic Stroke"/>
    <s v="Tpa Therapy"/>
    <n v="270260.96999999997"/>
    <s v="None"/>
    <s v="Unknown"/>
    <s v="Transferred"/>
  </r>
  <r>
    <s v="HOSP-10323"/>
    <s v="Sneha Gupta"/>
    <n v="85"/>
    <s v="Female"/>
    <s v="Chandigarh"/>
    <x v="0"/>
    <s v="Dr.Harit Chaturvedi"/>
    <d v="2025-01-31T00:00:00"/>
    <d v="2025-10-02T00:00:00"/>
    <s v="Lymphoma"/>
    <s v="R-Chop Regimen"/>
    <n v="292075.46000000002"/>
    <s v="N/A"/>
    <s v="Paid"/>
    <s v="Discharged Against Medical Advice"/>
  </r>
  <r>
    <s v="HOSP-10325"/>
    <s v="Aditya Joshi"/>
    <n v="58"/>
    <s v="Male"/>
    <s v="Mumbai"/>
    <x v="4"/>
    <s v="Dr.Naresh Trehan"/>
    <d v="2025-09-25T00:00:00"/>
    <d v="2025-09-28T00:00:00"/>
    <s v="Coronary Artery Disease"/>
    <s v="Angioplasty"/>
    <n v="272662.94"/>
    <s v="Bajaj Allianz"/>
    <s v="Disputed"/>
    <s v="Discharged Against Medical Advice"/>
  </r>
  <r>
    <s v="HOSP-10327"/>
    <s v="Neha Sharma"/>
    <n v="23"/>
    <s v="Female"/>
    <s v="Chandigarh"/>
    <x v="0"/>
    <s v="Dr.Suresh Advani"/>
    <d v="2025-01-23T00:00:00"/>
    <d v="2025-02-05T00:00:00"/>
    <s v="Colorectal Cancer"/>
    <s v="Colectomy"/>
    <n v="73899.320000000007"/>
    <s v="None / Self Pay"/>
    <s v="Pending"/>
    <s v="Transferred"/>
  </r>
  <r>
    <s v="HOSP-10328"/>
    <s v="Pooja Kumar"/>
    <n v="13"/>
    <s v="Female"/>
    <s v="Kolkata"/>
    <x v="0"/>
    <s v="Dr.Suresh Advani"/>
    <d v="2025-09-12T00:00:00"/>
    <d v="2025-09-19T00:00:00"/>
    <s v="Lung Adenocarcinoma"/>
    <s v="Targeted Therapy"/>
    <n v="260952.41"/>
    <s v="Care Health"/>
    <s v="Claim Processing"/>
    <s v="Expired"/>
  </r>
  <r>
    <s v="HOSP-10331"/>
    <s v="Ritu Mehta"/>
    <n v="160"/>
    <s v="Female"/>
    <s v="Jaipur"/>
    <x v="6"/>
    <s v="Dr.Sks Marya"/>
    <d v="2025-06-30T00:00:00"/>
    <d v="2025-07-08T00:00:00"/>
    <s v="Unknown"/>
    <s v="Internal Fixation"/>
    <n v="14889.03"/>
    <s v="Star Health"/>
    <s v="Partially Paid"/>
    <s v="Transferred"/>
  </r>
  <r>
    <s v="HOSP-10334"/>
    <s v="Kabir Bose"/>
    <n v="58"/>
    <s v="Male"/>
    <s v="Delhi"/>
    <x v="5"/>
    <s v="Dr.Randhir Sud"/>
    <d v="2025-03-02T00:00:00"/>
    <d v="2025-03-16T00:00:00"/>
    <s v="Peptic Ulcer Bleeding"/>
    <s v="Endoscopic Banding"/>
    <n v="27887.8"/>
    <s v="None / Self Pay"/>
    <s v="Disputed"/>
    <s v="Discharged Against Medical Advice"/>
  </r>
  <r>
    <s v="HOSP-10335"/>
    <s v="Ramesh Kumar"/>
    <n v="75"/>
    <s v="Male"/>
    <s v="Chennai"/>
    <x v="6"/>
    <s v="Dr.Sks Marya"/>
    <d v="2025-12-10T00:00:00"/>
    <d v="2025-12-24T00:00:00"/>
    <s v="Rotator Cuff Tear"/>
    <s v="Arthroscopic Repair"/>
    <n v="207167.51"/>
    <s v="Bajaj Allianz"/>
    <s v="Paid"/>
    <s v="Discharged Against Medical Advice"/>
  </r>
  <r>
    <s v="HOSP-10336"/>
    <s v="Ramesh Joshi"/>
    <n v="30"/>
    <s v="Male"/>
    <s v="Chandigarh"/>
    <x v="6"/>
    <s v="Dr.Sks Marya"/>
    <d v="2025-06-07T00:00:00"/>
    <d v="2025-07-08T00:00:00"/>
    <s v="Femur Fracture"/>
    <s v="Internal Fixation"/>
    <n v="160039.89000000001"/>
    <s v="Max Bupa"/>
    <s v="Paid"/>
    <s v="Discharged"/>
  </r>
  <r>
    <s v="HOSP-10337"/>
    <s v="Rajesh_Singh"/>
    <n v="76"/>
    <s v="Male"/>
    <s v="Unknown"/>
    <x v="5"/>
    <s v="Dr.Govind Makharia"/>
    <d v="2025-07-17T00:00:00"/>
    <d v="2025-12-23T00:00:00"/>
    <s v="Liver Cirrhosis"/>
    <s v="Paracentesis &amp; Diuretics"/>
    <n v="333754.68"/>
    <s v="Max Bupa"/>
    <s v="Partially Paid"/>
    <s v="Admitted"/>
  </r>
  <r>
    <s v="HOSP-105"/>
    <s v="Diya Gupta"/>
    <n v="18"/>
    <s v="Female"/>
    <s v="Jaipur"/>
    <x v="6"/>
    <s v="Dr.Ramneek Mahajan"/>
    <d v="2025-11-06T00:00:00"/>
    <d v="2025-12-23T00:00:00"/>
    <s v="Femur Fracture"/>
    <s v="Internal Fixation"/>
    <n v="65658.62"/>
    <s v="Star Health"/>
    <s v="Disputed"/>
    <s v="Admitted"/>
  </r>
  <r>
    <s v="HOSP-10339"/>
    <s v="Rajesh Kumar"/>
    <n v="47"/>
    <s v="Male"/>
    <s v="Chandigarh"/>
    <x v="5"/>
    <s v="Dr.Subhash Gupta"/>
    <d v="2025-04-12T00:00:00"/>
    <d v="2025-12-23T00:00:00"/>
    <s v="Liver Cirrhosis"/>
    <s v="Paracentesis &amp; Diuretics"/>
    <n v="100093.93"/>
    <s v="Hdfc Ergo"/>
    <s v="Pending"/>
    <s v="Discharged Against Medical Advice"/>
  </r>
  <r>
    <s v="HOSP-10340"/>
    <s v="Kavita Sharma"/>
    <n v="19"/>
    <s v="Female"/>
    <s v="Chennai"/>
    <x v="4"/>
    <s v="Dr.Naresh Trehan"/>
    <d v="2025-10-04T00:00:00"/>
    <d v="2025-04-17T00:00:00"/>
    <s v="Heart Failure"/>
    <s v="Ace Inhibitors &amp; Diuretics"/>
    <n v="251416.32000000001"/>
    <s v="Icici Lombard"/>
    <s v="Disputed"/>
    <s v="Expired"/>
  </r>
  <r>
    <s v="HOSP-10341"/>
    <s v="Pooja Singh"/>
    <n v="7"/>
    <s v="Female"/>
    <s v="Mumbai"/>
    <x v="1"/>
    <s v="Dr.R. K. Singhal"/>
    <d v="2025-06-10T00:00:00"/>
    <d v="2025-06-27T00:00:00"/>
    <s v="Dengue Fever With Thrombocytopenia"/>
    <s v="Platelet Support"/>
    <n v="267165.83"/>
    <s v="None / Self Pay"/>
    <s v="Partially Paid"/>
    <s v="Discharged"/>
  </r>
  <r>
    <s v="HOSP-10342"/>
    <s v="Aditya Singh"/>
    <n v="62"/>
    <s v="Male"/>
    <s v="Chennai"/>
    <x v="5"/>
    <s v="Dr.Subhash Gupta"/>
    <d v="2025-09-09T00:00:00"/>
    <d v="2025-09-23T00:00:00"/>
    <s v="Acute Pancreatitis"/>
    <s v="Conservative Management"/>
    <n v="288098.34000000003"/>
    <s v="Max Bupa"/>
    <s v="Claim Processing"/>
    <s v="Expired"/>
  </r>
  <r>
    <s v="HOSP-10344"/>
    <s v="Aditya Joshi"/>
    <n v="70"/>
    <s v="Male"/>
    <s v="Jaipur"/>
    <x v="6"/>
    <s v="Dr.Sks Marya"/>
    <d v="2025-02-16T00:00:00"/>
    <d v="2025-02-22T00:00:00"/>
    <s v="Osteoarthritis Knee"/>
    <s v="Total Knee Replacement"/>
    <n v="28856.82"/>
    <s v="Care Health"/>
    <s v="Partially Paid"/>
    <s v="Discharged"/>
  </r>
  <r>
    <s v="HOSP-10346"/>
    <s v="Ritu Singh"/>
    <n v="60"/>
    <s v="Female"/>
    <s v="Mumbai"/>
    <x v="4"/>
    <s v="Dr.Devi Shetty"/>
    <d v="2025-05-13T00:00:00"/>
    <d v="2025-12-23T00:00:00"/>
    <s v="Heart Failure"/>
    <s v="Ace Inhibitors &amp; Diuretics"/>
    <n v="24847.62"/>
    <s v="Care Health"/>
    <s v="Pending"/>
    <s v="Admitted"/>
  </r>
  <r>
    <s v="HOSP-10347"/>
    <s v="Kabir Gupta"/>
    <n v="24"/>
    <s v="Male"/>
    <s v="Mumbai"/>
    <x v="0"/>
    <s v="Dr.Vinod Raina"/>
    <d v="2025-11-22T00:00:00"/>
    <d v="2025-11-30T00:00:00"/>
    <s v="Colorectal Cancer"/>
    <s v="Colectomy"/>
    <n v="75690.77"/>
    <s v="Care Health"/>
    <s v="Paid"/>
    <s v="Transferred"/>
  </r>
  <r>
    <s v="HOSP-10348"/>
    <s v="Vihaan Gupta"/>
    <n v="18"/>
    <s v="Male"/>
    <s v="Mumbai"/>
    <x v="7"/>
    <s v="Dr.Harit Chaturvedi"/>
    <d v="2025-12-26T00:00:00"/>
    <d v="2026-01-09T00:00:00"/>
    <s v="Colorectal Cancer"/>
    <s v="Colectomy"/>
    <n v="292142.3"/>
    <s v="Icici Lombard"/>
    <s v="Paid"/>
    <s v="Discharged"/>
  </r>
  <r>
    <s v="HOSP-10349"/>
    <s v="Manoj Reddy"/>
    <n v="56"/>
    <s v="Male"/>
    <s v="Unknown"/>
    <x v="5"/>
    <s v="Dr.Randhir Sud"/>
    <d v="2025-11-16T00:00:00"/>
    <d v="2025-12-23T00:00:00"/>
    <s v="Peptic Ulcer Bleeding"/>
    <s v="Endoscopic Banding"/>
    <n v="218516.52"/>
    <s v="Icici Lombard"/>
    <s v="Partially Paid"/>
    <s v="Admitted"/>
  </r>
  <r>
    <s v="HOSP-10350"/>
    <s v="Kabir Reddy"/>
    <n v="10"/>
    <s v="Male"/>
    <s v="Mumbai"/>
    <x v="2"/>
    <s v="Dr.P. N. Renjen"/>
    <d v="2025-05-08T00:00:00"/>
    <d v="2025-05-22T00:00:00"/>
    <s v="Parkinson'S Disease"/>
    <s v="Levodopa Therapy"/>
    <n v="169398.15"/>
    <s v="Hdfc Ergo"/>
    <s v="Disputed"/>
    <s v="Expired"/>
  </r>
  <r>
    <s v="HOSP-10351"/>
    <s v="Sneha Mehta"/>
    <n v="19"/>
    <s v="Female"/>
    <s v="Chandigarh"/>
    <x v="1"/>
    <s v="Dr.Anoop Misra"/>
    <d v="2025-10-04T00:00:00"/>
    <d v="2025-12-23T00:00:00"/>
    <s v="Type 2 Diabetes Uncontrolled"/>
    <s v="Insulin Titration"/>
    <n v="267621"/>
    <s v="Bajaj Allianz"/>
    <s v="Disputed"/>
    <s v="Admitted"/>
  </r>
  <r>
    <s v="HOSP-10352"/>
    <s v="Meera Bose"/>
    <n v="61"/>
    <s v="Female"/>
    <s v="Ahmedabad"/>
    <x v="2"/>
    <s v="Dr.Mukul Varma"/>
    <d v="2025-04-10T00:00:00"/>
    <d v="2025-04-29T00:00:00"/>
    <s v="Epilepsy"/>
    <s v="Anticonvulsant Therapy"/>
    <n v="234451"/>
    <s v="Care Health"/>
    <s v="Paid"/>
    <s v="Discharged Against Medical Advice"/>
  </r>
  <r>
    <s v="HOSP-10353"/>
    <s v="Sunita Nair"/>
    <n v="20"/>
    <s v="Unspecified"/>
    <s v="Kolkata"/>
    <x v="0"/>
    <s v="Dr.Vinod Raina"/>
    <d v="2025-04-10T00:00:00"/>
    <d v="2025-12-23T00:00:00"/>
    <s v="Breast Carcinoma"/>
    <s v="Chemotherapy &amp; Lumpectomy"/>
    <n v="65515.33"/>
    <s v="Max Bupa"/>
    <s v="Claim Processing"/>
    <s v="Unknown"/>
  </r>
  <r>
    <s v="HOSP-10354"/>
    <s v="Aarav Gupta"/>
    <n v="58"/>
    <s v="Male"/>
    <s v="Mumbai"/>
    <x v="4"/>
    <s v="Dr.Ashok Seth"/>
    <d v="2025-02-20T00:00:00"/>
    <d v="2025-02-24T00:00:00"/>
    <s v="Myocardial Infarction"/>
    <s v="Thrombolysis"/>
    <n v="11310.31"/>
    <s v="Hdfc Ergo"/>
    <s v="Claim Processing"/>
    <s v="Discharged Against Medical Advice"/>
  </r>
  <r>
    <s v="HOSP-10356"/>
    <s v="Meera Mehta"/>
    <n v="75"/>
    <s v="Female"/>
    <s v="Jaipur"/>
    <x v="1"/>
    <s v="Dr.R. K. Singhal"/>
    <d v="2025-09-12T00:00:00"/>
    <d v="2025-09-13T00:00:00"/>
    <s v="Hypertensive Crisis"/>
    <s v="Iv Labetalol"/>
    <n v="70627.63"/>
    <s v="Star Health"/>
    <s v="Paid"/>
    <s v="Transferred"/>
  </r>
  <r>
    <s v="HOSP-10357"/>
    <s v="Meera Patel"/>
    <n v="79"/>
    <s v="Female"/>
    <s v="Ahmedabad"/>
    <x v="4"/>
    <s v="Dr.Naresh Trehan"/>
    <d v="2025-08-18T00:00:00"/>
    <d v="2025-08-26T00:00:00"/>
    <s v="Heart Failure"/>
    <s v="Ace Inhibitors &amp; Diuretics"/>
    <n v="219686.66"/>
    <s v="Icici Lombard"/>
    <s v="Disputed"/>
    <s v="Transferred"/>
  </r>
  <r>
    <s v="HOSP-10358"/>
    <s v="Diya Patel"/>
    <n v="72"/>
    <s v="Female"/>
    <s v="Bangalore"/>
    <x v="6"/>
    <s v="Dr.Ramneek Mahajan"/>
    <d v="2025-08-26T00:00:00"/>
    <d v="2025-12-23T00:00:00"/>
    <s v="Lumbar Spondylosis"/>
    <s v="Spinal Decompression"/>
    <n v="40000"/>
    <s v="Bajaj Allianz"/>
    <s v="Claim Processing"/>
    <s v="Admitted"/>
  </r>
  <r>
    <s v="HOSP-10361"/>
    <s v="Vihaan Verma"/>
    <n v="45"/>
    <s v="Male"/>
    <s v="Hyderabad"/>
    <x v="0"/>
    <s v="Dr.Harit Chaturvedi"/>
    <d v="2025-06-27T00:00:00"/>
    <d v="2025-12-23T00:00:00"/>
    <s v="Colorectal Cancer"/>
    <s v="Colectomy"/>
    <n v="328188.99"/>
    <s v="Star Health"/>
    <s v="Disputed"/>
    <s v="Admitted"/>
  </r>
  <r>
    <s v="HOSP-10362"/>
    <s v="Ramesh Iyer"/>
    <n v="2"/>
    <s v="Male"/>
    <s v="Mumbai"/>
    <x v="4"/>
    <s v="Dr.Naresh Trehan"/>
    <d v="2025-05-29T00:00:00"/>
    <d v="2025-12-23T00:00:00"/>
    <s v="Myocardial Infarction"/>
    <s v="Thrombolysis"/>
    <n v="176910.39"/>
    <s v="Star Health"/>
    <s v="Partially Paid"/>
    <s v="In-Patient"/>
  </r>
  <r>
    <s v="HOSP-10363"/>
    <s v="Amit Mehta"/>
    <n v="10"/>
    <s v="Male"/>
    <s v="Bangalore"/>
    <x v="2"/>
    <s v="Dr.P. N. Renjen"/>
    <d v="2025-06-23T00:00:00"/>
    <d v="2025-12-23T00:00:00"/>
    <s v="Parkinson'S Disease"/>
    <s v="Levodopa Therapy"/>
    <n v="142933.82"/>
    <s v="Max Bupa"/>
    <s v="Pending"/>
    <s v="Admitted"/>
  </r>
  <r>
    <s v="HOSP-10364"/>
    <s v="Meera Patel"/>
    <n v="81"/>
    <s v="Female"/>
    <s v="Kolkata"/>
    <x v="3"/>
    <s v="Dr.Krishan Chugh"/>
    <d v="2025-09-06T00:00:00"/>
    <d v="2025-06-12T00:00:00"/>
    <s v="Neonatal Jaundice"/>
    <s v="Phototherapy"/>
    <n v="40000"/>
    <s v="None"/>
    <s v="Partially Paid"/>
    <s v="Discharged Against Medical Advice"/>
  </r>
  <r>
    <s v="HOSP-10365"/>
    <s v="Rajesh Gupta"/>
    <n v="80"/>
    <s v="Male"/>
    <s v="Kolkata"/>
    <x v="2"/>
    <s v="Dr.P. N. Renjen"/>
    <d v="2025-10-24T00:00:00"/>
    <d v="2025-10-26T00:00:00"/>
    <s v="Epilepsy"/>
    <s v="Anticonvulsant Therapy"/>
    <n v="149246.6"/>
    <s v="Bajaj Allianz"/>
    <s v="Partially Paid"/>
    <s v="Transferred"/>
  </r>
  <r>
    <s v="HOSP-10367"/>
    <s v="Vikram Joshi"/>
    <n v="6"/>
    <s v="Male"/>
    <s v="Chandigarh"/>
    <x v="5"/>
    <s v="Dr.Randhir Sud"/>
    <d v="2025-08-22T00:00:00"/>
    <d v="2025-08-25T00:00:00"/>
    <s v="Liver Cirrhosis"/>
    <s v="Paracentesis &amp; Diuretics"/>
    <n v="255209.04"/>
    <s v="Max Bupa"/>
    <s v="Claim Processing"/>
    <s v="Expired"/>
  </r>
  <r>
    <s v="HOSP-10369"/>
    <s v="Kabir Patel"/>
    <n v="51"/>
    <s v="Male"/>
    <s v="Chandigarh"/>
    <x v="2"/>
    <s v="Dr.Sushil Razdan"/>
    <d v="2025-07-04T00:00:00"/>
    <d v="2025-12-23T00:00:00"/>
    <s v="Parkinson'S Disease"/>
    <s v="Levodopa Therapy"/>
    <n v="100750.51"/>
    <s v="Max Bupa"/>
    <s v="Partially Paid"/>
    <s v="Admitted"/>
  </r>
  <r>
    <s v="HOSP-10370"/>
    <s v="Aarav Verma"/>
    <n v="3"/>
    <s v="Male"/>
    <s v="Mumbai"/>
    <x v="3"/>
    <s v="Dr.Krishan Chugh"/>
    <d v="2025-09-20T00:00:00"/>
    <d v="2025-09-26T00:00:00"/>
    <s v="Severe Pneumonia"/>
    <s v="Iv Antibiotics"/>
    <n v="168972.32"/>
    <s v="Bajaj Allianz"/>
    <s v="Disputed"/>
    <s v="Expired"/>
  </r>
  <r>
    <s v="HOSP-10371"/>
    <s v="Sneha Iyer"/>
    <n v="41"/>
    <s v="Female"/>
    <s v="Mumbai"/>
    <x v="5"/>
    <s v="Dr.Subhash Gupta"/>
    <d v="2025-01-24T00:00:00"/>
    <d v="2025-02-04T00:00:00"/>
    <s v="Acute Pancreatitis"/>
    <s v="Conservative Management"/>
    <n v="153334.01999999999"/>
    <s v="Icici Lombard"/>
    <s v="Disputed"/>
    <s v="Discharged Against Medical Advice"/>
  </r>
  <r>
    <s v="HOSP-10373"/>
    <s v="Diya Gupta"/>
    <n v="8"/>
    <s v="Female"/>
    <s v="Bangalore"/>
    <x v="1"/>
    <s v="Dr.Atul Gogia"/>
    <d v="2025-06-14T00:00:00"/>
    <d v="2025-06-20T00:00:00"/>
    <s v="Hypertensive Crisis"/>
    <s v="Iv Labetalol"/>
    <n v="273053.57"/>
    <s v="Icici Lombard"/>
    <s v="Paid"/>
    <s v="Expired"/>
  </r>
  <r>
    <s v="HOSP-10374"/>
    <s v="Deepak Kumar"/>
    <n v="68"/>
    <s v="Male"/>
    <s v="Unknown"/>
    <x v="2"/>
    <s v="Dr.Mukul Varma"/>
    <d v="2025-05-22T00:00:00"/>
    <d v="2025-06-06T00:00:00"/>
    <s v="Epilepsy"/>
    <s v="Anticonvulsant Therapy"/>
    <n v="42562.48"/>
    <s v="Bajaj Allianz"/>
    <s v="Paid"/>
    <s v="Transferred"/>
  </r>
  <r>
    <s v="HOSP-10375"/>
    <s v="Suresh Verma"/>
    <n v="56"/>
    <s v="Male"/>
    <s v="Jaipur"/>
    <x v="4"/>
    <s v="Dr.Naresh Trehan"/>
    <d v="2025-01-02T00:00:00"/>
    <d v="2025-01-20T00:00:00"/>
    <s v="Myocardial Infarction"/>
    <s v="Thrombolysis"/>
    <n v="273509.90999999997"/>
    <s v="N/A"/>
    <s v="Pending"/>
    <s v="Transferred"/>
  </r>
  <r>
    <s v="HOSP-10377"/>
    <s v="Kabir Joshi"/>
    <n v="85"/>
    <s v="Male"/>
    <s v="Delhi"/>
    <x v="4"/>
    <s v="Dr.Devi Shetty"/>
    <d v="2025-07-06T00:00:00"/>
    <d v="2025-12-23T00:00:00"/>
    <s v="Myocardial Infarction"/>
    <s v="Thrombolysis"/>
    <n v="15445.5"/>
    <s v="None"/>
    <s v="Partially Paid"/>
    <s v="Admitted"/>
  </r>
  <r>
    <s v="HOSP-10378"/>
    <s v="Priya Singh"/>
    <n v="38"/>
    <s v="Female"/>
    <s v="Kolkata"/>
    <x v="2"/>
    <s v="Dr.P. N. Renjen"/>
    <d v="2025-01-16T00:00:00"/>
    <d v="2025-12-23T00:00:00"/>
    <s v="Parkinson'S Disease"/>
    <s v="Levodopa Therapy"/>
    <n v="229227.12"/>
    <s v="Care Health"/>
    <s v="Claim Processing"/>
    <s v="Admitted"/>
  </r>
  <r>
    <s v="HOSP-10379"/>
    <s v="Aditya Mehta"/>
    <n v="59"/>
    <s v="Male"/>
    <s v="Kolkata"/>
    <x v="6"/>
    <s v="Dr.Harshavardhan Hegde"/>
    <d v="2025-05-26T00:00:00"/>
    <d v="2025-06-08T00:00:00"/>
    <s v="Lumbar Spondylosis"/>
    <s v="Spinal Decompression"/>
    <n v="92715.25"/>
    <s v="Care Health"/>
    <s v="Partially Paid"/>
    <s v="Transferred"/>
  </r>
  <r>
    <s v="HOSP-10380"/>
    <s v="Aditya_Patel"/>
    <n v="18"/>
    <s v="Male"/>
    <s v="Mumbai"/>
    <x v="7"/>
    <s v="Dr.Harit Chaturvedi"/>
    <d v="2025-01-26T00:00:00"/>
    <d v="2025-02-10T00:00:00"/>
    <s v="Lung Adenocarcinoma"/>
    <s v="Targeted Therapy"/>
    <n v="39164.58"/>
    <s v="Star Health"/>
    <s v="Pending"/>
    <s v="Transferred"/>
  </r>
  <r>
    <s v="HOSP-10381"/>
    <s v="Priya Joshi"/>
    <n v="72"/>
    <s v="Female"/>
    <s v="Jaipur"/>
    <x v="4"/>
    <s v="Dr.Ashok Seth"/>
    <d v="2025-06-10T00:00:00"/>
    <d v="2025-06-24T00:00:00"/>
    <s v="Coronary Artery Disease"/>
    <s v="Angioplasty"/>
    <n v="256933.8"/>
    <s v="Star Health"/>
    <s v="Pending"/>
    <s v="Discharged"/>
  </r>
  <r>
    <s v="HOSP-10384"/>
    <s v="Sneha Patel"/>
    <n v="86"/>
    <s v="Female"/>
    <s v="Mumbai"/>
    <x v="3"/>
    <s v="Dr.Krishan Chugh"/>
    <d v="2025-08-29T00:00:00"/>
    <d v="2025-08-28T00:00:00"/>
    <s v="Acute Bronchiolitis"/>
    <s v="Nebulization &amp; O2 Support"/>
    <n v="266992.5"/>
    <s v="Icici Lombard"/>
    <s v="Paid"/>
    <s v="Discharged Against Medical Advice"/>
  </r>
  <r>
    <s v="HOSP-10385"/>
    <s v="Ritu Reddy"/>
    <n v="77"/>
    <s v="Female"/>
    <s v="Kolkata"/>
    <x v="6"/>
    <s v="Dr.Harshavardhan Hegde"/>
    <d v="2025-05-10T00:00:00"/>
    <d v="2025-05-25T00:00:00"/>
    <s v="Femur Fracture"/>
    <s v="Internal Fixation"/>
    <n v="210266.08"/>
    <s v="Hdfc Ergo"/>
    <s v="Paid"/>
    <s v="Discharged"/>
  </r>
  <r>
    <s v="HOSP-10386"/>
    <s v="Aditya Reddy"/>
    <n v="59"/>
    <s v="Male"/>
    <s v="Kolkata"/>
    <x v="3"/>
    <s v="Dr.Unknown"/>
    <d v="2025-11-17T00:00:00"/>
    <d v="2025-11-24T00:00:00"/>
    <s v="Severe Pneumonia"/>
    <s v="Iv Antibiotics"/>
    <n v="45237.98"/>
    <s v="Max Bupa"/>
    <s v="Paid"/>
    <s v="Discharged Against Medical Advice"/>
  </r>
  <r>
    <s v="HOSP-10387"/>
    <s v="Suresh Patel"/>
    <n v="59"/>
    <s v="Male"/>
    <s v="Delhi"/>
    <x v="1"/>
    <s v="Dr.Atul Gogia"/>
    <d v="2025-12-26T00:00:00"/>
    <d v="2026-12-01T00:00:00"/>
    <s v="Hypertensive Crisis"/>
    <s v="Iv Labetalol"/>
    <n v="286366.02"/>
    <s v="Hdfc Ergo"/>
    <s v="Paid"/>
    <s v="Discharged Against Medical Advice"/>
  </r>
  <r>
    <s v="HOSP-10388"/>
    <s v="Kavita Verma"/>
    <n v="45"/>
    <s v="Female"/>
    <s v="Jaipur"/>
    <x v="5"/>
    <s v="Dr.Subhash Gupta"/>
    <d v="2025-11-02T00:00:00"/>
    <d v="2025-11-16T00:00:00"/>
    <s v="Peptic Ulcer Bleeding"/>
    <s v="Unknown"/>
    <n v="321069.3"/>
    <s v="Unknown"/>
    <s v="Claim Processing"/>
    <s v="Unknown"/>
  </r>
  <r>
    <s v="HOSP-10390"/>
    <s v="Deepak Iyer"/>
    <n v="25"/>
    <s v="Male"/>
    <s v="Kolkata"/>
    <x v="4"/>
    <s v="Dr.Ashok Seth"/>
    <d v="2025-11-03T00:00:00"/>
    <d v="2025-11-13T00:00:00"/>
    <s v="Coronary Artery Disease"/>
    <s v="Angioplasty"/>
    <n v="205456.56"/>
    <s v="Care Health"/>
    <s v="Disputed"/>
    <s v="Discharged Against Medical Advice"/>
  </r>
  <r>
    <s v="HOSP-10391"/>
    <s v="Diya Verma"/>
    <n v="12"/>
    <s v="Female"/>
    <s v="Chennai"/>
    <x v="1"/>
    <s v="Dr.Anoop Misra"/>
    <d v="2025-01-24T00:00:00"/>
    <d v="2025-02-02T00:00:00"/>
    <s v="Hypertensive Crisis"/>
    <s v="Iv Labetalol"/>
    <n v="220121.52"/>
    <s v="Max Bupa"/>
    <s v="Pending"/>
    <s v="Discharged Against Medical Advice"/>
  </r>
  <r>
    <s v="HOSP-10393"/>
    <s v="Aarav Verma"/>
    <n v="9"/>
    <s v="Male"/>
    <s v="Chennai"/>
    <x v="1"/>
    <s v="Dr.Anoop Misra"/>
    <d v="2025-01-12T00:00:00"/>
    <d v="2025-01-26T00:00:00"/>
    <s v="Dengue Fever With Thrombocytopenia"/>
    <s v="Platelet Support"/>
    <n v="274018.15999999997"/>
    <s v="Star Health"/>
    <s v="Paid"/>
    <s v="Discharged Against Medical Advice"/>
  </r>
  <r>
    <s v="HOSP-10394"/>
    <s v="Ritu Kumar"/>
    <n v="58"/>
    <s v="Female"/>
    <s v="Ahmedabad"/>
    <x v="4"/>
    <s v="Dr.Devi Shetty"/>
    <d v="2025-02-15T00:00:00"/>
    <d v="2025-02-17T00:00:00"/>
    <s v="Myocardial Infarction"/>
    <s v="Thrombolysis"/>
    <n v="258752.78"/>
    <s v="None / Self Pay"/>
    <s v="Disputed"/>
    <s v="Expired"/>
  </r>
  <r>
    <s v="HOSP-10395"/>
    <s v="Ramesh Singh"/>
    <n v="62"/>
    <s v="Male"/>
    <s v="Mumbai"/>
    <x v="3"/>
    <s v="Dr.Veena Kalra"/>
    <d v="2025-11-27T00:00:00"/>
    <d v="2025-12-23T00:00:00"/>
    <s v="Acute Bronchiolitis"/>
    <s v="Nebulization &amp; O2 Support"/>
    <n v="331071.07"/>
    <s v="Care Health"/>
    <s v="Claim Processing"/>
    <s v="Unknown"/>
  </r>
  <r>
    <s v="HOSP-10396"/>
    <s v="Diya Patel"/>
    <n v="78"/>
    <s v="Female"/>
    <s v="Ahmedabad"/>
    <x v="4"/>
    <s v="Dr.Ashok Seth"/>
    <d v="2025-08-18T00:00:00"/>
    <d v="2025-08-19T00:00:00"/>
    <s v="Heart Failure"/>
    <s v="Ace Inhibitors &amp; Diuretics"/>
    <n v="98132.13"/>
    <s v="Bajaj Allianz"/>
    <s v="Partially Paid"/>
    <s v="Discharged"/>
  </r>
  <r>
    <s v="HOSP-10397"/>
    <s v="Sunita Verma"/>
    <n v="54"/>
    <s v="Female"/>
    <s v="Jaipur"/>
    <x v="6"/>
    <s v="Dr.Harshavardhan Hegde"/>
    <d v="2025-08-23T00:00:00"/>
    <d v="2025-09-01T00:00:00"/>
    <s v="Femur Fracture"/>
    <s v="Internal Fixation"/>
    <n v="-251314.05"/>
    <s v="Icici Lombard"/>
    <s v="Unknown"/>
    <s v="Discharged Against Medical Advice"/>
  </r>
  <r>
    <s v="HOSP-10399"/>
    <s v="Anita Mehta"/>
    <n v="85"/>
    <s v="Female"/>
    <s v="Chennai"/>
    <x v="3"/>
    <s v="Dr.Veena Kalra"/>
    <d v="2025-03-22T00:00:00"/>
    <d v="2025-04-09T00:00:00"/>
    <s v="Neonatal Jaundice"/>
    <s v="Phototherapy"/>
    <n v="269120.03999999998"/>
    <s v="Star Health"/>
    <s v="Unknown"/>
    <s v="Expired"/>
  </r>
  <r>
    <s v="HOSP-10400"/>
    <s v="Ananya Mehta"/>
    <n v="32"/>
    <s v="Female"/>
    <s v="Pune"/>
    <x v="4"/>
    <s v="Dr.Naresh Trehan"/>
    <d v="2025-08-25T00:00:00"/>
    <d v="2025-08-27T00:00:00"/>
    <s v="Arrhythmia"/>
    <s v="Pacemaker Implantation"/>
    <n v="147820.29"/>
    <s v="Star Health"/>
    <s v="Partially Paid"/>
    <s v="Discharged"/>
  </r>
  <r>
    <s v="HOSP-144"/>
    <s v="Sunita Verma"/>
    <n v="31"/>
    <s v="Female"/>
    <s v="Delhi"/>
    <x v="0"/>
    <s v="Dr.Harit Chaturvedi"/>
    <d v="2025-09-06T00:00:00"/>
    <d v="2025-08-09T00:00:00"/>
    <s v="Lymphoma"/>
    <s v="R-Chop Regimen"/>
    <n v="310729.95"/>
    <s v="Care Health"/>
    <s v="Partially Paid"/>
    <s v="Discharged Against Medical Advice"/>
  </r>
  <r>
    <s v="HOSP-10402"/>
    <s v="Aditya Iyer"/>
    <n v="34"/>
    <s v="Male"/>
    <s v="Jaipur"/>
    <x v="1"/>
    <s v="Dr.Atul Gogia"/>
    <d v="2025-11-01T00:00:00"/>
    <d v="2025-11-10T00:00:00"/>
    <s v="Hypertensive Crisis"/>
    <s v="Iv Labetalol"/>
    <n v="174458.85"/>
    <s v="Icici Lombard"/>
    <s v="Pending"/>
    <s v="Discharged"/>
  </r>
  <r>
    <s v="HOSP-114"/>
    <s v="Neha Bose"/>
    <n v="7"/>
    <s v="Female"/>
    <s v="Jaipur"/>
    <x v="6"/>
    <s v="Dr.Ramneek Mahajan"/>
    <d v="2025-11-28T00:00:00"/>
    <d v="2025-12-23T00:00:00"/>
    <s v="Osteoarthritis Knee"/>
    <s v="Total Knee Replacement"/>
    <n v="316907.76"/>
    <s v="Star Health"/>
    <s v="Partially Paid"/>
    <s v="Admitted"/>
  </r>
  <r>
    <s v="HOSP-10404"/>
    <s v="Meera Mehta"/>
    <n v="69"/>
    <s v="Female"/>
    <s v="Pune"/>
    <x v="5"/>
    <s v="Dr.Unknown"/>
    <d v="2025-04-10T00:00:00"/>
    <d v="2025-10-01T00:00:00"/>
    <s v="Peptic Ulcer Bleeding"/>
    <s v="Endoscopic Banding"/>
    <n v="142969.68"/>
    <s v="None"/>
    <s v="Claim Processing"/>
    <s v="Transferred"/>
  </r>
  <r>
    <s v="HOSP-10406"/>
    <s v="Kabir Verma"/>
    <n v="67"/>
    <s v="Male"/>
    <s v="Jaipur"/>
    <x v="5"/>
    <s v="Dr.Randhir Sud"/>
    <d v="2025-01-06T00:00:00"/>
    <d v="2025-01-20T00:00:00"/>
    <s v="Acute Pancreatitis"/>
    <s v="Conservative Management"/>
    <n v="200127.72"/>
    <s v="Icici Lombard"/>
    <s v="Disputed"/>
    <s v="Discharged"/>
  </r>
  <r>
    <s v="HOSP-10407"/>
    <s v="Manoj Sharma"/>
    <n v="40"/>
    <s v="Male"/>
    <s v="Delhi"/>
    <x v="6"/>
    <s v="Dr.Ramneek Mahajan"/>
    <d v="2025-04-04T00:00:00"/>
    <d v="2025-12-23T00:00:00"/>
    <s v="Femur Fracture"/>
    <s v="Internal Fixation"/>
    <n v="165777.60000000001"/>
    <s v="Care Health"/>
    <s v="Claim Processing"/>
    <s v="Admitted"/>
  </r>
  <r>
    <s v="HOSP-10410"/>
    <s v="Unknown"/>
    <n v="45"/>
    <s v="Female"/>
    <s v="Ahmedabad"/>
    <x v="0"/>
    <s v="Dr.Suresh Advani"/>
    <d v="2025-07-07T00:00:00"/>
    <d v="2025-12-23T00:00:00"/>
    <s v="Lung Adenocarcinoma"/>
    <s v="Targeted Therapy"/>
    <n v="281407.65999999997"/>
    <s v="Icici Lombard"/>
    <s v="Claim Processing"/>
    <s v="Admitted"/>
  </r>
  <r>
    <s v="HOSP-10411"/>
    <s v="Anjali Patel"/>
    <n v="5"/>
    <s v="Female"/>
    <s v="Kolkata"/>
    <x v="1"/>
    <s v="Dr.Atul Gogia"/>
    <d v="2025-09-09T00:00:00"/>
    <d v="2025-09-12T00:00:00"/>
    <s v="Hypertensive Crisis"/>
    <s v="Iv Labetalol"/>
    <n v="40000"/>
    <s v="None / Self Pay"/>
    <s v="Unknown"/>
    <s v="Expired"/>
  </r>
  <r>
    <s v="HOSP-10412"/>
    <s v="Sneha Gupta"/>
    <n v="47"/>
    <s v="Female"/>
    <s v="Chennai"/>
    <x v="0"/>
    <s v="Dr.Suresh Advani"/>
    <d v="2025-04-10T00:00:00"/>
    <d v="2025-12-23T00:00:00"/>
    <s v="Lung Adenocarcinoma"/>
    <s v="Targeted Therapy"/>
    <n v="174532.25"/>
    <s v="Bajaj Allianz"/>
    <s v="Claim Processing"/>
    <s v="Admitted"/>
  </r>
  <r>
    <s v="HOSP-10413"/>
    <s v="Unknown"/>
    <n v="47"/>
    <s v="Female"/>
    <s v="Jaipur"/>
    <x v="4"/>
    <s v="Dr.Naresh Trehan"/>
    <d v="2025-03-06T00:00:00"/>
    <d v="2025-12-23T00:00:00"/>
    <s v="Coronary Artery Disease"/>
    <s v="Angioplasty"/>
    <n v="72763.16"/>
    <s v="None / Self Pay"/>
    <s v="Partially Paid"/>
    <s v="Admitted"/>
  </r>
  <r>
    <s v="HOSP-10414"/>
    <s v="Manoj Bose"/>
    <n v="62"/>
    <s v="Male"/>
    <s v="Pune"/>
    <x v="1"/>
    <s v="Dr.Atul Gogia"/>
    <d v="2025-08-05T00:00:00"/>
    <d v="2025-11-08T00:00:00"/>
    <s v="Urinary Tract Infection"/>
    <s v="Antibiotic Course"/>
    <n v="177051.77"/>
    <s v="Icici Lombard"/>
    <s v="Paid"/>
    <s v="Expired"/>
  </r>
  <r>
    <s v="HOSP-10415"/>
    <s v="Sneha Joshi"/>
    <n v="65"/>
    <s v="Female"/>
    <s v="Chennai"/>
    <x v="3"/>
    <s v="Dr.Krishan Chugh"/>
    <d v="2025-10-08T00:00:00"/>
    <d v="2025-10-24T00:00:00"/>
    <s v="Unknown"/>
    <s v="Nebulization &amp; O2 Support"/>
    <n v="51762.55"/>
    <s v="Max Bupa"/>
    <s v="Disputed"/>
    <s v="Discharged Against Medical Advice"/>
  </r>
  <r>
    <s v="HOSP-10418"/>
    <s v="Ritu Iyer"/>
    <n v="38"/>
    <s v="Female"/>
    <s v="Chandigarh"/>
    <x v="2"/>
    <s v="Dr.P. N. Renjen"/>
    <d v="2025-08-08T00:00:00"/>
    <d v="2025-08-14T00:00:00"/>
    <s v="Migraine Chronic"/>
    <s v="Botox Injection &amp; Triptans"/>
    <n v="144237.31"/>
    <s v="Icici Lombard"/>
    <s v="Partially Paid"/>
    <s v="Transferred"/>
  </r>
  <r>
    <s v="HOSP-10419"/>
    <s v="Amit Kumar"/>
    <n v="17"/>
    <s v="Male"/>
    <s v="Chennai"/>
    <x v="6"/>
    <s v="Dr.Harshavardhan Hegde"/>
    <d v="2025-07-12T00:00:00"/>
    <d v="2025-12-23T00:00:00"/>
    <s v="Osteoarthritis Knee"/>
    <s v="Total Knee Replacement"/>
    <n v="154474.9"/>
    <s v="Bajaj Allianz"/>
    <s v="Pending"/>
    <s v="Admitted"/>
  </r>
  <r>
    <s v="HOSP-10420"/>
    <s v="Priya Verma"/>
    <n v="28"/>
    <s v="Female"/>
    <s v="Chandigarh"/>
    <x v="6"/>
    <s v="Dr.Sks Marya"/>
    <d v="2025-10-13T00:00:00"/>
    <d v="2025-12-23T00:00:00"/>
    <s v="Osteoarthritis Knee"/>
    <s v="Total Knee Replacement"/>
    <n v="-271072.07"/>
    <s v="Star Health"/>
    <s v="Paid"/>
    <s v="Discharged"/>
  </r>
  <r>
    <s v="HOSP-10421"/>
    <s v="Meera Iyer"/>
    <n v="78"/>
    <s v="Female"/>
    <s v="Unknown"/>
    <x v="0"/>
    <s v="Dr.Suresh Advani"/>
    <d v="2025-04-26T00:00:00"/>
    <d v="2025-05-14T00:00:00"/>
    <s v="Colorectal Cancer"/>
    <s v="Colectomy"/>
    <n v="40000"/>
    <s v="Icici Lombard"/>
    <s v="Pending"/>
    <s v="Discharged Against Medical Advice"/>
  </r>
  <r>
    <s v="HOSP-10423"/>
    <s v="Aarav Reddy"/>
    <n v="86"/>
    <s v="Male"/>
    <s v="Bangalore"/>
    <x v="7"/>
    <s v="Dr.Devi Shetty"/>
    <d v="2025-08-30T00:00:00"/>
    <d v="2025-09-11T00:00:00"/>
    <s v="Myocardial Infarction"/>
    <s v="Thrombolysis"/>
    <n v="47767.94"/>
    <s v="Hdfc Ergo"/>
    <s v="Partially Paid"/>
    <s v="Transferred"/>
  </r>
  <r>
    <s v="HOSP-10424"/>
    <s v="Ananya Nair"/>
    <n v="78"/>
    <s v="Female"/>
    <s v="Pune"/>
    <x v="1"/>
    <s v="Dr.Atul Gogia"/>
    <d v="2025-03-29T00:00:00"/>
    <d v="2025-04-04T00:00:00"/>
    <s v="Type 2 Diabetes Uncontrolled"/>
    <s v="Insulin Titration"/>
    <n v="42917.919999999998"/>
    <s v="Bajaj Allianz"/>
    <s v="Paid"/>
    <s v="Discharged Against Medical Advice"/>
  </r>
  <r>
    <s v="HOSP-10425"/>
    <s v="Rajesh Joshi"/>
    <n v="57"/>
    <s v="Male"/>
    <s v="Mumbai"/>
    <x v="6"/>
    <s v="Dr.Sks Marya"/>
    <d v="2025-01-18T00:00:00"/>
    <d v="2025-02-02T00:00:00"/>
    <s v="Rotator Cuff Tear"/>
    <s v="Arthroscopic Repair"/>
    <n v="276405.78000000003"/>
    <s v="None / Self Pay"/>
    <s v="Unknown"/>
    <s v="Discharged"/>
  </r>
  <r>
    <s v="HOSP-10426"/>
    <s v="Diya Gupta"/>
    <n v="32"/>
    <s v="Female"/>
    <s v="Chandigarh"/>
    <x v="3"/>
    <s v="Dr.Veena Kalra"/>
    <d v="2025-09-03T00:00:00"/>
    <d v="2025-08-09T00:00:00"/>
    <s v="Severe Pneumonia"/>
    <s v="Iv Antibiotics"/>
    <n v="270242.33"/>
    <s v="Bajaj Allianz"/>
    <s v="Disputed"/>
    <s v="Discharged Against Medical Advice"/>
  </r>
  <r>
    <s v="HOSP-10427"/>
    <s v="Aarav Iyer"/>
    <n v="83"/>
    <s v="Male"/>
    <s v="Mumbai"/>
    <x v="2"/>
    <s v="Dr.Mukul Varma"/>
    <d v="2025-10-03T00:00:00"/>
    <d v="2025-10-15T00:00:00"/>
    <s v="Epilepsy"/>
    <s v="Anticonvulsant Therapy"/>
    <n v="243996.75"/>
    <s v="Unknown"/>
    <s v="Paid"/>
    <s v="Discharged Against Medical Advice"/>
  </r>
  <r>
    <s v="HOSP-143"/>
    <s v="Unknown"/>
    <n v="21"/>
    <s v="Male"/>
    <s v="Pune"/>
    <x v="6"/>
    <s v="Dr.Sks Marya"/>
    <d v="2025-02-10T00:00:00"/>
    <d v="2025-12-23T00:00:00"/>
    <s v="Osteoarthritis Knee"/>
    <s v="Total Knee Replacement"/>
    <n v="27887.200000000001"/>
    <s v="Unknown"/>
    <s v="Disputed"/>
    <s v="Admitted"/>
  </r>
  <r>
    <s v="HOSP-10429"/>
    <s v="Suresh Gupta"/>
    <n v="48"/>
    <s v="Male"/>
    <s v="Hyderabad"/>
    <x v="0"/>
    <s v="Dr.Harit Chaturvedi"/>
    <d v="2025-08-23T00:00:00"/>
    <d v="2025-09-06T00:00:00"/>
    <s v="Lung Adenocarcinoma"/>
    <s v="Targeted Therapy"/>
    <n v="94685.56"/>
    <s v="Max Bupa"/>
    <s v="Pending"/>
    <s v="Discharged Against Medical Advice"/>
  </r>
  <r>
    <s v="HOSP-10430"/>
    <s v="Priya Verma"/>
    <n v="28"/>
    <s v="Female"/>
    <s v="Pune"/>
    <x v="5"/>
    <s v="Dr.Govind Makharia"/>
    <d v="2025-03-02T00:00:00"/>
    <d v="2025-03-05T00:00:00"/>
    <s v="Peptic Ulcer Bleeding"/>
    <s v="Endoscopic Banding"/>
    <n v="297160.62"/>
    <s v="None"/>
    <s v="Disputed"/>
    <s v="In-Patient"/>
  </r>
  <r>
    <s v="HOSP-10431"/>
    <s v="Vihaan Nair"/>
    <n v="2"/>
    <s v="Male"/>
    <s v="Pune"/>
    <x v="7"/>
    <s v="Dr.Sks Marya"/>
    <d v="2025-07-28T00:00:00"/>
    <d v="2025-08-12T00:00:00"/>
    <s v="Rotator Cuff Tear"/>
    <s v="Arthroscopic Repair"/>
    <n v="226360.94"/>
    <s v="Max Bupa"/>
    <s v="Claim Processing"/>
    <s v="Transferred"/>
  </r>
  <r>
    <s v="HOSP-10432"/>
    <s v="Vihaan Verma"/>
    <n v="19"/>
    <s v="Male"/>
    <s v="Pune"/>
    <x v="0"/>
    <s v="Dr.Suresh Advani"/>
    <d v="2025-11-09T00:00:00"/>
    <d v="2025-12-23T00:00:00"/>
    <s v="Breast Carcinoma"/>
    <s v="Chemotherapy &amp; Lumpectomy"/>
    <n v="67171.45"/>
    <s v="Star Health"/>
    <s v="Paid"/>
    <s v="Admitted"/>
  </r>
  <r>
    <s v="HOSP-10433"/>
    <s v="Aarav Joshi"/>
    <n v="6"/>
    <s v="Male"/>
    <s v="Mumbai"/>
    <x v="5"/>
    <s v="Dr.Govind Makharia"/>
    <d v="2025-06-23T00:00:00"/>
    <d v="2025-06-29T00:00:00"/>
    <s v="Liver Cirrhosis"/>
    <s v="Paracentesis &amp; Diuretics"/>
    <n v="269392.61"/>
    <s v="Max Bupa"/>
    <s v="Partially Paid"/>
    <s v="Discharged Against Medical Advice"/>
  </r>
  <r>
    <s v="HOSP-123"/>
    <s v="Deepak Mehta"/>
    <n v="19"/>
    <s v="Male"/>
    <s v="Hyderabad"/>
    <x v="6"/>
    <s v="Dr.Ramneek Mahajan"/>
    <d v="2025-11-12T00:00:00"/>
    <d v="2025-11-16T00:00:00"/>
    <s v="Femur Fracture"/>
    <s v="Internal Fixation"/>
    <n v="58427.63"/>
    <s v="Icici Lombard"/>
    <s v="Paid"/>
    <s v="Expired"/>
  </r>
  <r>
    <s v="HOSP-10435"/>
    <s v="Rajesh Verma"/>
    <n v="82"/>
    <s v="Male"/>
    <s v="Mumbai"/>
    <x v="2"/>
    <s v="Dr.Unknown"/>
    <d v="2025-12-09T00:00:00"/>
    <d v="2025-12-17T00:00:00"/>
    <s v="Epilepsy"/>
    <s v="Anticonvulsant Therapy"/>
    <n v="231726.06"/>
    <s v="None / Self Pay"/>
    <s v="Paid"/>
    <s v="Discharged Against Medical Advice"/>
  </r>
  <r>
    <s v="HOSP-10436"/>
    <s v="Aditya Iyer"/>
    <n v="8"/>
    <s v="Male"/>
    <s v="Chandigarh"/>
    <x v="1"/>
    <s v="Dr.Anoop Misra"/>
    <d v="2025-03-30T00:00:00"/>
    <d v="2025-04-15T00:00:00"/>
    <s v="Hypertensive Crisis"/>
    <s v="Iv Labetalol"/>
    <n v="40000"/>
    <s v="Care Health"/>
    <s v="Disputed"/>
    <s v="Expired"/>
  </r>
  <r>
    <s v="HOSP-10437"/>
    <s v="Amit Joshi"/>
    <n v="17"/>
    <s v="Male"/>
    <s v="Jaipur"/>
    <x v="0"/>
    <s v="Dr.Vinod Raina"/>
    <d v="2025-09-29T00:00:00"/>
    <d v="2025-03-10T00:00:00"/>
    <s v="Unknown"/>
    <s v="R-Chop Regimen"/>
    <n v="-32263.040000000001"/>
    <s v="Care Health"/>
    <s v="Disputed"/>
    <s v="Transferred"/>
  </r>
  <r>
    <s v="HOSP-10438"/>
    <s v="Anjali Nair"/>
    <n v="12"/>
    <s v="Female"/>
    <s v="Delhi"/>
    <x v="4"/>
    <s v="Dr.Naresh Trehan"/>
    <d v="2025-04-10T00:00:00"/>
    <d v="2025-02-23T00:00:00"/>
    <s v="Myocardial Infarction"/>
    <s v="Thrombolysis"/>
    <n v="330944.7"/>
    <s v="Bajaj Allianz"/>
    <s v="Pending"/>
    <s v="Discharged"/>
  </r>
  <r>
    <s v="HOSP-10440"/>
    <s v="Sneha Joshi"/>
    <n v="52"/>
    <s v="Female"/>
    <s v="Bangalore"/>
    <x v="0"/>
    <s v="Dr.Suresh Advani"/>
    <d v="2025-06-18T00:00:00"/>
    <d v="2025-06-19T00:00:00"/>
    <s v="Lung Adenocarcinoma"/>
    <s v="Targeted Therapy"/>
    <n v="15338.44"/>
    <s v="Care Health"/>
    <s v="Disputed"/>
    <s v="Transferred"/>
  </r>
  <r>
    <s v="HOSP-10441"/>
    <s v="Ritu Mehta"/>
    <n v="73"/>
    <s v="Female"/>
    <s v="Hyderabad"/>
    <x v="0"/>
    <s v="Dr.Suresh Advani"/>
    <d v="2025-02-08T00:00:00"/>
    <d v="2025-02-21T00:00:00"/>
    <s v="Lymphoma"/>
    <s v="R-Chop Regimen"/>
    <n v="301563.46000000002"/>
    <s v="Max Bupa"/>
    <s v="Disputed"/>
    <s v="Expired"/>
  </r>
  <r>
    <s v="HOSP-10442"/>
    <s v="Meera Kumar"/>
    <n v="38"/>
    <s v="Female"/>
    <s v="Unknown"/>
    <x v="4"/>
    <s v="Dr.Naresh Trehan"/>
    <d v="2025-10-03T00:00:00"/>
    <d v="2025-10-16T00:00:00"/>
    <s v="Coronary Artery Disease"/>
    <s v="Angioplasty"/>
    <n v="266848.95"/>
    <s v="Bajaj Allianz"/>
    <s v="Pending"/>
    <s v="Discharged"/>
  </r>
  <r>
    <s v="HOSP-141"/>
    <s v="Aarav Iyer"/>
    <n v="56"/>
    <s v="Male"/>
    <s v="Ahmedabad"/>
    <x v="4"/>
    <s v="Dr.Ashok Seth"/>
    <d v="2025-04-10T00:00:00"/>
    <d v="2025-12-23T00:00:00"/>
    <s v="Arrhythmia"/>
    <s v="Pacemaker Implantation"/>
    <n v="-349245.8"/>
    <s v="N/A"/>
    <s v="Paid"/>
    <s v="Admitted"/>
  </r>
  <r>
    <s v="HOSP-10445"/>
    <s v="Manoj Verma"/>
    <n v="62"/>
    <s v="Male"/>
    <s v="Kolkata"/>
    <x v="3"/>
    <s v="Dr.Veena Kalra"/>
    <d v="2025-08-27T00:00:00"/>
    <d v="2025-12-23T00:00:00"/>
    <s v="Unknown"/>
    <s v="Iv Fluids &amp; Electrolytes"/>
    <n v="257045.17"/>
    <s v="Bajaj Allianz"/>
    <s v="Pending"/>
    <s v="Admitted"/>
  </r>
  <r>
    <s v="HOSP-10446"/>
    <s v="Vihaan Singh"/>
    <n v="80"/>
    <s v="Male"/>
    <s v="Chennai"/>
    <x v="0"/>
    <s v="Dr.Suresh Advani"/>
    <d v="2025-04-10T00:00:00"/>
    <d v="2025-10-21T00:00:00"/>
    <s v="Colorectal Cancer"/>
    <s v="Colectomy"/>
    <n v="113667.33"/>
    <s v="Care Health"/>
    <s v="Paid"/>
    <s v="Transferred"/>
  </r>
  <r>
    <s v="HOSP-10447"/>
    <s v="Rajesh Mehta"/>
    <n v="33"/>
    <s v="Male"/>
    <s v="Pune"/>
    <x v="0"/>
    <s v="Dr.Suresh Advani"/>
    <d v="2025-05-26T00:00:00"/>
    <d v="2025-12-23T00:00:00"/>
    <s v="Lung Adenocarcinoma"/>
    <s v="Targeted Therapy"/>
    <n v="327664.96000000002"/>
    <s v="Care Health"/>
    <s v="Disputed"/>
    <s v="Admitted"/>
  </r>
  <r>
    <s v="HOSP-10448"/>
    <s v="Sunita Joshi"/>
    <n v="77"/>
    <s v="Female"/>
    <s v="Ahmedabad"/>
    <x v="6"/>
    <s v="Dr.Ramneek Mahajan"/>
    <d v="2025-03-19T00:00:00"/>
    <d v="2025-03-31T00:00:00"/>
    <s v="Rotator Cuff Tear"/>
    <s v="Arthroscopic Repair"/>
    <n v="14412.2"/>
    <s v="Star Health"/>
    <s v="Paid"/>
    <s v="Discharged Against Medical Advice"/>
  </r>
  <r>
    <s v="HOSP-10449"/>
    <s v="Pooja Mehta"/>
    <n v="69"/>
    <s v="Female"/>
    <s v="Hyderabad"/>
    <x v="3"/>
    <s v="Dr.Arvind Bagga"/>
    <d v="2025-10-27T00:00:00"/>
    <d v="2025-11-02T00:00:00"/>
    <s v="Acute Bronchiolitis"/>
    <s v="Nebulization &amp; O2 Support"/>
    <n v="206432.71"/>
    <s v="Icici Lombard"/>
    <s v="Pending"/>
    <s v="Expired"/>
  </r>
  <r>
    <s v="HOSP-10450"/>
    <s v="Ramesh Patel"/>
    <n v="17"/>
    <s v="Male"/>
    <s v="Chennai"/>
    <x v="2"/>
    <s v="Dr.Mukul Varma"/>
    <d v="2025-05-04T00:00:00"/>
    <d v="2025-05-15T00:00:00"/>
    <s v="Unknown"/>
    <s v="Tpa Therapy"/>
    <n v="-115728.64"/>
    <s v="Hdfc Ergo"/>
    <s v="Pending"/>
    <s v="Transferred"/>
  </r>
  <r>
    <s v="HOSP-10452"/>
    <s v="Vihaan Singh"/>
    <n v="85"/>
    <s v="Male"/>
    <s v="Chandigarh"/>
    <x v="5"/>
    <s v="Dr.Govind Makharia"/>
    <d v="2025-02-16T00:00:00"/>
    <d v="2025-12-23T00:00:00"/>
    <s v="Acute Pancreatitis"/>
    <s v="Conservative Management"/>
    <n v="68567.039999999994"/>
    <s v="None / Self Pay"/>
    <s v="Paid"/>
    <s v="Admitted"/>
  </r>
  <r>
    <s v="HOSP-10453"/>
    <s v="Manoj Patel"/>
    <n v="18"/>
    <s v="Male"/>
    <s v="Chandigarh"/>
    <x v="5"/>
    <s v="Dr.Randhir Sud"/>
    <d v="2025-02-21T00:00:00"/>
    <d v="2025-02-23T00:00:00"/>
    <s v="Gallstones / Cholecystitis"/>
    <s v="Laparoscopic Cholecystectomy"/>
    <n v="245988.96"/>
    <s v="Unknown"/>
    <s v="Disputed"/>
    <s v="Discharged"/>
  </r>
  <r>
    <s v="HOSP-10454"/>
    <s v="Rajesh Singh"/>
    <n v="50"/>
    <s v="Male"/>
    <s v="Kolkata"/>
    <x v="0"/>
    <s v="Dr.Unknown"/>
    <d v="2025-06-17T00:00:00"/>
    <d v="2025-06-26T00:00:00"/>
    <s v="Breast Carcinoma"/>
    <s v="Chemotherapy &amp; Lumpectomy"/>
    <n v="75111.69"/>
    <s v="Hdfc Ergo"/>
    <s v="Paid"/>
    <s v="Expired"/>
  </r>
  <r>
    <s v="HOSP-10455"/>
    <s v="Deepak Verma"/>
    <n v="65"/>
    <s v="Male"/>
    <s v="Hyderabad"/>
    <x v="3"/>
    <s v="Dr.Veena Kalra"/>
    <d v="2025-04-16T00:00:00"/>
    <d v="2025-04-19T00:00:00"/>
    <s v="Acute Bronchiolitis"/>
    <s v="Nebulization &amp; O2 Support"/>
    <n v="180878.3"/>
    <s v="Star Health"/>
    <s v="Paid"/>
    <s v="Discharged"/>
  </r>
  <r>
    <s v="HOSP-10456"/>
    <s v="Aarav Mehta"/>
    <n v="25"/>
    <s v="Male"/>
    <s v="Hyderabad"/>
    <x v="2"/>
    <s v="Dr.P. N. Renjen"/>
    <d v="2025-03-22T00:00:00"/>
    <d v="2025-04-06T00:00:00"/>
    <s v="Epilepsy"/>
    <s v="Anticonvulsant Therapy"/>
    <n v="68817.2"/>
    <s v="Icici Lombard"/>
    <s v="Partially Paid"/>
    <s v="Discharged Against Medical Advice"/>
  </r>
  <r>
    <s v="HOSP-10458"/>
    <s v="Sneha Gupta"/>
    <n v="58"/>
    <s v="Unspecified"/>
    <s v="Delhi"/>
    <x v="2"/>
    <s v="Dr.Unknown"/>
    <d v="2025-04-05T00:00:00"/>
    <d v="2025-04-14T00:00:00"/>
    <s v="Migraine Chronic"/>
    <s v="Botox Injection &amp; Triptans"/>
    <n v="229226.77"/>
    <s v="Icici Lombard"/>
    <s v="Pending"/>
    <s v="Expired"/>
  </r>
  <r>
    <s v="HOSP-10459"/>
    <s v="Vikram Mehta"/>
    <n v="29"/>
    <s v="Male"/>
    <s v="Jaipur"/>
    <x v="0"/>
    <s v="Dr.Suresh Advani"/>
    <d v="2025-02-01T00:00:00"/>
    <d v="2025-12-23T00:00:00"/>
    <s v="Lung Adenocarcinoma"/>
    <s v="Targeted Therapy"/>
    <n v="183161.99"/>
    <s v="Bajaj Allianz"/>
    <s v="Paid"/>
    <s v="Admitted"/>
  </r>
  <r>
    <s v="HOSP-10460"/>
    <s v="Amit Singh"/>
    <n v="14"/>
    <s v="Unspecified"/>
    <s v="Delhi"/>
    <x v="3"/>
    <s v="Dr.Krishan Chugh"/>
    <d v="2025-04-08T00:00:00"/>
    <d v="2025-04-24T00:00:00"/>
    <s v="Acute Bronchiolitis"/>
    <s v="Nebulization &amp; O2 Support"/>
    <n v="129525.51"/>
    <s v="Care Health"/>
    <s v="Partially Paid"/>
    <s v="Discharged"/>
  </r>
  <r>
    <s v="HOSP-10461"/>
    <s v="Vikram Verma"/>
    <n v="3"/>
    <s v="Male"/>
    <s v="Hyderabad"/>
    <x v="2"/>
    <s v="Dr.Mukul Varma"/>
    <d v="2025-02-10T00:00:00"/>
    <d v="2025-02-08T00:00:00"/>
    <s v="Acute Ischemic Stroke"/>
    <s v="Tpa Therapy"/>
    <n v="174036.3"/>
    <s v="Bajaj Allianz"/>
    <s v="Partially Paid"/>
    <s v="Discharged"/>
  </r>
  <r>
    <s v="HOSP-10462"/>
    <s v="Rajesh Singh"/>
    <n v="83"/>
    <s v="Male"/>
    <s v="Delhi"/>
    <x v="1"/>
    <s v="Dr.Anoop Misra"/>
    <d v="2025-12-10T00:00:00"/>
    <d v="2025-12-11T00:00:00"/>
    <s v="Unknown"/>
    <s v="Platelet Support"/>
    <n v="21364.73"/>
    <s v="Bajaj Allianz"/>
    <s v="Claim Processing"/>
    <s v="Discharged"/>
  </r>
  <r>
    <s v="HOSP-10464"/>
    <s v="Diya Reddy"/>
    <n v="22"/>
    <s v="Female"/>
    <s v="Hyderabad"/>
    <x v="3"/>
    <s v="Dr.Arvind Bagga"/>
    <d v="2025-02-01T00:00:00"/>
    <d v="2025-02-18T00:00:00"/>
    <s v="Acute Bronchiolitis"/>
    <s v="Nebulization &amp; O2 Support"/>
    <n v="344496.24"/>
    <s v="Icici Lombard"/>
    <s v="Disputed"/>
    <s v="Discharged Against Medical Advice"/>
  </r>
  <r>
    <s v="HOSP-10466"/>
    <s v="Vikram Iyer"/>
    <n v="26"/>
    <s v="Unspecified"/>
    <s v="Pune"/>
    <x v="3"/>
    <s v="Dr.Arvind Bagga"/>
    <d v="2025-06-26T00:00:00"/>
    <d v="2025-08-07T00:00:00"/>
    <s v="Severe Pneumonia"/>
    <s v="Iv Antibiotics"/>
    <n v="346234.73"/>
    <s v="None"/>
    <s v="Partially Paid"/>
    <s v="Discharged"/>
  </r>
  <r>
    <s v="HOSP-1467"/>
    <s v="Vihaan Verma"/>
    <n v="3"/>
    <s v="Male"/>
    <s v="Ahmedabad"/>
    <x v="5"/>
    <s v="Dr.Randhir Sud"/>
    <d v="2025-08-18T00:00:00"/>
    <d v="2025-12-23T00:00:00"/>
    <s v="Peptic Ulcer Bleeding"/>
    <s v="Endoscopic Banding"/>
    <n v="-228488.28"/>
    <s v="Care Health"/>
    <s v="Paid"/>
    <s v="Admitted"/>
  </r>
  <r>
    <s v="HOSP-10468"/>
    <s v="Deepak Verma"/>
    <n v="58"/>
    <s v="Male"/>
    <s v="Hyderabad"/>
    <x v="4"/>
    <s v="Dr.Naresh Trehan"/>
    <d v="2025-01-29T00:00:00"/>
    <d v="2025-05-02T00:00:00"/>
    <s v="Coronary Artery Disease"/>
    <s v="Angioplasty"/>
    <n v="284470.31"/>
    <s v="Bajaj Allianz"/>
    <s v="Partially Paid"/>
    <s v="Transferred"/>
  </r>
  <r>
    <s v="HOSP-10469"/>
    <s v="Manoj Nair"/>
    <n v="47"/>
    <s v="Male"/>
    <s v="Delhi"/>
    <x v="6"/>
    <s v="Dr.Ramneek Mahajan"/>
    <d v="2025-12-07T00:00:00"/>
    <d v="2025-12-23T00:00:00"/>
    <s v="Rotator Cuff Tear"/>
    <s v="Arthroscopic Repair"/>
    <n v="291337.67"/>
    <s v="Icici Lombard"/>
    <s v="Paid"/>
    <s v="Admitted"/>
  </r>
  <r>
    <s v="HOSP-10470"/>
    <s v="Aditya Mehta"/>
    <n v="53"/>
    <s v="Male"/>
    <s v="Delhi"/>
    <x v="2"/>
    <s v="Dr.Sushil Razdan"/>
    <d v="2025-09-19T00:00:00"/>
    <d v="2025-12-23T00:00:00"/>
    <s v="Acute Ischemic Stroke"/>
    <s v="Tpa Therapy"/>
    <n v="315860.09999999998"/>
    <s v="None / Self Pay"/>
    <s v="Partially Paid"/>
    <s v="Admitted"/>
  </r>
  <r>
    <s v="HOSP-10472"/>
    <s v="Sunita Kumar"/>
    <n v="61"/>
    <s v="Female"/>
    <s v="Chandigarh"/>
    <x v="7"/>
    <s v="Dr.Govind Makharia"/>
    <d v="2025-01-11T00:00:00"/>
    <d v="2025-01-15T00:00:00"/>
    <s v="Peptic Ulcer Bleeding"/>
    <s v="Endoscopic Banding"/>
    <n v="12286.13"/>
    <s v="None"/>
    <s v="Paid"/>
    <s v="Discharged"/>
  </r>
  <r>
    <s v="HOSP-10473"/>
    <s v="Priya Verma"/>
    <n v="83"/>
    <s v="Female"/>
    <s v="Kolkata"/>
    <x v="5"/>
    <s v="Dr.Randhir Sud"/>
    <d v="2025-03-05T00:00:00"/>
    <d v="2025-06-05T00:00:00"/>
    <s v="Liver Cirrhosis"/>
    <s v="Paracentesis &amp; Diuretics"/>
    <n v="81893.210000000006"/>
    <s v="None / Self Pay"/>
    <s v="Pending"/>
    <s v="Transferred"/>
  </r>
  <r>
    <s v="HOSP-10475"/>
    <s v="Meera Bose"/>
    <n v="10"/>
    <s v="Female"/>
    <s v="Ahmedabad"/>
    <x v="6"/>
    <s v="Dr.Harshavardhan Hegde"/>
    <d v="2025-02-06T00:00:00"/>
    <d v="2025-12-23T00:00:00"/>
    <s v="Lumbar Spondylosis"/>
    <s v="Spinal Decompression"/>
    <n v="15667.1"/>
    <s v="Star Health"/>
    <s v="Disputed"/>
    <s v="Admitted"/>
  </r>
  <r>
    <s v="HOSP-10477"/>
    <s v="Rohan Bose"/>
    <n v="88"/>
    <s v="Male"/>
    <s v="Bangalore"/>
    <x v="3"/>
    <s v="Dr.Veena Kalra"/>
    <d v="2025-06-09T00:00:00"/>
    <d v="2025-12-23T00:00:00"/>
    <s v="Severe Pneumonia"/>
    <s v="Iv Antibiotics"/>
    <n v="328190.71000000002"/>
    <s v="Bajaj Allianz"/>
    <s v="Pending"/>
    <s v="Admitted"/>
  </r>
  <r>
    <s v="HOSP-10478"/>
    <s v="Vihaan Verma"/>
    <n v="16"/>
    <s v="Male"/>
    <s v="Pune"/>
    <x v="4"/>
    <s v="Dr.Ashok Seth"/>
    <d v="2025-10-18T00:00:00"/>
    <d v="2025-01-11T00:00:00"/>
    <s v="Heart Failure"/>
    <s v="Ace Inhibitors &amp; Diuretics"/>
    <n v="102588.38"/>
    <s v="Icici Lombard"/>
    <s v="Disputed"/>
    <s v="Discharged Against Medical Advice"/>
  </r>
  <r>
    <s v="HOSP-10479"/>
    <s v="Anita Joshi"/>
    <n v="18"/>
    <s v="Female"/>
    <s v="Mumbai"/>
    <x v="3"/>
    <s v="Dr.Unknown"/>
    <d v="2025-06-23T00:00:00"/>
    <d v="2025-06-24T00:00:00"/>
    <s v="Severe Pneumonia"/>
    <s v="Iv Antibiotics"/>
    <n v="243594.27"/>
    <s v="None / Self Pay"/>
    <s v="Pending"/>
    <s v="Discharged Against Medical Advice"/>
  </r>
  <r>
    <s v="HOSP-10480"/>
    <s v="Neha Iyer"/>
    <n v="88"/>
    <s v="Female"/>
    <s v="Unknown"/>
    <x v="0"/>
    <s v="Dr.Harit Chaturvedi"/>
    <d v="2025-08-02T00:00:00"/>
    <d v="2025-12-23T00:00:00"/>
    <s v="Breast Carcinoma"/>
    <s v="Chemotherapy &amp; Lumpectomy"/>
    <n v="261994.94"/>
    <s v="Unknown"/>
    <s v="Paid"/>
    <s v="Admitted"/>
  </r>
  <r>
    <s v="HOSP-10481"/>
    <s v="Neha Reddy"/>
    <n v="79"/>
    <s v="Female"/>
    <s v="Kolkata"/>
    <x v="5"/>
    <s v="Dr.Govind Makharia"/>
    <d v="2025-07-02T00:00:00"/>
    <d v="2025-07-15T00:00:00"/>
    <s v="Acute Pancreatitis"/>
    <s v="Conservative Management"/>
    <n v="80052.56"/>
    <s v="Icici Lombard"/>
    <s v="Paid"/>
    <s v="Discharged Against Medical Advice"/>
  </r>
  <r>
    <s v="HOSP-10483"/>
    <s v="Vihaan Sharma"/>
    <n v="15"/>
    <s v="Male"/>
    <s v="Ahmedabad"/>
    <x v="6"/>
    <s v="Dr.Sks Marya"/>
    <d v="2025-11-28T00:00:00"/>
    <d v="2025-12-23T00:00:00"/>
    <s v="Lumbar Spondylosis"/>
    <s v="Spinal Decompression"/>
    <n v="285895.32"/>
    <s v="Bajaj Allianz"/>
    <s v="Pending"/>
    <s v="Admitted"/>
  </r>
  <r>
    <s v="HOSP-10485"/>
    <s v="Unknown"/>
    <n v="18"/>
    <s v="Female"/>
    <s v="Kolkata"/>
    <x v="5"/>
    <s v="Dr.Randhir Sud"/>
    <d v="2025-11-20T00:00:00"/>
    <d v="2025-11-28T00:00:00"/>
    <s v="Liver Cirrhosis"/>
    <s v="Paracentesis &amp; Diuretics"/>
    <n v="118716.9"/>
    <s v="None / Self Pay"/>
    <s v="Pending"/>
    <s v="Expired"/>
  </r>
  <r>
    <s v="HOSP-10487"/>
    <s v="Rohan Kumar"/>
    <n v="38"/>
    <s v="Male"/>
    <s v="Chennai"/>
    <x v="0"/>
    <s v="Dr.Vinod Raina"/>
    <d v="2025-01-18T00:00:00"/>
    <d v="2025-01-25T00:00:00"/>
    <s v="Breast Carcinoma"/>
    <s v="Chemotherapy &amp; Lumpectomy"/>
    <n v="316292.25"/>
    <s v="Max Bupa"/>
    <s v="Partially Paid"/>
    <s v="Transferred"/>
  </r>
  <r>
    <s v="HOSP-10488"/>
    <s v="Kabir Reddy"/>
    <n v="64"/>
    <s v="Male"/>
    <s v="Unknown"/>
    <x v="1"/>
    <s v="Dr.R. K. Singhal"/>
    <d v="2025-01-19T00:00:00"/>
    <d v="2025-01-20T00:00:00"/>
    <s v="Dengue Fever With Thrombocytopenia"/>
    <s v="Unknown"/>
    <n v="138512.87"/>
    <s v="Max Bupa"/>
    <s v="Partially Paid"/>
    <s v="Discharged Against Medical Advice"/>
  </r>
  <r>
    <s v="HOSP-132"/>
    <s v="Anita Gupta"/>
    <n v="81"/>
    <s v="Female"/>
    <s v="Mumbai"/>
    <x v="4"/>
    <s v="Dr.Devi Shetty"/>
    <d v="2025-06-20T00:00:00"/>
    <d v="2025-07-06T00:00:00"/>
    <s v="Arrhythmia"/>
    <s v="Pacemaker Implantation"/>
    <n v="164538.67000000001"/>
    <s v="Star Health"/>
    <s v="Paid"/>
    <s v="Expired"/>
  </r>
  <r>
    <s v="HOSP-10491"/>
    <s v="Priya Sharma"/>
    <n v="31"/>
    <s v="Female"/>
    <s v="Chandigarh"/>
    <x v="3"/>
    <s v="Dr.Veena Kalra"/>
    <d v="2025-07-06T00:00:00"/>
    <d v="2025-07-16T00:00:00"/>
    <s v="Severe Pneumonia"/>
    <s v="Iv Antibiotics"/>
    <n v="265719.40000000002"/>
    <s v="Hdfc Ergo"/>
    <s v="Disputed"/>
    <s v="Discharged Against Medical Advice"/>
  </r>
  <r>
    <s v="HOSP-10493"/>
    <s v="Amit Patel"/>
    <n v="41"/>
    <s v="Male"/>
    <s v="Jaipur"/>
    <x v="3"/>
    <s v="Dr.Veena Kalra"/>
    <d v="2025-02-18T00:00:00"/>
    <d v="2025-02-24T00:00:00"/>
    <s v="Neonatal Jaundice"/>
    <s v="Phototherapy"/>
    <n v="5470.34"/>
    <s v="Unknown"/>
    <s v="Pending"/>
    <s v="Discharged"/>
  </r>
  <r>
    <s v="HOSP-10494"/>
    <s v="Priya Verma"/>
    <n v="14"/>
    <s v="Female"/>
    <s v="Chandigarh"/>
    <x v="0"/>
    <s v="Dr.Suresh Advani"/>
    <d v="2025-02-28T00:00:00"/>
    <d v="2025-03-05T00:00:00"/>
    <s v="Breast Carcinoma"/>
    <s v="Chemotherapy &amp; Lumpectomy"/>
    <n v="-153231.04999999999"/>
    <s v="Icici Lombard"/>
    <s v="Partially Paid"/>
    <s v="Expired"/>
  </r>
  <r>
    <s v="HOSP-10495"/>
    <s v="Neha Gupta"/>
    <n v="64"/>
    <s v="Female"/>
    <s v="Jaipur"/>
    <x v="3"/>
    <s v="Dr.Krishan Chugh"/>
    <d v="2025-05-08T00:00:00"/>
    <d v="2025-05-17T00:00:00"/>
    <s v="Severe Pneumonia"/>
    <s v="Unknown"/>
    <n v="298327.53999999998"/>
    <s v="Icici Lombard"/>
    <s v="Unknown"/>
    <s v="Discharged"/>
  </r>
  <r>
    <s v="HOSP-10498"/>
    <s v="Aditya Iyer"/>
    <n v="12"/>
    <s v="Male"/>
    <s v="Chandigarh"/>
    <x v="0"/>
    <s v="Dr.Suresh Advani"/>
    <d v="2025-04-10T00:00:00"/>
    <d v="2025-10-28T00:00:00"/>
    <s v="Breast Carcinoma"/>
    <s v="Chemotherapy &amp; Lumpectomy"/>
    <n v="314197.02"/>
    <s v="Care Health"/>
    <s v="Pending"/>
    <s v="Expired"/>
  </r>
  <r>
    <s v="HOSP-10499"/>
    <s v="Rohan Nair"/>
    <n v="35"/>
    <s v="Male"/>
    <s v="Hyderabad"/>
    <x v="0"/>
    <s v="Dr.Vinod Raina"/>
    <d v="2025-09-04T00:00:00"/>
    <d v="2025-12-23T00:00:00"/>
    <s v="Breast Carcinoma"/>
    <s v="Chemotherapy &amp; Lumpectomy"/>
    <n v="308766.90999999997"/>
    <s v="Icici Lombard"/>
    <s v="Partially Paid"/>
    <s v="Admitted"/>
  </r>
  <r>
    <s v="Unknown"/>
    <s v="Ananya Patel"/>
    <n v="2"/>
    <s v="Female"/>
    <s v="Ahmedabad"/>
    <x v="7"/>
    <s v="Dr.Govind Makharia"/>
    <d v="2025-08-09T00:00:00"/>
    <d v="2025-08-20T00:00:00"/>
    <s v="Acute Pancreatitis"/>
    <s v="Conservative Management"/>
    <n v="99999999"/>
    <s v="Care Health"/>
    <s v="Claim Processing"/>
    <s v="Discharged Against Medical Advic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s v="Ritu Singh"/>
    <n v="55"/>
    <s v="Female"/>
    <s v="Unknown"/>
    <x v="0"/>
    <s v="Dr.Suresh Advani"/>
    <d v="2025-12-01T00:00:00"/>
    <d v="2025-01-24T00:00:00"/>
    <s v="Lung Adenocarcinoma"/>
    <s v="Targeted Therapy"/>
    <n v="100821.63"/>
    <s v="None / Self Pay"/>
    <s v="Disputed"/>
    <s v="Discharged"/>
  </r>
  <r>
    <x v="1"/>
    <s v="Pooja Bose"/>
    <n v="11"/>
    <s v="Female"/>
    <s v="Jaipur"/>
    <x v="1"/>
    <s v="Dr.Anoop Misra"/>
    <d v="2025-09-11T00:00:00"/>
    <d v="2025-12-23T00:00:00"/>
    <s v="Dengue Fever With Thrombocytopenia"/>
    <s v="Platelet Support"/>
    <n v="159034.31"/>
    <s v="Hdfc Ergo"/>
    <s v="Partially Paid"/>
    <s v="Admitted"/>
  </r>
  <r>
    <x v="2"/>
    <s v="Neha Sharma"/>
    <n v="42"/>
    <s v="Female"/>
    <s v="Bangalore"/>
    <x v="2"/>
    <s v="Dr.P. N. Renjen"/>
    <d v="2025-06-13T00:00:00"/>
    <d v="2025-12-23T00:00:00"/>
    <s v="Parkinson'S Disease"/>
    <s v="Levodopa Therapy"/>
    <n v="201434.4"/>
    <s v="Max Bupa"/>
    <s v="Pending"/>
    <s v="Admitted"/>
  </r>
  <r>
    <x v="3"/>
    <s v="Ananya Gupta"/>
    <n v="52"/>
    <s v="Female"/>
    <s v="Delhi"/>
    <x v="3"/>
    <s v="Dr.Arvind Bagga"/>
    <d v="2025-03-16T00:00:00"/>
    <d v="2025-03-27T00:00:00"/>
    <s v="Viral Gastroenteritis"/>
    <s v="Iv Fluids &amp; Electrolytes"/>
    <n v="130701.41"/>
    <s v="Hdfc Ergo"/>
    <s v="Disputed"/>
    <s v="Discharged"/>
  </r>
  <r>
    <x v="4"/>
    <s v="Priya Mehta"/>
    <n v="6"/>
    <s v="Female"/>
    <s v="Jaipur"/>
    <x v="1"/>
    <s v="Dr.Anoop Misra"/>
    <d v="2025-10-11T00:00:00"/>
    <d v="2025-10-18T00:00:00"/>
    <s v="Unknown"/>
    <s v="Insulin Titration"/>
    <n v="235214.45"/>
    <s v="Icici Lombard"/>
    <s v="Paid"/>
    <s v="Unknown"/>
  </r>
  <r>
    <x v="5"/>
    <s v="Manoj Verma"/>
    <n v="44"/>
    <s v="Male"/>
    <s v="Mumbai"/>
    <x v="1"/>
    <s v="Dr.Unknown"/>
    <d v="2025-02-07T00:00:00"/>
    <d v="2025-07-09T00:00:00"/>
    <s v="Dengue Fever With Thrombocytopenia"/>
    <s v="Platelet Support"/>
    <n v="64345.01"/>
    <s v="None / Self Pay"/>
    <s v="Claim Processing"/>
    <s v="Discharged Against Medical Advice"/>
  </r>
  <r>
    <x v="6"/>
    <s v="Ritu Nair"/>
    <n v="82"/>
    <s v="Female"/>
    <s v="Delhi"/>
    <x v="0"/>
    <s v="Dr.Suresh Advani"/>
    <d v="2025-03-19T00:00:00"/>
    <d v="2025-03-25T00:00:00"/>
    <s v="Colorectal Cancer"/>
    <s v="Colectomy"/>
    <n v="70846.91"/>
    <s v="Care Health"/>
    <s v="Claim Processing"/>
    <s v="Expired"/>
  </r>
  <r>
    <x v="7"/>
    <s v="Neha Iyer"/>
    <n v="8"/>
    <s v="Female"/>
    <s v="Chennai"/>
    <x v="1"/>
    <s v="Dr.R. K. Singhal"/>
    <d v="2025-01-23T00:00:00"/>
    <d v="2025-02-05T00:00:00"/>
    <s v="Urinary Tract Infection"/>
    <s v="Antibiotic Course"/>
    <n v="293150.34999999998"/>
    <s v="None / Self Pay"/>
    <s v="Claim Processing"/>
    <s v="Discharged"/>
  </r>
  <r>
    <x v="8"/>
    <s v="Meera Iyer"/>
    <n v="32"/>
    <s v="Female"/>
    <s v="Mumbai"/>
    <x v="4"/>
    <s v="Dr.Devi Shetty"/>
    <d v="2025-11-07T00:00:00"/>
    <d v="2025-11-12T00:00:00"/>
    <s v="Myocardial Infarction"/>
    <s v="Thrombolysis"/>
    <n v="278473.99"/>
    <s v="Star Health"/>
    <s v="Pending"/>
    <s v="Transferred"/>
  </r>
  <r>
    <x v="9"/>
    <s v="Ananya Gupta"/>
    <n v="82"/>
    <s v="Female"/>
    <s v="Pune"/>
    <x v="5"/>
    <s v="Dr.Randhir Sud"/>
    <d v="2025-10-25T00:00:00"/>
    <d v="2025-11-05T00:00:00"/>
    <s v="Peptic Ulcer Bleeding"/>
    <s v="Endoscopic Banding"/>
    <n v="328729.7"/>
    <s v="Hdfc Ergo"/>
    <s v="Paid"/>
    <s v="Expired"/>
  </r>
  <r>
    <x v="10"/>
    <s v="Kabir Patel"/>
    <n v="27"/>
    <s v="Unspecified"/>
    <s v="Mumbai"/>
    <x v="1"/>
    <s v="Dr.Unknown"/>
    <d v="2025-03-31T00:00:00"/>
    <d v="2025-03-26T00:00:00"/>
    <s v="Hypertensive Crisis"/>
    <s v="Iv Labetalol"/>
    <n v="75685.5"/>
    <s v="Bajaj Allianz"/>
    <s v="Paid"/>
    <s v="Expired"/>
  </r>
  <r>
    <x v="11"/>
    <s v="Deepak Bose"/>
    <n v="30"/>
    <s v="Male"/>
    <s v="Unknown"/>
    <x v="0"/>
    <s v="Dr.Vinod Raina"/>
    <d v="2025-08-14T00:00:00"/>
    <d v="2025-08-25T00:00:00"/>
    <s v="Breast Carcinoma"/>
    <s v="Chemotherapy &amp; Lumpectomy"/>
    <n v="18589.990000000002"/>
    <s v="Max Bupa"/>
    <s v="Paid"/>
    <s v="Deceased"/>
  </r>
  <r>
    <x v="12"/>
    <s v="Kabir Patel"/>
    <n v="18"/>
    <s v="Male"/>
    <s v="Chennai"/>
    <x v="5"/>
    <s v="Dr.Subhash Gupta"/>
    <d v="2025-07-02T00:00:00"/>
    <d v="2025-07-03T00:00:00"/>
    <s v="Peptic Ulcer Bleeding"/>
    <s v="Endoscopic Banding"/>
    <n v="121300.98"/>
    <s v="Care Health"/>
    <s v="Pending"/>
    <s v="Discharged Against Medical Advice"/>
  </r>
  <r>
    <x v="13"/>
    <s v="Meera Reddy"/>
    <n v="18"/>
    <s v="Female"/>
    <s v="Hyderabad"/>
    <x v="4"/>
    <s v="Dr.Naresh Trehan"/>
    <d v="2025-09-27T00:00:00"/>
    <d v="2025-07-10T00:00:00"/>
    <s v="Arrhythmia"/>
    <s v="Pacemaker Implantation"/>
    <n v="102930.63"/>
    <s v="Hdfc Ergo"/>
    <s v="Claim_Pending"/>
    <s v="Expired"/>
  </r>
  <r>
    <x v="14"/>
    <s v="Ananya Bose"/>
    <n v="78"/>
    <s v="Female"/>
    <s v="Delhi"/>
    <x v="1"/>
    <s v="Dr.R. K. Singhal"/>
    <d v="2025-01-23T00:00:00"/>
    <d v="2025-12-23T00:00:00"/>
    <s v="Urinary Tract Infection"/>
    <s v="Antibiotic Course"/>
    <n v="296127.5"/>
    <s v="Care Health"/>
    <s v="Paid"/>
    <s v="Admitted"/>
  </r>
  <r>
    <x v="15"/>
    <s v="Manoj Kumar"/>
    <n v="38"/>
    <s v="Male"/>
    <s v="Jaipur"/>
    <x v="5"/>
    <s v="Dr.Randhir Sud"/>
    <d v="2025-01-06T00:00:00"/>
    <d v="2025-01-08T00:00:00"/>
    <s v="Liver Cirrhosis"/>
    <s v="Paracentesis &amp; Diuretics"/>
    <n v="218725.35"/>
    <s v="Max Bupa"/>
    <s v="Paid"/>
    <s v="Discharged"/>
  </r>
  <r>
    <x v="16"/>
    <s v="Vikram Mehta"/>
    <n v="15"/>
    <s v="Male"/>
    <s v="Kolkata"/>
    <x v="1"/>
    <s v="Dr.Anoop Misra"/>
    <d v="2025-05-02T00:00:00"/>
    <d v="2025-12-23T00:00:00"/>
    <s v="Urinary Tract Infection"/>
    <s v="Antibiotic Course"/>
    <n v="17679.5"/>
    <s v="Bajaj Allianz"/>
    <s v="Pending"/>
    <s v="Admitted"/>
  </r>
  <r>
    <x v="17"/>
    <s v="Diya Reddy"/>
    <n v="33"/>
    <s v="Female"/>
    <s v="Pune"/>
    <x v="3"/>
    <s v="Dr.Unknown"/>
    <d v="2025-09-26T00:00:00"/>
    <d v="2025-10-02T00:00:00"/>
    <s v="Severe Pneumonia"/>
    <s v="Iv Antibiotics"/>
    <n v="345599.6"/>
    <s v="Care Health"/>
    <s v="Unknown"/>
    <s v="Discharged"/>
  </r>
  <r>
    <x v="18"/>
    <s v="Anita Iyer"/>
    <n v="42"/>
    <s v="Unspecified"/>
    <s v="Jaipur"/>
    <x v="6"/>
    <s v="Dr.Sks Marya"/>
    <d v="2025-10-14T00:00:00"/>
    <d v="2025-11-01T00:00:00"/>
    <s v="Lumbar Spondylosis"/>
    <s v="Spinal Decompression"/>
    <n v="192645.57"/>
    <s v="Max Bupa"/>
    <s v="Pending"/>
    <s v="Expired"/>
  </r>
  <r>
    <x v="19"/>
    <s v="Sneha Kumar"/>
    <n v="60"/>
    <s v="Female"/>
    <s v="Chandigarh"/>
    <x v="3"/>
    <s v="Dr.Veena Kalra"/>
    <d v="2025-05-26T00:00:00"/>
    <d v="2025-06-07T00:00:00"/>
    <s v="Severe Pneumonia"/>
    <s v="Iv Antibiotics"/>
    <n v="264892.76"/>
    <s v="Icici Lombard"/>
    <s v="Paid"/>
    <s v="Unknown"/>
  </r>
  <r>
    <x v="20"/>
    <s v="Vikram Patel"/>
    <n v="1"/>
    <s v="Male"/>
    <s v="Hyderabad"/>
    <x v="1"/>
    <s v="Dr.Anoop Misra"/>
    <d v="2025-10-29T00:00:00"/>
    <d v="2025-11-07T00:00:00"/>
    <s v="Unknown"/>
    <s v="Iv Labetalol"/>
    <n v="273333.11"/>
    <s v="Star Health"/>
    <s v="Claim Processing"/>
    <s v="Expired"/>
  </r>
  <r>
    <x v="21"/>
    <s v="Ramesh Nair"/>
    <n v="79"/>
    <s v="Male"/>
    <s v="Bangalore"/>
    <x v="6"/>
    <s v="Dr.Ramneek Mahajan"/>
    <d v="2025-01-06T00:00:00"/>
    <d v="2025-12-23T00:00:00"/>
    <s v="Femur Fracture"/>
    <s v="Internal Fixation"/>
    <n v="222932.36"/>
    <s v="Max Bupa"/>
    <s v="Partially Paid"/>
    <s v="Admitted"/>
  </r>
  <r>
    <x v="22"/>
    <s v="Kavita Singh"/>
    <n v="65"/>
    <s v="Female"/>
    <s v="Chandigarh"/>
    <x v="0"/>
    <s v="Dr.Suresh Advani"/>
    <d v="2025-02-11T00:00:00"/>
    <d v="2025-02-12T00:00:00"/>
    <s v="Lung Adenocarcinoma"/>
    <s v="Unknown"/>
    <n v="83463"/>
    <s v="Hdfc Ergo"/>
    <s v="Claim Processing"/>
    <s v="Expired"/>
  </r>
  <r>
    <x v="23"/>
    <s v="Suresh Iyer"/>
    <n v="65"/>
    <s v="Male"/>
    <s v="Hyderabad"/>
    <x v="2"/>
    <s v="Dr.Mukul Varma"/>
    <d v="2025-01-24T00:00:00"/>
    <d v="2025-02-10T00:00:00"/>
    <s v="Acute Ischemic Stroke"/>
    <s v="Tpa Therapy"/>
    <n v="312331.51"/>
    <s v="Icici Lombard"/>
    <s v="Paid"/>
    <s v="Transferred"/>
  </r>
  <r>
    <x v="24"/>
    <s v="Kabir Singh"/>
    <n v="14"/>
    <s v="Male"/>
    <s v="Hyderabad"/>
    <x v="3"/>
    <s v="Dr.Veena Kalra"/>
    <d v="2025-05-07T00:00:00"/>
    <d v="2025-12-05T00:00:00"/>
    <s v="Acute Bronchiolitis"/>
    <s v="Nebulization &amp; O2 Support"/>
    <n v="42926.97"/>
    <s v="Icici Lombard"/>
    <s v="Paid"/>
    <s v="Discharged Against Medical Advice"/>
  </r>
  <r>
    <x v="25"/>
    <s v="Sneha Iyer"/>
    <n v="38"/>
    <s v="Female"/>
    <s v="Chandigarh"/>
    <x v="4"/>
    <s v="Dr.Ashok Seth"/>
    <d v="2025-04-10T00:00:00"/>
    <d v="2025-03-23T00:00:00"/>
    <s v="Myocardial Infarction"/>
    <s v="Thrombolysis"/>
    <n v="136077.35999999999"/>
    <s v="Care Health"/>
    <s v="Paid"/>
    <s v="Transferred"/>
  </r>
  <r>
    <x v="26"/>
    <s v="Ritu Patel"/>
    <n v="18"/>
    <s v="Female"/>
    <s v="Chennai"/>
    <x v="1"/>
    <s v="Dr.Atul Gogia"/>
    <d v="2025-10-05T00:00:00"/>
    <d v="2025-10-18T00:00:00"/>
    <s v="Unknown"/>
    <s v="Antibiotic Course"/>
    <n v="305300.05"/>
    <s v="None"/>
    <s v="Partially Paid"/>
    <s v="Discharged Against Medical Advice"/>
  </r>
  <r>
    <x v="27"/>
    <s v="Neha Sharma"/>
    <n v="23"/>
    <s v="Female"/>
    <s v="Pune"/>
    <x v="6"/>
    <s v="Dr.Sks Marya"/>
    <d v="2025-01-14T00:00:00"/>
    <d v="2025-02-01T00:00:00"/>
    <s v="Osteoarthritis Knee"/>
    <s v="Total Knee Replacement"/>
    <n v="98162.26"/>
    <s v="Star Health"/>
    <s v="Disputed"/>
    <s v="Discharged Against Medical Advice"/>
  </r>
  <r>
    <x v="28"/>
    <s v="Rajesh Sharma"/>
    <n v="63"/>
    <s v="Male"/>
    <s v="Calcutta"/>
    <x v="0"/>
    <s v="Dr.Vinod Raina"/>
    <d v="2025-06-28T00:00:00"/>
    <d v="2025-12-23T00:00:00"/>
    <s v="Unknown"/>
    <s v="R-Chop Regimen"/>
    <n v="255824.81"/>
    <s v="Hdfc Ergo"/>
    <s v="Claim Processing"/>
    <s v="Admitted"/>
  </r>
  <r>
    <x v="29"/>
    <s v="Ritu Sharma"/>
    <n v="54"/>
    <s v="Female"/>
    <s v="Ahmedabad"/>
    <x v="5"/>
    <s v="Dr.Randhir Sud"/>
    <d v="2025-06-14T00:00:00"/>
    <d v="2025-07-02T00:00:00"/>
    <s v="Gallstones / Cholecystitis"/>
    <s v="Laparoscopic Cholecystectomy"/>
    <n v="121026.07"/>
    <s v="Star Health"/>
    <s v="Paid"/>
    <s v="Discharged Against Medical Advice"/>
  </r>
  <r>
    <x v="30"/>
    <s v="Anjali Nair"/>
    <n v="23"/>
    <s v="Female"/>
    <s v="Pune"/>
    <x v="1"/>
    <s v="Dr.Anoop Misra"/>
    <d v="2025-04-07T00:00:00"/>
    <d v="2025-04-15T00:00:00"/>
    <s v="Dengue Fever With Thrombocytopenia"/>
    <s v="Platelet Support"/>
    <n v="160725.21"/>
    <s v="None / Self Pay"/>
    <s v="Paid"/>
    <s v="Transferred"/>
  </r>
  <r>
    <x v="31"/>
    <s v="Meera Kumar"/>
    <n v="3"/>
    <s v="Female"/>
    <s v="Chandigarh"/>
    <x v="4"/>
    <s v="Dr.Devi Shetty"/>
    <d v="2025-10-23T00:00:00"/>
    <d v="2025-11-01T00:00:00"/>
    <s v="Coronary Artery Disease"/>
    <s v="Angioplasty"/>
    <n v="30598.91"/>
    <s v="Bajaj Allianz"/>
    <s v="Disputed"/>
    <s v="Discharged Against Medical Advice"/>
  </r>
  <r>
    <x v="32"/>
    <s v="Priya Verma"/>
    <n v="55"/>
    <s v="Female"/>
    <s v="Hyderabad"/>
    <x v="2"/>
    <s v="Dr.Mukul Varma"/>
    <d v="2025-06-26T00:00:00"/>
    <d v="2025-06-30T00:00:00"/>
    <s v="Parkinson'S Disease"/>
    <s v="Levodopa Therapy"/>
    <n v="298691.20000000001"/>
    <s v="None / Self Pay"/>
    <s v="Disputed"/>
    <s v="Discharged Against Medical Advice"/>
  </r>
  <r>
    <x v="33"/>
    <s v="Neha Patel"/>
    <n v="47"/>
    <s v="Female"/>
    <s v="Kolkata"/>
    <x v="0"/>
    <s v="Dr.Harit Chaturvedi"/>
    <d v="2025-03-16T00:00:00"/>
    <d v="2025-12-23T00:00:00"/>
    <s v="Colorectal Cancer"/>
    <s v="Colectomy"/>
    <n v="341800.01"/>
    <s v="None / Self Pay"/>
    <s v="Paid"/>
    <s v="Admitted"/>
  </r>
  <r>
    <x v="34"/>
    <s v="Kabir Mehta"/>
    <n v="27"/>
    <s v="Male"/>
    <s v="Hyderabad"/>
    <x v="6"/>
    <s v="Dr.Harshavardhan Hegde"/>
    <d v="2025-07-30T00:00:00"/>
    <d v="2025-08-14T00:00:00"/>
    <s v="Lumbar Spondylosis"/>
    <s v="Spinal Decompression"/>
    <n v="153551.82"/>
    <s v="Care Health"/>
    <s v="Paid"/>
    <s v="Discharged"/>
  </r>
  <r>
    <x v="35"/>
    <s v="Manoj Joshi"/>
    <n v="71"/>
    <s v="Male"/>
    <s v="Chandigarh"/>
    <x v="3"/>
    <s v="Dr.Arvind Bagga"/>
    <d v="2025-10-30T00:00:00"/>
    <d v="2025-07-11T00:00:00"/>
    <s v="Neonatal Jaundice"/>
    <s v="Phototherapy"/>
    <n v="166546.48000000001"/>
    <s v="Star Health"/>
    <s v="Disputed"/>
    <s v="Expired"/>
  </r>
  <r>
    <x v="36"/>
    <s v="Manoj Kumar"/>
    <n v="18"/>
    <s v="Male"/>
    <s v="Bangalore"/>
    <x v="6"/>
    <s v="Dr.Sks Marya"/>
    <d v="2025-09-05T00:00:00"/>
    <d v="2025-09-06T00:00:00"/>
    <s v="Lumbar Spondylosis"/>
    <s v="Spinal Decompression"/>
    <n v="104991.88"/>
    <s v="Bajaj Allianz"/>
    <s v="Claim Processing"/>
    <s v="Discharged"/>
  </r>
  <r>
    <x v="37"/>
    <s v="Deepak_Singh"/>
    <n v="19"/>
    <s v="Male"/>
    <s v="Pune"/>
    <x v="2"/>
    <s v="Dr.P. N. Renjen"/>
    <d v="2025-04-25T00:00:00"/>
    <d v="2025-05-02T00:00:00"/>
    <s v="Parkinson'S Disease"/>
    <s v="Levodopa Therapy"/>
    <n v="158630.85"/>
    <s v="Icici Lombard"/>
    <s v="Partially Paid"/>
    <s v="Unknown"/>
  </r>
  <r>
    <x v="38"/>
    <s v="Sunita Gupta"/>
    <n v="20"/>
    <s v="Female"/>
    <s v="Hyderabad"/>
    <x v="5"/>
    <s v="Dr.Randhir Sud"/>
    <d v="2025-11-29T00:00:00"/>
    <d v="2025-12-23T00:00:00"/>
    <s v="Gallstones / Cholecystitis"/>
    <s v="Laparoscopic Cholecystectomy"/>
    <n v="259400.48"/>
    <s v="Icici Lombard"/>
    <s v="Pending"/>
    <s v="Admitted"/>
  </r>
  <r>
    <x v="39"/>
    <s v="Ramesh Bose"/>
    <n v="62"/>
    <s v="Male"/>
    <s v="Kolkata"/>
    <x v="0"/>
    <s v="Dr.Vinod Raina"/>
    <d v="2025-03-31T00:00:00"/>
    <d v="2025-12-23T00:00:00"/>
    <s v="Breast Carcinoma"/>
    <s v="Chemotherapy &amp; Lumpectomy"/>
    <n v="6330.59"/>
    <s v="Max Bupa"/>
    <s v="Disputed"/>
    <s v="Admitted"/>
  </r>
  <r>
    <x v="40"/>
    <s v="Meera Patel"/>
    <n v="4"/>
    <s v="Female"/>
    <s v="Mumbai"/>
    <x v="3"/>
    <s v="Dr.Arvind Bagga"/>
    <d v="2025-07-07T00:00:00"/>
    <d v="2025-12-23T00:00:00"/>
    <s v="Acute Bronchiolitis"/>
    <s v="Nebulization &amp; O2 Support"/>
    <n v="117856.84"/>
    <s v="Hdfc Ergo"/>
    <s v="Paid"/>
    <s v="Transferred"/>
  </r>
  <r>
    <x v="41"/>
    <s v="Manoj Bose"/>
    <n v="56"/>
    <s v="Male"/>
    <s v="Jaipur"/>
    <x v="2"/>
    <s v="Dr.P. N. Renjen"/>
    <d v="2025-01-13T00:00:00"/>
    <d v="2025-12-23T00:00:00"/>
    <s v="Parkinson'S Disease"/>
    <s v="Levodopa Therapy"/>
    <n v="135291.62"/>
    <s v="Hdfc Ergo"/>
    <s v="Claim Processing"/>
    <s v="Admitted"/>
  </r>
  <r>
    <x v="42"/>
    <s v="Ananya Reddy"/>
    <n v="71"/>
    <s v="Female"/>
    <s v="Bangalore"/>
    <x v="4"/>
    <s v="Dr.Naresh Trehan"/>
    <d v="2025-03-20T00:00:00"/>
    <d v="2025-03-31T00:00:00"/>
    <s v="Coronary Artery Disease"/>
    <s v="Angioplasty"/>
    <n v="274287.35999999999"/>
    <s v="Care Health"/>
    <s v="Pending"/>
    <s v="Transferred"/>
  </r>
  <r>
    <x v="43"/>
    <s v="Ramesh Verma"/>
    <n v="37"/>
    <s v="Male"/>
    <s v="Kolkata"/>
    <x v="7"/>
    <s v="Dr.Atul Gogia"/>
    <d v="2025-01-04T00:00:00"/>
    <d v="2025-12-23T00:00:00"/>
    <s v="Dengue Fever With Thrombocytopenia"/>
    <s v="Platelet Support"/>
    <n v="133136.07999999999"/>
    <s v="Max Bupa"/>
    <s v="Pending"/>
    <s v="Admitted"/>
  </r>
  <r>
    <x v="44"/>
    <s v="Neha Singh"/>
    <n v="38"/>
    <s v="Unspecified"/>
    <s v="Chandigarh"/>
    <x v="2"/>
    <s v="Dr.Sushil Razdan"/>
    <d v="2025-08-20T00:00:00"/>
    <d v="2025-08-31T00:00:00"/>
    <s v="Acute Ischemic Stroke"/>
    <s v="Tpa Therapy"/>
    <n v="301763.98"/>
    <s v="Bajaj Allianz"/>
    <s v="Pending"/>
    <s v="Discharged Against Medical Advice"/>
  </r>
  <r>
    <x v="45"/>
    <s v="Rohan Patel"/>
    <n v="18"/>
    <s v="Male"/>
    <s v="Mumbai"/>
    <x v="1"/>
    <s v="Dr.R. K. Singhal"/>
    <d v="2025-12-19T00:00:00"/>
    <d v="2026-01-01T00:00:00"/>
    <s v="Hypertensive Crisis"/>
    <s v="Iv Labetalol"/>
    <n v="40000"/>
    <s v="None / Self Pay"/>
    <s v="Paid"/>
    <s v="Discharged Against Medical Advice"/>
  </r>
  <r>
    <x v="46"/>
    <s v="Sunita Nair"/>
    <n v="18"/>
    <s v="Female"/>
    <s v="Mumbai"/>
    <x v="1"/>
    <s v="Dr.Anoop Misra"/>
    <d v="2025-08-21T00:00:00"/>
    <d v="2025-08-28T00:00:00"/>
    <s v="Dengue Fever With Thrombocytopenia"/>
    <s v="Platelet Support"/>
    <n v="20999.67"/>
    <s v="Bajaj Allianz"/>
    <s v="Claim Processing"/>
    <s v="Expired"/>
  </r>
  <r>
    <x v="47"/>
    <s v="Unknown"/>
    <n v="72"/>
    <s v="Female"/>
    <s v="Unknown"/>
    <x v="0"/>
    <s v="Dr.Harit Chaturvedi"/>
    <d v="2025-08-11T00:00:00"/>
    <d v="2025-08-25T00:00:00"/>
    <s v="Lymphoma"/>
    <s v="R-Chop Regimen"/>
    <n v="269850.53999999998"/>
    <s v="Hdfc Ergo"/>
    <s v="Partially Paid"/>
    <s v="Expired"/>
  </r>
  <r>
    <x v="48"/>
    <s v="Aarav Bose"/>
    <n v="32"/>
    <s v="Male"/>
    <s v="Chennai"/>
    <x v="2"/>
    <s v="Dr.Unknown"/>
    <d v="2025-05-07T00:00:00"/>
    <d v="2025-12-23T00:00:00"/>
    <s v="Epilepsy"/>
    <s v="Anticonvulsant Therapy"/>
    <n v="29938.95"/>
    <s v="Unknown"/>
    <s v="Paid"/>
    <s v="Admitted"/>
  </r>
  <r>
    <x v="49"/>
    <s v="Sneha Joshi"/>
    <n v="77"/>
    <s v="Female"/>
    <s v="Ahmedabad"/>
    <x v="6"/>
    <s v="Dr.Sks Marya"/>
    <d v="2025-03-31T00:00:00"/>
    <d v="2025-04-03T00:00:00"/>
    <s v="Lumbar Spondylosis"/>
    <s v="Spinal Decompression"/>
    <n v="146946.73000000001"/>
    <s v="Care Health"/>
    <s v="Paid"/>
    <s v="Discharged Against Medical Advice"/>
  </r>
  <r>
    <x v="50"/>
    <s v="Anjali Verma"/>
    <n v="8"/>
    <s v="Female"/>
    <s v="Pune"/>
    <x v="3"/>
    <s v="Dr.Arvind Bagga"/>
    <d v="2025-07-16T00:00:00"/>
    <d v="2025-07-24T00:00:00"/>
    <s v="Neonatal Jaundice"/>
    <s v="Phototherapy"/>
    <n v="340423.43"/>
    <s v="Icici Lombard"/>
    <s v="Claim Processing"/>
    <s v="Discharged"/>
  </r>
  <r>
    <x v="51"/>
    <s v="Unknown"/>
    <n v="18"/>
    <s v="Male"/>
    <s v="Jaipur"/>
    <x v="1"/>
    <s v="Dr.Atul Gogia"/>
    <d v="2025-07-13T00:00:00"/>
    <d v="2025-07-19T00:00:00"/>
    <s v="Dengue Fever With Thrombocytopenia"/>
    <s v="Platelet Support"/>
    <n v="343098.9"/>
    <s v="Bajaj Allianz"/>
    <s v="Claim Processing"/>
    <s v="Discharged Against Medical Advice"/>
  </r>
  <r>
    <x v="52"/>
    <s v="Aarav Bose"/>
    <n v="36"/>
    <s v="Male"/>
    <s v="Hyderabad"/>
    <x v="7"/>
    <s v="Dr.Atul Gogia"/>
    <d v="2025-07-15T00:00:00"/>
    <d v="2025-12-23T00:00:00"/>
    <s v="Dengue Fever With Thrombocytopenia"/>
    <s v="Platelet Support"/>
    <n v="66896.94"/>
    <s v="Max Bupa"/>
    <s v="Partially Paid"/>
    <s v="Admitted"/>
  </r>
  <r>
    <x v="53"/>
    <s v="Priya Nair"/>
    <n v="36"/>
    <s v="Female"/>
    <s v="Unknown"/>
    <x v="0"/>
    <s v="Dr.Suresh Advani"/>
    <d v="2025-07-04T00:00:00"/>
    <d v="2025-07-21T00:00:00"/>
    <s v="Lung Adenocarcinoma"/>
    <s v="Unknown"/>
    <n v="285194.14"/>
    <s v="Care Health"/>
    <s v="Claim Processing"/>
    <s v="Transferred"/>
  </r>
  <r>
    <x v="54"/>
    <s v="Meera Mehta"/>
    <n v="37"/>
    <s v="Unspecified"/>
    <s v="Kolkata"/>
    <x v="2"/>
    <s v="Dr.Sushil Razdan"/>
    <d v="2025-01-25T00:00:00"/>
    <d v="2025-01-02T00:00:00"/>
    <s v="Migraine Chronic"/>
    <s v="Unknown"/>
    <n v="177019.16"/>
    <s v="Hdfc Ergo"/>
    <s v="Claim Processing"/>
    <s v="Discharged Against Medical Advice"/>
  </r>
  <r>
    <x v="55"/>
    <s v="Kabir Verma"/>
    <n v="5"/>
    <s v="Male"/>
    <s v="Ahmedabad"/>
    <x v="4"/>
    <s v="Dr.Naresh Trehan"/>
    <d v="2025-05-25T00:00:00"/>
    <d v="2025-12-23T00:00:00"/>
    <s v="Coronary Artery Disease"/>
    <s v="Angioplasty"/>
    <n v="303411.21999999997"/>
    <s v="Star Health"/>
    <s v="Paid"/>
    <s v="Admitted"/>
  </r>
  <r>
    <x v="56"/>
    <s v="Amit Nair"/>
    <n v="42"/>
    <s v="Male"/>
    <s v="Kolkata"/>
    <x v="0"/>
    <s v="Dr.Unknown"/>
    <d v="2025-11-01T00:00:00"/>
    <d v="2025-01-22T00:00:00"/>
    <s v="Lung Adenocarcinoma"/>
    <s v="Targeted Therapy"/>
    <n v="276272.88"/>
    <s v="Max Bupa"/>
    <s v="Claim Processing"/>
    <s v="Discharged Against Medical Advice"/>
  </r>
  <r>
    <x v="57"/>
    <s v="Priya Sharma"/>
    <n v="2"/>
    <s v="Female"/>
    <s v="Chennai"/>
    <x v="0"/>
    <s v="Dr.Vinod Raina"/>
    <d v="2025-10-01T00:00:00"/>
    <d v="2025-02-10T00:00:00"/>
    <s v="Lung Adenocarcinoma"/>
    <s v="Targeted Therapy"/>
    <n v="154201.07"/>
    <s v="Icici Lombard"/>
    <s v="Paid"/>
    <s v="Discharged Against Medical Advice"/>
  </r>
  <r>
    <x v="58"/>
    <s v="Ramesh Gupta"/>
    <n v="32"/>
    <s v="Male"/>
    <s v="Mumbai"/>
    <x v="0"/>
    <s v="Dr.Harit Chaturvedi"/>
    <d v="2025-05-27T00:00:00"/>
    <d v="2025-06-06T00:00:00"/>
    <s v="Lymphoma"/>
    <s v="R-Chop Regimen"/>
    <n v="229647.94"/>
    <s v="Hdfc Ergo"/>
    <s v="Partially Paid"/>
    <s v="Discharged"/>
  </r>
  <r>
    <x v="59"/>
    <s v="Pooja Bose"/>
    <n v="1"/>
    <s v="Female"/>
    <s v="Chennai"/>
    <x v="3"/>
    <s v="Dr.Krishan Chugh"/>
    <d v="2025-11-18T00:00:00"/>
    <d v="2025-11-24T00:00:00"/>
    <s v="Severe Pneumonia"/>
    <s v="Iv Antibiotics"/>
    <n v="144977.74"/>
    <s v="Care Health"/>
    <s v="Partially Paid"/>
    <s v="Discharged"/>
  </r>
  <r>
    <x v="60"/>
    <s v="Suresh Mehta"/>
    <n v="31"/>
    <s v="Male"/>
    <s v="Kolkata"/>
    <x v="1"/>
    <s v="Dr.Atul Gogia"/>
    <d v="2025-01-04T00:00:00"/>
    <d v="2025-09-01T00:00:00"/>
    <s v="Hypertensive Crisis"/>
    <s v="Iv Labetalol"/>
    <n v="33830.339999999997"/>
    <s v="Max Bupa"/>
    <s v="Claim Processing"/>
    <s v="Expired"/>
  </r>
  <r>
    <x v="61"/>
    <s v="Deepak Kumar"/>
    <n v="73"/>
    <s v="Unspecified"/>
    <s v="Chandigarh"/>
    <x v="0"/>
    <s v="Dr.Suresh Advani"/>
    <d v="2025-12-04T00:00:00"/>
    <d v="2025-04-22T00:00:00"/>
    <s v="Lymphoma"/>
    <s v="R-Chop Regimen"/>
    <n v="19666.78"/>
    <s v="Care Health"/>
    <s v="Claim Processing"/>
    <s v="Discharged"/>
  </r>
  <r>
    <x v="62"/>
    <s v="Suresh Singh"/>
    <n v="11"/>
    <s v="Male"/>
    <s v="Kolkata"/>
    <x v="0"/>
    <s v="Dr.Harit Chaturvedi"/>
    <d v="2025-09-28T00:00:00"/>
    <d v="2025-10-08T00:00:00"/>
    <s v="Lymphoma"/>
    <s v="R-Chop Regimen"/>
    <n v="320565.07"/>
    <s v="Icici Lombard"/>
    <s v="Claim Processing"/>
    <s v="Expired"/>
  </r>
  <r>
    <x v="63"/>
    <s v="Ritu Mehta"/>
    <n v="47"/>
    <s v="Female"/>
    <s v="Chandigarh"/>
    <x v="5"/>
    <s v="Dr.Subhash Gupta"/>
    <d v="2025-10-19T00:00:00"/>
    <d v="2025-10-31T00:00:00"/>
    <s v="Acute Pancreatitis"/>
    <s v="Conservative Management"/>
    <n v="230031.26"/>
    <s v="None"/>
    <s v="Partially Paid"/>
    <s v="Discharged"/>
  </r>
  <r>
    <x v="64"/>
    <s v="Pooja Joshi"/>
    <n v="78"/>
    <s v="Female"/>
    <s v="Chandigarh"/>
    <x v="4"/>
    <s v="Dr.Unknown"/>
    <d v="2025-05-10T00:00:00"/>
    <d v="2025-05-18T00:00:00"/>
    <s v="Arrhythmia"/>
    <s v="Pacemaker Implantation"/>
    <n v="258859.27"/>
    <s v="None / Self Pay"/>
    <s v="Pending"/>
    <s v="Discharged"/>
  </r>
  <r>
    <x v="65"/>
    <s v="Rajesh Iyer"/>
    <n v="40"/>
    <s v="Male"/>
    <s v="Jaipur"/>
    <x v="2"/>
    <s v="Dr.P. N. Renjen"/>
    <d v="2025-09-28T00:00:00"/>
    <d v="2025-10-10T00:00:00"/>
    <s v="Epilepsy"/>
    <s v="Anticonvulsant Therapy"/>
    <n v="133462.39999999999"/>
    <s v="Star Health"/>
    <s v="Partially Paid"/>
    <s v="Discharged"/>
  </r>
  <r>
    <x v="66"/>
    <s v="Aarav Verma"/>
    <n v="18"/>
    <s v="Male"/>
    <s v="Bangalore"/>
    <x v="3"/>
    <s v="Dr.Veena Kalra"/>
    <d v="2025-08-13T00:00:00"/>
    <d v="2025-12-23T00:00:00"/>
    <s v="Viral Gastroenteritis"/>
    <s v="Iv Fluids &amp; Electrolytes"/>
    <n v="326064.67"/>
    <s v="Unknown"/>
    <s v="Disputed"/>
    <s v="Admitted"/>
  </r>
  <r>
    <x v="67"/>
    <s v="Ritu Bose"/>
    <n v="16"/>
    <s v="Female"/>
    <s v="Delhi"/>
    <x v="5"/>
    <s v="Dr.Subhash Gupta"/>
    <d v="2025-09-12T00:00:00"/>
    <d v="2025-09-29T00:00:00"/>
    <s v="Peptic Ulcer Bleeding"/>
    <s v="Endoscopic Banding"/>
    <n v="63936.59"/>
    <s v="Bajaj Allianz"/>
    <s v="Partially Paid"/>
    <s v="Discharged Against Medical Advice"/>
  </r>
  <r>
    <x v="68"/>
    <s v="Sunita Gupta"/>
    <n v="43"/>
    <s v="Female"/>
    <s v="Pune"/>
    <x v="1"/>
    <s v="Dr.R. K. Singhal"/>
    <d v="2025-12-20T00:00:00"/>
    <d v="2025-12-31T00:00:00"/>
    <s v="Unknown"/>
    <s v="Iv Labetalol"/>
    <n v="240187.3"/>
    <s v="Star Health"/>
    <s v="Partially Paid"/>
    <s v="Discharged"/>
  </r>
  <r>
    <x v="69"/>
    <s v="Kavita Iyer"/>
    <n v="76"/>
    <s v="Female"/>
    <s v="Chandigarh"/>
    <x v="2"/>
    <s v="Dr.Mukul Varma"/>
    <d v="2025-02-12T00:00:00"/>
    <d v="2025-02-17T00:00:00"/>
    <s v="Migraine Chronic"/>
    <s v="Botox Injection &amp; Triptans"/>
    <n v="307755.56"/>
    <s v="Bajaj Allianz"/>
    <s v="Disputed"/>
    <s v="Expired"/>
  </r>
  <r>
    <x v="70"/>
    <s v="Deepak Iyer"/>
    <n v="58"/>
    <s v="Male"/>
    <s v="Chennai"/>
    <x v="6"/>
    <s v="Dr.Sks Marya"/>
    <d v="2025-10-18T00:00:00"/>
    <d v="2025-11-03T00:00:00"/>
    <s v="Osteoarthritis Knee"/>
    <s v="Total Knee Replacement"/>
    <n v="347786.26"/>
    <s v="Bajaj Allianz"/>
    <s v="Pending"/>
    <s v="Expired"/>
  </r>
  <r>
    <x v="71"/>
    <s v="Pooja Reddy"/>
    <n v="85"/>
    <s v="Female"/>
    <s v="Chennai"/>
    <x v="5"/>
    <s v="Dr.Govind Makharia"/>
    <d v="2025-06-17T00:00:00"/>
    <d v="2025-12-23T00:00:00"/>
    <s v="Unknown"/>
    <s v="Endoscopic Banding"/>
    <n v="281096.51"/>
    <s v="Star Health"/>
    <s v="Claim Processing"/>
    <s v="Discharged"/>
  </r>
  <r>
    <x v="72"/>
    <s v="Ritu Sharma"/>
    <n v="70"/>
    <s v="Female"/>
    <s v="Mumbai"/>
    <x v="5"/>
    <s v="Dr.Randhir Sud"/>
    <d v="2025-05-23T00:00:00"/>
    <d v="2025-05-31T00:00:00"/>
    <s v="Liver Cirrhosis"/>
    <s v="Paracentesis &amp; Diuretics"/>
    <n v="339192.39"/>
    <s v="Bajaj Allianz"/>
    <s v="Claim Processing"/>
    <s v="Discharged"/>
  </r>
  <r>
    <x v="73"/>
    <s v="Aarav Bose"/>
    <n v="38"/>
    <s v="Unspecified"/>
    <s v="Bangalore"/>
    <x v="5"/>
    <s v="Dr.Subhash Gupta"/>
    <d v="2025-09-16T00:00:00"/>
    <d v="2025-09-29T00:00:00"/>
    <s v="Acute Pancreatitis"/>
    <s v="Conservative Management"/>
    <n v="84421.63"/>
    <s v="Care Health"/>
    <s v="Partially Paid"/>
    <s v="Transferred"/>
  </r>
  <r>
    <x v="74"/>
    <s v="Priya Nair"/>
    <n v="49"/>
    <s v="Female"/>
    <s v="Hyderabad"/>
    <x v="2"/>
    <s v="Dr.Unknown"/>
    <d v="2025-08-05T00:00:00"/>
    <d v="2025-08-18T00:00:00"/>
    <s v="Epilepsy"/>
    <s v="Anticonvulsant Therapy"/>
    <n v="245228.63"/>
    <s v="None / Self Pay"/>
    <s v="Disputed"/>
    <s v="Transferred"/>
  </r>
  <r>
    <x v="75"/>
    <s v="Diya Joshi"/>
    <n v="72"/>
    <s v="Female"/>
    <s v="Jaipur"/>
    <x v="0"/>
    <s v="Dr.Suresh Advani"/>
    <d v="2025-05-23T00:00:00"/>
    <d v="2025-06-05T00:00:00"/>
    <s v="Breast Carcinoma"/>
    <s v="Chemotherapy &amp; Lumpectomy"/>
    <n v="20469.05"/>
    <s v="Bajaj Allianz"/>
    <s v="Partially Paid"/>
    <s v="Discharged"/>
  </r>
  <r>
    <x v="76"/>
    <s v="Priya Reddy"/>
    <n v="54"/>
    <s v="Female"/>
    <s v="Hyderabad"/>
    <x v="7"/>
    <s v="Dr.Unknown"/>
    <d v="2025-04-28T00:00:00"/>
    <d v="2025-05-13T00:00:00"/>
    <s v="Acute Pancreatitis"/>
    <s v="Conservative Management"/>
    <n v="-60490.93"/>
    <s v="Unknown"/>
    <s v="Claim Processing"/>
    <s v="Discharged Against Medical Advice"/>
  </r>
  <r>
    <x v="77"/>
    <s v="Ramesh Mehta"/>
    <n v="68"/>
    <s v="Male"/>
    <s v="Kolkata"/>
    <x v="5"/>
    <s v="Dr.Randhir Sud"/>
    <d v="2025-06-01T00:00:00"/>
    <d v="2025-01-17T00:00:00"/>
    <s v="Peptic Ulcer Bleeding"/>
    <s v="Endoscopic Banding"/>
    <n v="140940.70000000001"/>
    <s v="Hdfc Ergo"/>
    <s v="Paid"/>
    <s v="Expired"/>
  </r>
  <r>
    <x v="78"/>
    <s v="Deepak Mehta"/>
    <n v="16"/>
    <s v="Male"/>
    <s v="Kolkata"/>
    <x v="5"/>
    <s v="Dr.Randhir Sud"/>
    <d v="2025-04-04T00:00:00"/>
    <d v="2025-04-16T00:00:00"/>
    <s v="Gallstones / Cholecystitis"/>
    <s v="Laparoscopic Cholecystectomy"/>
    <n v="13022.92"/>
    <s v="Max Bupa"/>
    <s v="Partially Paid"/>
    <s v="Discharged Against Medical Advice"/>
  </r>
  <r>
    <x v="79"/>
    <s v="Deepak Singh"/>
    <n v="44"/>
    <s v="Male"/>
    <s v="Bangalore"/>
    <x v="6"/>
    <s v="Dr.Sks Marya"/>
    <d v="2025-10-10T00:00:00"/>
    <d v="2025-10-16T00:00:00"/>
    <s v="Rotator Cuff Tear"/>
    <s v="Arthroscopic Repair"/>
    <n v="218150.25"/>
    <s v="Care Health"/>
    <s v="Disputed"/>
    <s v="Expired"/>
  </r>
  <r>
    <x v="80"/>
    <s v="Ananya Reddy"/>
    <n v="46"/>
    <s v="Female"/>
    <s v="Kolkata"/>
    <x v="5"/>
    <s v="Dr.Subhash Gupta"/>
    <d v="2025-10-12T00:00:00"/>
    <d v="2025-12-23T00:00:00"/>
    <s v="Gallstones / Cholecystitis"/>
    <s v="Laparoscopic Cholecystectomy"/>
    <n v="164587.4"/>
    <s v="Care Health"/>
    <s v="Partially Paid"/>
    <s v="Admitted"/>
  </r>
  <r>
    <x v="81"/>
    <s v="Priya Bose"/>
    <n v="35"/>
    <s v="Female"/>
    <s v="Hyderabad"/>
    <x v="6"/>
    <s v="Dr.Ramneek Mahajan"/>
    <d v="2025-06-20T00:00:00"/>
    <d v="2025-12-23T00:00:00"/>
    <s v="Femur Fracture"/>
    <s v="Internal Fixation"/>
    <n v="110184.01"/>
    <s v="Bajaj Allianz"/>
    <s v="Claim Processing"/>
    <s v="Unknown"/>
  </r>
  <r>
    <x v="82"/>
    <s v="Ananya Kumar"/>
    <n v="83"/>
    <s v="Female"/>
    <s v="Chandigarh"/>
    <x v="4"/>
    <s v="Dr.Ashok Seth"/>
    <d v="2025-02-03T00:00:00"/>
    <d v="2025-01-31T00:00:00"/>
    <s v="Arrhythmia"/>
    <s v="Pacemaker Implantation"/>
    <n v="342473.08"/>
    <s v="Unknown"/>
    <s v="Paid"/>
    <s v="Discharged"/>
  </r>
  <r>
    <x v="83"/>
    <s v="Anjali Kumar"/>
    <n v="19"/>
    <s v="Female"/>
    <s v="Ahmedabad"/>
    <x v="0"/>
    <s v="Dr.Harit Chaturvedi"/>
    <d v="2025-05-30T00:00:00"/>
    <d v="2025-06-08T00:00:00"/>
    <s v="Breast Carcinoma"/>
    <s v="Chemotherapy &amp; Lumpectomy"/>
    <n v="120795.08"/>
    <s v="Max Bupa"/>
    <s v="Unknown"/>
    <s v="Discharged"/>
  </r>
  <r>
    <x v="84"/>
    <s v="Kavita Iyer"/>
    <n v="51"/>
    <s v="Female"/>
    <s v="Bangalore"/>
    <x v="4"/>
    <s v="Dr.Naresh Trehan"/>
    <d v="2025-03-04T00:00:00"/>
    <d v="2025-03-15T00:00:00"/>
    <s v="Myocardial Infarction"/>
    <s v="Thrombolysis"/>
    <n v="267080.71000000002"/>
    <s v="Star Health"/>
    <s v="Disputed"/>
    <s v="Discharged Against Medical Advice"/>
  </r>
  <r>
    <x v="85"/>
    <s v="Diya Joshi"/>
    <n v="8"/>
    <s v="Female"/>
    <s v="Kolkata"/>
    <x v="7"/>
    <s v="Dr.P. N. Renjen"/>
    <d v="2025-08-29T00:00:00"/>
    <d v="2025-09-05T00:00:00"/>
    <s v="Acute Ischemic Stroke"/>
    <s v="Tpa Therapy"/>
    <n v="274996.57"/>
    <s v="Hdfc Ergo"/>
    <s v="Paid"/>
    <s v="Discharged"/>
  </r>
  <r>
    <x v="9"/>
    <s v="Amit Iyer"/>
    <n v="5"/>
    <s v="Male"/>
    <s v="Pune"/>
    <x v="0"/>
    <s v="Dr.Vinod Raina"/>
    <d v="2025-01-15T00:00:00"/>
    <d v="2025-12-23T00:00:00"/>
    <s v="Lymphoma"/>
    <s v="R-Chop Regimen"/>
    <n v="319520.46999999997"/>
    <s v="Icici Lombard"/>
    <s v="Disputed"/>
    <s v="Admitted"/>
  </r>
  <r>
    <x v="86"/>
    <s v="Vihaan Gupta"/>
    <n v="26"/>
    <s v="Male"/>
    <s v="Jaipur"/>
    <x v="3"/>
    <s v="Dr.Arvind Bagga"/>
    <d v="2025-10-16T00:00:00"/>
    <d v="2025-11-03T00:00:00"/>
    <s v="Viral Gastroenteritis"/>
    <s v="Iv Fluids &amp; Electrolytes"/>
    <n v="171035.99"/>
    <s v="Care Health"/>
    <s v="Paid"/>
    <s v="Discharged Against Medical Advice"/>
  </r>
  <r>
    <x v="87"/>
    <s v="Kabir_Mehta"/>
    <n v="56"/>
    <s v="Male"/>
    <s v="Chandigarh"/>
    <x v="6"/>
    <s v="Dr.Harshavardhan Hegde"/>
    <d v="2025-03-30T00:00:00"/>
    <d v="2025-04-16T00:00:00"/>
    <s v="Femur Fracture"/>
    <s v="Internal Fixation"/>
    <n v="185136.82"/>
    <s v="Icici Lombard"/>
    <s v="Disputed"/>
    <s v="Unknown"/>
  </r>
  <r>
    <x v="88"/>
    <s v="Manoj Kumar"/>
    <n v="48"/>
    <s v="Male"/>
    <s v="Mumbai"/>
    <x v="2"/>
    <s v="Dr.Mukul Varma"/>
    <d v="2025-06-23T00:00:00"/>
    <d v="2025-07-07T00:00:00"/>
    <s v="Parkinson'S Disease"/>
    <s v="Unknown"/>
    <n v="94467.58"/>
    <s v="None / Self Pay"/>
    <s v="Disputed"/>
    <s v="Expired"/>
  </r>
  <r>
    <x v="89"/>
    <s v="Manoj Patel"/>
    <n v="25"/>
    <s v="Male"/>
    <s v="Jaipur"/>
    <x v="0"/>
    <s v="Dr.Vinod Raina"/>
    <d v="2025-06-06T00:00:00"/>
    <d v="2025-06-15T00:00:00"/>
    <s v="Lymphoma"/>
    <s v="R-Chop Regimen"/>
    <n v="20656.7"/>
    <s v="Care Health"/>
    <s v="Disputed"/>
    <s v="Discharged"/>
  </r>
  <r>
    <x v="90"/>
    <s v="Diya_Singh"/>
    <n v="53"/>
    <s v="Female"/>
    <s v="Delhi"/>
    <x v="6"/>
    <s v="Dr.Harshavardhan Hegde"/>
    <d v="2025-01-01T00:00:00"/>
    <d v="2025-01-05T00:00:00"/>
    <s v="Osteoarthritis Knee"/>
    <s v="Total Knee Replacement"/>
    <n v="181016.57"/>
    <s v="Star Health"/>
    <s v="Pending"/>
    <s v="Expired"/>
  </r>
  <r>
    <x v="91"/>
    <s v="Vihaan Singh"/>
    <n v="82"/>
    <s v="Male"/>
    <s v="Delhi"/>
    <x v="3"/>
    <s v="Dr.Arvind Bagga"/>
    <d v="2025-03-21T00:00:00"/>
    <d v="2025-04-04T00:00:00"/>
    <s v="Neonatal Jaundice"/>
    <s v="Phototherapy"/>
    <n v="309912.63"/>
    <s v="Star Health"/>
    <s v="Partially Paid"/>
    <s v="Discharged"/>
  </r>
  <r>
    <x v="92"/>
    <s v="Kavita Verma"/>
    <n v="27"/>
    <s v="Female"/>
    <s v="Bangalore"/>
    <x v="5"/>
    <s v="Dr.Subhash Gupta"/>
    <d v="2025-08-29T00:00:00"/>
    <d v="2025-12-23T00:00:00"/>
    <s v="Acute Pancreatitis"/>
    <s v="Conservative Management"/>
    <n v="141900.42000000001"/>
    <s v="N/A"/>
    <s v="Claim Processing"/>
    <s v="Unknown"/>
  </r>
  <r>
    <x v="93"/>
    <s v="Priya Gupta"/>
    <n v="59"/>
    <s v="Female"/>
    <s v="Bangalore"/>
    <x v="2"/>
    <s v="Dr.Sushil Razdan"/>
    <d v="2025-12-06T00:00:00"/>
    <d v="2025-12-23T00:00:00"/>
    <s v="Acute Ischemic Stroke"/>
    <s v="Tpa Therapy"/>
    <n v="68547.92"/>
    <s v="Bajaj Allianz"/>
    <s v="Partially Paid"/>
    <s v="Discharged"/>
  </r>
  <r>
    <x v="94"/>
    <s v="Rajesh Joshi"/>
    <n v="52"/>
    <s v="Male"/>
    <s v="Chandigarh"/>
    <x v="3"/>
    <s v="Dr.Krishan Chugh"/>
    <d v="2025-02-03T00:00:00"/>
    <d v="2025-02-12T00:00:00"/>
    <s v="Viral Gastroenteritis"/>
    <s v="Iv Fluids &amp; Electrolytes"/>
    <n v="88870.79"/>
    <s v="Care Health"/>
    <s v="Disputed"/>
    <s v="Expired"/>
  </r>
  <r>
    <x v="95"/>
    <s v="Vikram Nair"/>
    <n v="160"/>
    <s v="Male"/>
    <s v="Chandigarh"/>
    <x v="0"/>
    <s v="Dr.Suresh Advani"/>
    <d v="2025-01-14T00:00:00"/>
    <d v="2025-01-22T00:00:00"/>
    <s v="Breast Carcinoma"/>
    <s v="Chemotherapy &amp; Lumpectomy"/>
    <n v="221590.42"/>
    <s v="None / Self Pay"/>
    <s v="Paid"/>
    <s v="Discharged"/>
  </r>
  <r>
    <x v="96"/>
    <s v="Vihaan Reddy"/>
    <n v="26"/>
    <s v="Male"/>
    <s v="Delhi"/>
    <x v="2"/>
    <s v="Dr.P. N. Renjen"/>
    <d v="2025-03-23T00:00:00"/>
    <d v="2025-12-23T00:00:00"/>
    <s v="Migraine Chronic"/>
    <s v="Botox Injection &amp; Triptans"/>
    <n v="211178.03"/>
    <s v="None / Self Pay"/>
    <s v="Claim Processing"/>
    <s v="Admitted"/>
  </r>
  <r>
    <x v="9"/>
    <s v="Anjali Nair"/>
    <n v="10"/>
    <s v="Female"/>
    <s v="Chennai"/>
    <x v="6"/>
    <s v="Dr.Sks Marya"/>
    <d v="2025-04-10T00:00:00"/>
    <d v="2025-09-12T00:00:00"/>
    <s v="Osteoarthritis Knee"/>
    <s v="Total Knee Replacement"/>
    <n v="99999999"/>
    <s v="N/A"/>
    <s v="Disputed"/>
    <s v="Expired"/>
  </r>
  <r>
    <x v="97"/>
    <s v="Kavita Bose"/>
    <n v="11"/>
    <s v="Female"/>
    <s v="Pune"/>
    <x v="2"/>
    <s v="Dr.Sushil Razdan"/>
    <d v="2025-11-04T00:00:00"/>
    <d v="2025-11-15T00:00:00"/>
    <s v="Acute Ischemic Stroke"/>
    <s v="Tpa Therapy"/>
    <n v="286748.51"/>
    <s v="Hdfc Ergo"/>
    <s v="Paid"/>
    <s v="Expired"/>
  </r>
  <r>
    <x v="98"/>
    <s v="Vikram Mehta"/>
    <n v="45"/>
    <s v="Male"/>
    <s v="Chandigarh"/>
    <x v="6"/>
    <s v="Dr.Ramneek Mahajan"/>
    <d v="2025-03-26T00:00:00"/>
    <d v="2025-12-23T00:00:00"/>
    <s v="Lumbar Spondylosis"/>
    <s v="Spinal Decompression"/>
    <n v="138546.84"/>
    <s v="Icici Lombard"/>
    <s v="Paid"/>
    <s v="Admitted"/>
  </r>
  <r>
    <x v="99"/>
    <s v="Rohan Sharma"/>
    <n v="18"/>
    <s v="Male"/>
    <s v="Hyderabad"/>
    <x v="4"/>
    <s v="Dr.Ashok Seth"/>
    <d v="2025-10-20T00:00:00"/>
    <d v="2025-11-05T00:00:00"/>
    <s v="Arrhythmia"/>
    <s v="Pacemaker Implantation"/>
    <n v="347176.11"/>
    <s v="Star Health"/>
    <s v="Claim Processing"/>
    <s v="Discharged Against Medical Advice"/>
  </r>
  <r>
    <x v="100"/>
    <s v="Amit Mehta"/>
    <n v="45"/>
    <s v="Male"/>
    <s v="Mumbai"/>
    <x v="6"/>
    <s v="Dr.Harshavardhan Hegde"/>
    <d v="2025-04-19T00:00:00"/>
    <d v="2025-04-27T00:00:00"/>
    <s v="Osteoarthritis Knee"/>
    <s v="Total Knee Replacement"/>
    <n v="296274.05"/>
    <s v="Icici Lombard"/>
    <s v="Partially Paid"/>
    <s v="Expired"/>
  </r>
  <r>
    <x v="101"/>
    <s v="Vikram Reddy"/>
    <n v="61"/>
    <s v="Male"/>
    <s v="Kolkata"/>
    <x v="5"/>
    <s v="Dr.Subhash Gupta"/>
    <d v="2025-08-31T00:00:00"/>
    <d v="2025-12-23T00:00:00"/>
    <s v="Liver Cirrhosis"/>
    <s v="Paracentesis &amp; Diuretics"/>
    <n v="263655.98"/>
    <s v="Max Bupa"/>
    <s v="Claim Processing"/>
    <s v="Admitted"/>
  </r>
  <r>
    <x v="102"/>
    <s v="Deepak Bose"/>
    <n v="18"/>
    <s v="Unspecified"/>
    <s v="Unknown"/>
    <x v="6"/>
    <s v="Dr.Harshavardhan Hegde"/>
    <d v="2025-09-03T00:00:00"/>
    <d v="2025-12-23T00:00:00"/>
    <s v="Lumbar Spondylosis"/>
    <s v="Spinal Decompression"/>
    <n v="274232.43"/>
    <s v="None"/>
    <s v="Disputed"/>
    <s v="Admitted"/>
  </r>
  <r>
    <x v="103"/>
    <s v="Anita Verma"/>
    <n v="75"/>
    <s v="Female"/>
    <s v="Mumbai"/>
    <x v="6"/>
    <s v="Dr.Harshavardhan Hegde"/>
    <d v="2025-01-10T00:00:00"/>
    <d v="2025-01-27T00:00:00"/>
    <s v="Rotator Cuff Tear"/>
    <s v="Arthroscopic Repair"/>
    <n v="212814.74"/>
    <s v="N/A"/>
    <s v="Unknown"/>
    <s v="Expired"/>
  </r>
  <r>
    <x v="104"/>
    <s v="Kabir Iyer"/>
    <n v="42"/>
    <s v="Male"/>
    <s v="Ahmedabad"/>
    <x v="6"/>
    <s v="Dr.Ramneek Mahajan"/>
    <d v="2025-04-10T00:00:00"/>
    <d v="2025-02-12T00:00:00"/>
    <s v="Femur Fracture"/>
    <s v="Internal Fixation"/>
    <n v="326680.27"/>
    <s v="Hdfc Ergo"/>
    <s v="Disputed"/>
    <s v="Discharged"/>
  </r>
  <r>
    <x v="105"/>
    <s v="Rajesh Singh"/>
    <n v="12"/>
    <s v="Male"/>
    <s v="Pune"/>
    <x v="4"/>
    <s v="Dr.Ashok Seth"/>
    <d v="2025-07-04T00:00:00"/>
    <d v="2025-12-23T00:00:00"/>
    <s v="Arrhythmia"/>
    <s v="Pacemaker Implantation"/>
    <n v="296656.08"/>
    <s v="Icici Lombard"/>
    <s v="Pending"/>
    <s v="Admitted"/>
  </r>
  <r>
    <x v="106"/>
    <s v="Kavita Sharma"/>
    <n v="38"/>
    <s v="Female"/>
    <s v="Kolkata"/>
    <x v="3"/>
    <s v="Dr.Krishan Chugh"/>
    <d v="2025-03-19T00:00:00"/>
    <d v="2025-03-24T00:00:00"/>
    <s v="Viral Gastroenteritis"/>
    <s v="Iv Fluids &amp; Electrolytes"/>
    <n v="319545.57"/>
    <s v="None"/>
    <s v="Unknown"/>
    <s v="Discharged Against Medical Advice"/>
  </r>
  <r>
    <x v="107"/>
    <s v="Rajesh Kumar"/>
    <n v="67"/>
    <s v="Male"/>
    <s v="Delhi"/>
    <x v="3"/>
    <s v="Dr.Arvind Bagga"/>
    <d v="2025-02-28T00:00:00"/>
    <d v="2025-03-18T00:00:00"/>
    <s v="Acute Bronchiolitis"/>
    <s v="Nebulization &amp; O2 Support"/>
    <n v="288794.3"/>
    <s v="Bajaj Allianz"/>
    <s v="Paid"/>
    <s v="Transferred"/>
  </r>
  <r>
    <x v="108"/>
    <s v="Ritu Sharma"/>
    <n v="88"/>
    <s v="Female"/>
    <s v="Delhi"/>
    <x v="3"/>
    <s v="Dr.Krishan Chugh"/>
    <d v="2025-06-15T00:00:00"/>
    <d v="2025-06-29T00:00:00"/>
    <s v="Neonatal Jaundice"/>
    <s v="Phototherapy"/>
    <n v="216146.47"/>
    <s v="Unknown"/>
    <s v="Partially Paid"/>
    <s v="Transferred"/>
  </r>
  <r>
    <x v="109"/>
    <s v="Ananya Mehta"/>
    <n v="7"/>
    <s v="Female"/>
    <s v="Jaipur"/>
    <x v="7"/>
    <s v="Dr.Veena Kalra"/>
    <d v="2025-11-09T00:00:00"/>
    <d v="2025-12-23T00:00:00"/>
    <s v="Severe Pneumonia"/>
    <s v="Iv Antibiotics"/>
    <n v="206117.65"/>
    <s v="Bajaj Allianz"/>
    <s v="Claim Processing"/>
    <s v="Admitted"/>
  </r>
  <r>
    <x v="110"/>
    <s v="Kavita Patel"/>
    <n v="84"/>
    <s v="Female"/>
    <s v="Pune"/>
    <x v="1"/>
    <s v="Dr.R. K. Singhal"/>
    <d v="2025-04-28T00:00:00"/>
    <d v="2025-05-16T00:00:00"/>
    <s v="Dengue Fever With Thrombocytopenia"/>
    <s v="Platelet Support"/>
    <n v="260581.65"/>
    <s v="Care Health"/>
    <s v="Partially Paid"/>
    <s v="Discharged Against Medical Advice"/>
  </r>
  <r>
    <x v="111"/>
    <s v="Kavita Joshi"/>
    <n v="70"/>
    <s v="Female"/>
    <s v="Ahmedabad"/>
    <x v="0"/>
    <s v="Dr.Harit Chaturvedi"/>
    <d v="2025-01-15T00:00:00"/>
    <d v="2025-01-28T00:00:00"/>
    <s v="Lung Adenocarcinoma"/>
    <s v="Targeted Therapy"/>
    <n v="40000"/>
    <s v="Bajaj Allianz"/>
    <s v="Paid"/>
    <s v="Discharged Against Medical Advice"/>
  </r>
  <r>
    <x v="112"/>
    <s v="Pooja Singh"/>
    <n v="28"/>
    <s v="Female"/>
    <s v="Bangalore"/>
    <x v="0"/>
    <s v="Dr.Vinod Raina"/>
    <d v="2025-09-28T00:00:00"/>
    <d v="2025-10-10T00:00:00"/>
    <s v="Unknown"/>
    <s v="Chemotherapy &amp; Lumpectomy"/>
    <n v="325321.69"/>
    <s v="None / Self Pay"/>
    <s v="Pending"/>
    <s v="Expired"/>
  </r>
  <r>
    <x v="113"/>
    <s v="Neha Joshi"/>
    <n v="79"/>
    <s v="Female"/>
    <s v="Mumbai"/>
    <x v="5"/>
    <s v="Dr.Govind Makharia"/>
    <d v="2025-01-03T00:00:00"/>
    <d v="2025-12-23T00:00:00"/>
    <s v="Peptic Ulcer Bleeding"/>
    <s v="Endoscopic Banding"/>
    <n v="257496.48"/>
    <s v="Hdfc Ergo"/>
    <s v="Disputed"/>
    <s v="Admitted"/>
  </r>
  <r>
    <x v="114"/>
    <s v="Priya Mehta"/>
    <n v="43"/>
    <s v="Female"/>
    <s v="Bangalore"/>
    <x v="1"/>
    <s v="Dr.Atul Gogia"/>
    <d v="2025-12-27T00:00:00"/>
    <d v="2025-12-31T00:00:00"/>
    <s v="Type 2 Diabetes Uncontrolled"/>
    <s v="Insulin Titration"/>
    <n v="328694.76"/>
    <s v="Star Health"/>
    <s v="Paid"/>
    <s v="Discharged Against Medical Advice"/>
  </r>
  <r>
    <x v="115"/>
    <s v="Unknown"/>
    <n v="18"/>
    <s v="Male"/>
    <s v="Pune"/>
    <x v="3"/>
    <s v="Dr.Arvind Bagga"/>
    <d v="2025-03-28T00:00:00"/>
    <d v="2025-04-01T00:00:00"/>
    <s v="Unknown"/>
    <s v="Phototherapy"/>
    <n v="219135.3"/>
    <s v="Star Health"/>
    <s v="Paid"/>
    <s v="Expired"/>
  </r>
  <r>
    <x v="116"/>
    <s v="Ananya Joshi"/>
    <n v="85"/>
    <s v="Female"/>
    <s v="Hyderabad"/>
    <x v="0"/>
    <s v="Dr.Harit Chaturvedi"/>
    <d v="2025-04-03T00:00:00"/>
    <d v="2025-03-20T00:00:00"/>
    <s v="Breast Carcinoma"/>
    <s v="Chemotherapy &amp; Lumpectomy"/>
    <n v="129775.24"/>
    <s v="Max Bupa"/>
    <s v="Disputed"/>
    <s v="Discharged"/>
  </r>
  <r>
    <x v="117"/>
    <s v="Ramesh Sharma"/>
    <n v="83"/>
    <s v="Male"/>
    <s v="Chandigarh"/>
    <x v="2"/>
    <s v="Dr.Mukul Varma"/>
    <d v="2025-05-01T00:00:00"/>
    <d v="2025-05-06T00:00:00"/>
    <s v="Parkinson'S Disease"/>
    <s v="Levodopa Therapy"/>
    <n v="41341.620000000003"/>
    <s v="None"/>
    <s v="Disputed"/>
    <s v="Discharged"/>
  </r>
  <r>
    <x v="118"/>
    <s v="Kavita Reddy"/>
    <n v="81"/>
    <s v="Female"/>
    <s v="Hyderabad"/>
    <x v="5"/>
    <s v="Dr.Randhir Sud"/>
    <d v="2025-01-05T00:00:00"/>
    <d v="2025-01-08T00:00:00"/>
    <s v="Peptic Ulcer Bleeding"/>
    <s v="Endoscopic Banding"/>
    <n v="146620.88"/>
    <s v="None / Self Pay"/>
    <s v="Disputed"/>
    <s v="Discharged Against Medical Advice"/>
  </r>
  <r>
    <x v="119"/>
    <s v="Aditya Nair"/>
    <n v="18"/>
    <s v="Male"/>
    <s v="Jaipur"/>
    <x v="3"/>
    <s v="Dr.Arvind Bagga"/>
    <d v="2025-07-16T00:00:00"/>
    <d v="2025-07-26T00:00:00"/>
    <s v="Viral Gastroenteritis"/>
    <s v="Iv Fluids &amp; Electrolytes"/>
    <n v="47162.34"/>
    <s v="Max Bupa"/>
    <s v="Claim Processing"/>
    <s v="Discharged"/>
  </r>
  <r>
    <x v="120"/>
    <s v="Rohan Patel"/>
    <n v="18"/>
    <s v="Male"/>
    <s v="Delhi"/>
    <x v="2"/>
    <s v="Dr.P. N. Renjen"/>
    <d v="2025-07-01T00:00:00"/>
    <d v="2025-07-09T00:00:00"/>
    <s v="Acute Ischemic Stroke"/>
    <s v="Tpa Therapy"/>
    <n v="61086.32"/>
    <s v="Hdfc Ergo"/>
    <s v="Partially Paid"/>
    <s v="Expired"/>
  </r>
  <r>
    <x v="121"/>
    <s v="Unknown"/>
    <n v="39"/>
    <s v="Male"/>
    <s v="Pune"/>
    <x v="6"/>
    <s v="Dr.Harshavardhan Hegde"/>
    <d v="2025-01-11T00:00:00"/>
    <d v="2025-12-01T00:00:00"/>
    <s v="Rotator Cuff Tear"/>
    <s v="Arthroscopic Repair"/>
    <n v="296960.7"/>
    <s v="None"/>
    <s v="Paid"/>
    <s v="Expired"/>
  </r>
  <r>
    <x v="122"/>
    <s v="Rohan Joshi"/>
    <n v="71"/>
    <s v="Male"/>
    <s v="Jaipur"/>
    <x v="6"/>
    <s v="Dr.Harshavardhan Hegde"/>
    <d v="2025-04-10T00:00:00"/>
    <d v="2025-12-23T00:00:00"/>
    <s v="Rotator Cuff Tear"/>
    <s v="Arthroscopic Repair"/>
    <n v="145643.35999999999"/>
    <s v="None / Self Pay"/>
    <s v="Pending"/>
    <s v="Admitted"/>
  </r>
  <r>
    <x v="123"/>
    <s v="Manoj Bose"/>
    <n v="7"/>
    <s v="Male"/>
    <s v="Chennai"/>
    <x v="0"/>
    <s v="Dr.Suresh Advani"/>
    <d v="2025-03-05T00:00:00"/>
    <d v="2025-03-07T00:00:00"/>
    <s v="Colorectal Cancer"/>
    <s v="Colectomy"/>
    <n v="122826.86"/>
    <s v="N/A"/>
    <s v="Partially Paid"/>
    <s v="Discharged Against Medical Advice"/>
  </r>
  <r>
    <x v="124"/>
    <s v="Deepak Sharma"/>
    <n v="44"/>
    <s v="Male"/>
    <s v="Kolkata"/>
    <x v="1"/>
    <s v="Dr.Anoop Misra"/>
    <d v="2025-03-06T00:00:00"/>
    <d v="2025-06-11T00:00:00"/>
    <s v="Urinary Tract Infection"/>
    <s v="Antibiotic Course"/>
    <n v="263979.82"/>
    <s v="Max Bupa"/>
    <s v="Disputed"/>
    <s v="Transferred"/>
  </r>
  <r>
    <x v="125"/>
    <s v="Vikram Mehta"/>
    <n v="81"/>
    <s v="Male"/>
    <s v="Mumbai"/>
    <x v="3"/>
    <s v="Dr.Krishan Chugh"/>
    <d v="2025-04-24T00:00:00"/>
    <d v="2025-12-23T00:00:00"/>
    <s v="Severe Pneumonia"/>
    <s v="Iv Antibiotics"/>
    <n v="240033.83"/>
    <s v="Max Bupa"/>
    <s v="Partially Paid"/>
    <s v="Admitted"/>
  </r>
  <r>
    <x v="126"/>
    <s v="Kabir Nair"/>
    <n v="39"/>
    <s v="Male"/>
    <s v="Jaipur"/>
    <x v="6"/>
    <s v="Dr.Sks Marya"/>
    <d v="2025-04-10T00:00:00"/>
    <d v="2025-07-18T00:00:00"/>
    <s v="Osteoarthritis Knee"/>
    <s v="Total Knee Replacement"/>
    <n v="72671.100000000006"/>
    <s v="Icici Lombard"/>
    <s v="Paid"/>
    <s v="Transferred"/>
  </r>
  <r>
    <x v="127"/>
    <s v="Priya Nair"/>
    <n v="76"/>
    <s v="Female"/>
    <s v="Hyderabad"/>
    <x v="6"/>
    <s v="Dr.Sks Marya"/>
    <d v="2025-04-10T00:00:00"/>
    <d v="2025-12-23T00:00:00"/>
    <s v="Femur Fracture"/>
    <s v="Internal Fixation"/>
    <n v="337302.75"/>
    <s v="None / Self Pay"/>
    <s v="Pending"/>
    <s v="Admitted"/>
  </r>
  <r>
    <x v="128"/>
    <s v="Ananya Nair"/>
    <n v="88"/>
    <s v="Female"/>
    <s v="Delhi"/>
    <x v="4"/>
    <s v="Dr.Devi Shetty"/>
    <d v="2025-09-25T00:00:00"/>
    <d v="2025-06-10T00:00:00"/>
    <s v="Heart Failure"/>
    <s v="Ace Inhibitors &amp; Diuretics"/>
    <n v="335905.47"/>
    <s v="Unknown"/>
    <s v="Disputed"/>
    <s v="Transferred"/>
  </r>
  <r>
    <x v="129"/>
    <s v="Rajesh Singh"/>
    <n v="12"/>
    <s v="Male"/>
    <s v="Bangalore"/>
    <x v="1"/>
    <s v="Dr.Anoop Misra"/>
    <d v="2025-06-24T00:00:00"/>
    <d v="2025-12-23T00:00:00"/>
    <s v="Dengue Fever With Thrombocytopenia"/>
    <s v="Platelet Support"/>
    <n v="340229.7"/>
    <s v="Icici Lombard"/>
    <s v="Partially Paid"/>
    <s v="Admitted"/>
  </r>
  <r>
    <x v="130"/>
    <s v="Rohan Verma"/>
    <n v="41"/>
    <s v="Male"/>
    <s v="Mumbai"/>
    <x v="6"/>
    <s v="Dr.Harshavardhan Hegde"/>
    <d v="2025-04-10T00:00:00"/>
    <d v="2025-11-16T00:00:00"/>
    <s v="Lumbar Spondylosis"/>
    <s v="Spinal Decompression"/>
    <n v="40000"/>
    <s v="N/A"/>
    <s v="Paid"/>
    <s v="Transferred"/>
  </r>
  <r>
    <x v="131"/>
    <s v="Pooja Joshi"/>
    <n v="85"/>
    <s v="Female"/>
    <s v="Bangalore"/>
    <x v="5"/>
    <s v="Dr.Randhir Sud"/>
    <d v="2025-09-21T00:00:00"/>
    <d v="2025-10-06T00:00:00"/>
    <s v="Gallstones / Cholecystitis"/>
    <s v="Laparoscopic Cholecystectomy"/>
    <n v="337085.85"/>
    <s v="Hdfc Ergo"/>
    <s v="Paid"/>
    <s v="Discharged"/>
  </r>
  <r>
    <x v="132"/>
    <s v="Kavita Mehta"/>
    <n v="42"/>
    <s v="Female"/>
    <s v="Hyderabad"/>
    <x v="2"/>
    <s v="Dr.P. N. Renjen"/>
    <d v="2025-04-10T00:00:00"/>
    <d v="2025-02-15T00:00:00"/>
    <s v="Migraine Chronic"/>
    <s v="Botox Injection &amp; Triptans"/>
    <n v="310615.59999999998"/>
    <s v="Care Health"/>
    <s v="Pending"/>
    <s v="Discharged"/>
  </r>
  <r>
    <x v="133"/>
    <s v="Ramesh Singh"/>
    <n v="22"/>
    <s v="Male"/>
    <s v="Kolkata"/>
    <x v="1"/>
    <s v="Dr.R. K. Singhal"/>
    <d v="2025-10-08T00:00:00"/>
    <d v="2025-10-22T00:00:00"/>
    <s v="Type 2 Diabetes Uncontrolled"/>
    <s v="Insulin Titration"/>
    <n v="348616.66"/>
    <s v="Star Health"/>
    <s v="Pending"/>
    <s v="Discharged"/>
  </r>
  <r>
    <x v="134"/>
    <s v="Kabir Joshi"/>
    <n v="2"/>
    <s v="Male"/>
    <s v="Kolkata"/>
    <x v="6"/>
    <s v="Dr.Sks Marya"/>
    <d v="2025-12-09T00:00:00"/>
    <d v="2025-12-24T00:00:00"/>
    <s v="Osteoarthritis Knee"/>
    <s v="Total Knee Replacement"/>
    <n v="107724.71"/>
    <s v="Bajaj Allianz"/>
    <s v="Pending"/>
    <s v="Transferred"/>
  </r>
  <r>
    <x v="135"/>
    <s v="Aarav Gupta"/>
    <n v="50"/>
    <s v="Male"/>
    <s v="Chennai"/>
    <x v="2"/>
    <s v="Dr.Mukul Varma"/>
    <d v="2025-12-02T00:00:00"/>
    <d v="2025-02-13T00:00:00"/>
    <s v="Epilepsy"/>
    <s v="Anticonvulsant Therapy"/>
    <n v="272521.56"/>
    <s v="Max Bupa"/>
    <s v="Partially Paid"/>
    <s v="Transferred"/>
  </r>
  <r>
    <x v="136"/>
    <s v="Ramesh Joshi"/>
    <n v="62"/>
    <s v="Male"/>
    <s v="Delhi"/>
    <x v="7"/>
    <s v="Dr.R. K. Singhal"/>
    <d v="2025-01-02T00:00:00"/>
    <d v="2025-01-13T00:00:00"/>
    <s v="Urinary Tract Infection"/>
    <s v="Unknown"/>
    <n v="88182.91"/>
    <s v="Care Health"/>
    <s v="Paid"/>
    <s v="Discharged"/>
  </r>
  <r>
    <x v="137"/>
    <s v="Aarav Patel"/>
    <n v="27"/>
    <s v="Male"/>
    <s v="Chandigarh"/>
    <x v="5"/>
    <s v="Dr.Govind Makharia"/>
    <d v="2025-07-22T00:00:00"/>
    <d v="2025-07-29T00:00:00"/>
    <s v="Peptic Ulcer Bleeding"/>
    <s v="Endoscopic Banding"/>
    <n v="88203.79"/>
    <s v="None"/>
    <s v="Disputed"/>
    <s v="Expired"/>
  </r>
  <r>
    <x v="138"/>
    <s v="Kavita Singh"/>
    <n v="71"/>
    <s v="Female"/>
    <s v="Chandigarh"/>
    <x v="7"/>
    <s v="Dr.P. N. Renjen"/>
    <d v="2025-07-01T00:00:00"/>
    <d v="2025-07-19T00:00:00"/>
    <s v="Migraine Chronic"/>
    <s v="Botox Injection &amp; Triptans"/>
    <n v="330817.42"/>
    <s v="Unknown"/>
    <s v="Partially Paid"/>
    <s v="Expired"/>
  </r>
  <r>
    <x v="139"/>
    <s v="Diya Sharma"/>
    <n v="72"/>
    <s v="Female"/>
    <s v="Mumbai"/>
    <x v="6"/>
    <s v="Dr.Sks Marya"/>
    <d v="2025-11-14T00:00:00"/>
    <d v="2025-11-25T00:00:00"/>
    <s v="Osteoarthritis Knee"/>
    <s v="Total Knee Replacement"/>
    <n v="40000"/>
    <s v="Unknown"/>
    <s v="Pending"/>
    <s v="Discharged Against Medical Advice"/>
  </r>
  <r>
    <x v="140"/>
    <s v="Rohan Singh"/>
    <n v="18"/>
    <s v="Male"/>
    <s v="Jaipur"/>
    <x v="1"/>
    <s v="Dr.R. K. Singhal"/>
    <d v="2025-04-30T00:00:00"/>
    <d v="2025-12-23T00:00:00"/>
    <s v="Type 2 Diabetes Uncontrolled"/>
    <s v="Insulin Titration"/>
    <n v="94965.17"/>
    <s v="None / Self Pay"/>
    <s v="Pending"/>
    <s v="Admitted"/>
  </r>
  <r>
    <x v="141"/>
    <s v="Kabir Nair"/>
    <n v="18"/>
    <s v="Male"/>
    <s v="Delhi"/>
    <x v="0"/>
    <s v="Dr.Harit Chaturvedi"/>
    <d v="2025-09-01T00:00:00"/>
    <d v="2025-09-18T00:00:00"/>
    <s v="Lung Adenocarcinoma"/>
    <s v="Targeted Therapy"/>
    <n v="266670.65000000002"/>
    <s v="None / Self Pay"/>
    <s v="Paid"/>
    <s v="Discharged Against Medical Advice"/>
  </r>
  <r>
    <x v="142"/>
    <s v="Aarav Reddy"/>
    <n v="27"/>
    <s v="Male"/>
    <s v="Jaipur"/>
    <x v="1"/>
    <s v="Dr.Unknown"/>
    <d v="2025-06-18T00:00:00"/>
    <d v="2025-12-23T00:00:00"/>
    <s v="Hypertensive Crisis"/>
    <s v="Iv Labetalol"/>
    <n v="52142.03"/>
    <s v="Star Health"/>
    <s v="Claim Processing"/>
    <s v="Admitted"/>
  </r>
  <r>
    <x v="143"/>
    <s v="Priya Joshi"/>
    <n v="52"/>
    <s v="Female"/>
    <s v="Hyderabad"/>
    <x v="4"/>
    <s v="Dr.Ashok Seth"/>
    <d v="2025-10-01T00:00:00"/>
    <d v="2025-12-23T00:00:00"/>
    <s v="Heart Failure"/>
    <s v="Ace Inhibitors &amp; Diuretics"/>
    <n v="101756.58"/>
    <s v="None / Self Pay"/>
    <s v="Paid"/>
    <s v="Admitted"/>
  </r>
  <r>
    <x v="144"/>
    <s v="Priya Iyer"/>
    <n v="160"/>
    <s v="Female"/>
    <s v="Ahmedabad"/>
    <x v="0"/>
    <s v="Dr.Harit Chaturvedi"/>
    <d v="2025-12-09T00:00:00"/>
    <d v="2025-12-26T00:00:00"/>
    <s v="Lymphoma"/>
    <s v="R-Chop Regimen"/>
    <n v="41236.160000000003"/>
    <s v="N/A"/>
    <s v="Partially Paid"/>
    <s v="In-Patient"/>
  </r>
  <r>
    <x v="145"/>
    <s v="Meera Reddy"/>
    <n v="47"/>
    <s v="Female"/>
    <s v="Pune"/>
    <x v="3"/>
    <s v="Dr.Arvind Bagga"/>
    <d v="2025-09-27T00:00:00"/>
    <d v="2025-10-10T00:00:00"/>
    <s v="Viral Gastroenteritis"/>
    <s v="Iv Fluids &amp; Electrolytes"/>
    <n v="224317.54"/>
    <s v="None / Self Pay"/>
    <s v="Pending"/>
    <s v="Expired"/>
  </r>
  <r>
    <x v="146"/>
    <s v="Diya Iyer"/>
    <n v="81"/>
    <s v="Female"/>
    <s v="Jaipur"/>
    <x v="2"/>
    <s v="Dr.Mukul Varma"/>
    <d v="2025-07-23T00:00:00"/>
    <d v="2025-08-04T00:00:00"/>
    <s v="Parkinson'S Disease"/>
    <s v="Levodopa Therapy"/>
    <n v="141814.6"/>
    <s v="Max Bupa"/>
    <s v="Claim_Pending"/>
    <s v="Discharged"/>
  </r>
  <r>
    <x v="9"/>
    <s v="Anjali Joshi"/>
    <n v="87"/>
    <s v="Female"/>
    <s v="Chandigarh"/>
    <x v="4"/>
    <s v="Dr.Ashok Seth"/>
    <d v="2025-01-18T00:00:00"/>
    <d v="2025-01-25T00:00:00"/>
    <s v="Heart Failure"/>
    <s v="Ace Inhibitors &amp; Diuretics"/>
    <n v="258112.74"/>
    <s v="None"/>
    <s v="Paid"/>
    <s v="Discharged"/>
  </r>
  <r>
    <x v="147"/>
    <s v="Ananya Gupta"/>
    <n v="16"/>
    <s v="Female"/>
    <s v="Jaipur"/>
    <x v="6"/>
    <s v="Dr.Ramneek Mahajan"/>
    <d v="2025-11-01T00:00:00"/>
    <d v="2025-12-23T00:00:00"/>
    <s v="Rotator Cuff Tear"/>
    <s v="Arthroscopic Repair"/>
    <n v="255614.72"/>
    <s v="Max Bupa"/>
    <s v="Claim_Pending"/>
    <s v="Admitted"/>
  </r>
  <r>
    <x v="148"/>
    <s v="Aarav Joshi"/>
    <n v="40"/>
    <s v="Unspecified"/>
    <s v="Hyderabad"/>
    <x v="3"/>
    <s v="Dr.Veena Kalra"/>
    <d v="2025-10-10T00:00:00"/>
    <d v="2025-12-23T00:00:00"/>
    <s v="Neonatal Jaundice"/>
    <s v="Phototherapy"/>
    <n v="317722.57"/>
    <s v="Max Bupa"/>
    <s v="Pending"/>
    <s v="Admitted"/>
  </r>
  <r>
    <x v="149"/>
    <s v="Amit Bose"/>
    <n v="70"/>
    <s v="Male"/>
    <s v="Ahmedabad"/>
    <x v="2"/>
    <s v="Dr.Mukul Varma"/>
    <d v="2025-11-01T00:00:00"/>
    <d v="2025-01-15T00:00:00"/>
    <s v="Parkinson'S Disease"/>
    <s v="Levodopa Therapy"/>
    <n v="259754.43"/>
    <s v="Care Health"/>
    <s v="Pending"/>
    <s v="Discharged Against Medical Advice"/>
  </r>
  <r>
    <x v="150"/>
    <s v="Unknown"/>
    <n v="29"/>
    <s v="Male"/>
    <s v="Mumbai"/>
    <x v="4"/>
    <s v="Dr.Naresh Trehan"/>
    <d v="2025-04-04T00:00:00"/>
    <d v="2025-04-07T00:00:00"/>
    <s v="Heart Failure"/>
    <s v="Ace Inhibitors &amp; Diuretics"/>
    <n v="43156.46"/>
    <s v="Bajaj Allianz"/>
    <s v="Disputed"/>
    <s v="Unknown"/>
  </r>
  <r>
    <x v="151"/>
    <s v="Neha Nair"/>
    <n v="69"/>
    <s v="Female"/>
    <s v="Chennai"/>
    <x v="0"/>
    <s v="Dr.Vinod Raina"/>
    <d v="2025-04-14T00:00:00"/>
    <d v="2025-12-23T00:00:00"/>
    <s v="Lung Adenocarcinoma"/>
    <s v="Targeted Therapy"/>
    <n v="8472.35"/>
    <s v="Star Health"/>
    <s v="Pending"/>
    <s v="Admitted"/>
  </r>
  <r>
    <x v="152"/>
    <s v="Vikram_Nair"/>
    <n v="6"/>
    <s v="Male"/>
    <s v="Delhi"/>
    <x v="3"/>
    <s v="Dr.Veena Kalra"/>
    <d v="2025-11-11T00:00:00"/>
    <d v="2025-11-23T00:00:00"/>
    <s v="Severe Pneumonia"/>
    <s v="Iv Antibiotics"/>
    <n v="287606.32"/>
    <s v="Max Bupa"/>
    <s v="Claim Processing"/>
    <s v="Discharged"/>
  </r>
  <r>
    <x v="153"/>
    <s v="Ananya Reddy"/>
    <n v="24"/>
    <s v="Female"/>
    <s v="Jaipur"/>
    <x v="5"/>
    <s v="Dr.Govind Makharia"/>
    <d v="2025-04-06T00:00:00"/>
    <d v="2025-12-23T00:00:00"/>
    <s v="Gallstones / Cholecystitis"/>
    <s v="Laparoscopic Cholecystectomy"/>
    <n v="289092.03000000003"/>
    <s v="Icici Lombard"/>
    <s v="Claim Processing"/>
    <s v="Admitted"/>
  </r>
  <r>
    <x v="154"/>
    <s v="Ananya Verma"/>
    <n v="54"/>
    <s v="Unspecified"/>
    <s v="Bangalore"/>
    <x v="5"/>
    <s v="Dr.Randhir Sud"/>
    <d v="2025-12-12T00:00:00"/>
    <d v="2025-12-30T00:00:00"/>
    <s v="Liver Cirrhosis"/>
    <s v="Paracentesis &amp; Diuretics"/>
    <n v="33757.449999999997"/>
    <s v="Max Bupa"/>
    <s v="Unpaid"/>
    <s v="Transferred"/>
  </r>
  <r>
    <x v="155"/>
    <s v="Suresh Joshi"/>
    <n v="73"/>
    <s v="Male"/>
    <s v="Unknown"/>
    <x v="3"/>
    <s v="Dr.Veena Kalra"/>
    <d v="2025-07-13T00:00:00"/>
    <d v="2025-07-25T00:00:00"/>
    <s v="Neonatal Jaundice"/>
    <s v="Phototherapy"/>
    <n v="137604.06"/>
    <s v="Icici Lombard"/>
    <s v="Disputed"/>
    <s v="Discharged Against Medical Advice"/>
  </r>
  <r>
    <x v="156"/>
    <s v="Anita Reddy"/>
    <n v="65"/>
    <s v="Female"/>
    <s v="Bangalore"/>
    <x v="6"/>
    <s v="Dr.Ramneek Mahajan"/>
    <d v="2025-03-04T00:00:00"/>
    <d v="2025-12-23T00:00:00"/>
    <s v="Rotator Cuff Tear"/>
    <s v="Arthroscopic Repair"/>
    <n v="270774.19"/>
    <s v="None / Self Pay"/>
    <s v="Unknown"/>
    <s v="Admitted"/>
  </r>
  <r>
    <x v="157"/>
    <s v="Diya Mehta"/>
    <n v="65"/>
    <s v="Female"/>
    <s v="Jaipur"/>
    <x v="6"/>
    <s v="Dr.Sks Marya"/>
    <d v="2025-03-21T00:00:00"/>
    <d v="2025-03-29T00:00:00"/>
    <s v="Lumbar Spondylosis"/>
    <s v="Spinal Decompression"/>
    <n v="337793.92"/>
    <s v="None"/>
    <s v="Disputed"/>
    <s v="Discharged Against Medical Advice"/>
  </r>
  <r>
    <x v="158"/>
    <s v="Anjali Reddy"/>
    <n v="5"/>
    <s v="Female"/>
    <s v="Bangalore"/>
    <x v="1"/>
    <s v="Dr.Unknown"/>
    <d v="2025-12-23T00:00:00"/>
    <d v="2025-12-23T00:00:00"/>
    <s v="Dengue Fever With Thrombocytopenia"/>
    <s v="Platelet Support"/>
    <n v="288515.28999999998"/>
    <s v="Hdfc Ergo"/>
    <s v="Claim Processing"/>
    <s v="Admitted"/>
  </r>
  <r>
    <x v="159"/>
    <s v="Vikram Nair"/>
    <n v="16"/>
    <s v="Male"/>
    <s v="Hyderabad"/>
    <x v="1"/>
    <s v="Dr.Anoop Misra"/>
    <d v="2025-07-13T00:00:00"/>
    <d v="2025-07-22T00:00:00"/>
    <s v="Urinary Tract Infection"/>
    <s v="Antibiotic Course"/>
    <n v="330046.03999999998"/>
    <s v="Icici Lombard"/>
    <s v="Disputed"/>
    <s v="Discharged"/>
  </r>
  <r>
    <x v="160"/>
    <s v="Meera Joshi"/>
    <n v="31"/>
    <s v="Female"/>
    <s v="Ahmedabad"/>
    <x v="1"/>
    <s v="Dr.Atul Gogia"/>
    <d v="2025-04-10T00:00:00"/>
    <d v="2025-12-23T00:00:00"/>
    <s v="Type 2 Diabetes Uncontrolled"/>
    <s v="Insulin Titration"/>
    <n v="64734.19"/>
    <s v="Max Bupa"/>
    <s v="Pending"/>
    <s v="Admitted"/>
  </r>
  <r>
    <x v="161"/>
    <s v="Amit Nair"/>
    <n v="84"/>
    <s v="Male"/>
    <s v="Delhi"/>
    <x v="3"/>
    <s v="Dr.Veena Kalra"/>
    <d v="2025-01-10T00:00:00"/>
    <d v="2025-01-11T00:00:00"/>
    <s v="Unknown"/>
    <s v="Iv Antibiotics"/>
    <n v="340459.81"/>
    <s v="Hdfc Ergo"/>
    <s v="Disputed"/>
    <s v="Discharged"/>
  </r>
  <r>
    <x v="162"/>
    <s v="Manoj Kumar"/>
    <n v="63"/>
    <s v="Male"/>
    <s v="Mumbai"/>
    <x v="0"/>
    <s v="Dr.Suresh Advani"/>
    <d v="2025-06-10T00:00:00"/>
    <d v="2025-12-23T00:00:00"/>
    <s v="Lung Adenocarcinoma"/>
    <s v="Targeted Therapy"/>
    <n v="82982.5"/>
    <s v="Bajaj Allianz"/>
    <s v="Paid"/>
    <s v="Unknown"/>
  </r>
  <r>
    <x v="163"/>
    <s v="Suresh Joshi"/>
    <n v="40"/>
    <s v="Male"/>
    <s v="Hyderabad"/>
    <x v="1"/>
    <s v="Dr.Anoop Misra"/>
    <d v="2025-05-06T00:00:00"/>
    <d v="2025-12-23T00:00:00"/>
    <s v="Urinary Tract Infection"/>
    <s v="Antibiotic Course"/>
    <n v="99999999"/>
    <s v="Hdfc Ergo"/>
    <s v="Disputed"/>
    <s v="Admitted"/>
  </r>
  <r>
    <x v="164"/>
    <s v="Pooja Patel"/>
    <n v="64"/>
    <s v="Unspecified"/>
    <s v="Hyderabad"/>
    <x v="2"/>
    <s v="Dr.P. N. Renjen"/>
    <d v="2025-05-02T00:00:00"/>
    <d v="2025-02-19T00:00:00"/>
    <s v="Acute Ischemic Stroke"/>
    <s v="Tpa Therapy"/>
    <n v="324747.28000000003"/>
    <s v="Icici Lombard"/>
    <s v="Pending"/>
    <s v="Transferred"/>
  </r>
  <r>
    <x v="165"/>
    <s v="Aditya Singh"/>
    <n v="43"/>
    <s v="Male"/>
    <s v="Delhi"/>
    <x v="1"/>
    <s v="Dr.R. K. Singhal"/>
    <d v="2025-01-02T00:00:00"/>
    <d v="2025-01-03T00:00:00"/>
    <s v="Type 2 Diabetes Uncontrolled"/>
    <s v="Insulin Titration"/>
    <n v="40000"/>
    <s v="None / Self Pay"/>
    <s v="Claim Processing"/>
    <s v="Discharged"/>
  </r>
  <r>
    <x v="166"/>
    <s v="Anjali Nair"/>
    <n v="8"/>
    <s v="Female"/>
    <s v="Chennai"/>
    <x v="3"/>
    <s v="Dr.Arvind Bagga"/>
    <d v="2025-11-17T00:00:00"/>
    <d v="2025-12-23T00:00:00"/>
    <s v="Severe Pneumonia"/>
    <s v="Iv Antibiotics"/>
    <n v="-287384.84000000003"/>
    <s v="Icici Lombard"/>
    <s v="Paid"/>
    <s v="Expired"/>
  </r>
  <r>
    <x v="167"/>
    <s v="Unknown"/>
    <n v="83"/>
    <s v="Female"/>
    <s v="Ahmedabad"/>
    <x v="3"/>
    <s v="Dr.Krishan Chugh"/>
    <d v="2025-01-29T00:00:00"/>
    <d v="2025-02-13T00:00:00"/>
    <s v="Acute Bronchiolitis"/>
    <s v="Nebulization &amp; O2 Support"/>
    <n v="339754.62"/>
    <s v="Bajaj Allianz"/>
    <s v="Claim Processing"/>
    <s v="Expired"/>
  </r>
  <r>
    <x v="168"/>
    <s v="Priya Mehta"/>
    <n v="57"/>
    <s v="Female"/>
    <s v="Chandigarh"/>
    <x v="7"/>
    <s v="Dr.Unknown"/>
    <d v="2025-08-26T00:00:00"/>
    <d v="2025-09-08T00:00:00"/>
    <s v="Heart Failure"/>
    <s v="Ace Inhibitors &amp; Diuretics"/>
    <n v="293518.03000000003"/>
    <s v="Icici Lombard"/>
    <s v="Disputed"/>
    <s v="Transferred"/>
  </r>
  <r>
    <x v="169"/>
    <s v="Unknown"/>
    <n v="86"/>
    <s v="Female"/>
    <s v="Delhi"/>
    <x v="0"/>
    <s v="Dr.Harit Chaturvedi"/>
    <d v="2025-02-28T00:00:00"/>
    <d v="2025-03-18T00:00:00"/>
    <s v="Lymphoma"/>
    <s v="R-Chop Regimen"/>
    <n v="114030.49"/>
    <s v="Max Bupa"/>
    <s v="Partially Paid"/>
    <s v="Discharged Against Medical Advice"/>
  </r>
  <r>
    <x v="170"/>
    <s v="Ananya Nair"/>
    <n v="52"/>
    <s v="Female"/>
    <s v="Hyderabad"/>
    <x v="6"/>
    <s v="Dr.Ramneek Mahajan"/>
    <d v="2025-08-21T00:00:00"/>
    <d v="2025-08-28T00:00:00"/>
    <s v="Lumbar Spondylosis"/>
    <s v="Spinal Decompression"/>
    <n v="266163.46999999997"/>
    <s v="None / Self Pay"/>
    <s v="Pending"/>
    <s v="Expired"/>
  </r>
  <r>
    <x v="171"/>
    <s v="Ramesh Bose"/>
    <n v="32"/>
    <s v="Male"/>
    <s v="Chennai"/>
    <x v="5"/>
    <s v="Dr.Subhash Gupta"/>
    <d v="2025-09-12T00:00:00"/>
    <d v="2025-12-23T00:00:00"/>
    <s v="Gallstones / Cholecystitis"/>
    <s v="Laparoscopic Cholecystectomy"/>
    <n v="306146.28999999998"/>
    <s v="Hdfc Ergo"/>
    <s v="Claim_Pending"/>
    <s v="Admitted"/>
  </r>
  <r>
    <x v="172"/>
    <s v="Pooja Gupta"/>
    <n v="38"/>
    <s v="Female"/>
    <s v="Chennai"/>
    <x v="2"/>
    <s v="Dr.Sushil Razdan"/>
    <d v="2025-12-12T00:00:00"/>
    <d v="2025-12-23T00:00:00"/>
    <s v="Migraine Chronic"/>
    <s v="Botox Injection &amp; Triptans"/>
    <n v="165780.85"/>
    <s v="Max Bupa"/>
    <s v="Disputed"/>
    <s v="Transferred"/>
  </r>
  <r>
    <x v="173"/>
    <s v="Pooja Gupta"/>
    <n v="45"/>
    <s v="Female"/>
    <s v="Mumbai"/>
    <x v="2"/>
    <s v="Dr.Sushil Razdan"/>
    <d v="2025-03-15T00:00:00"/>
    <d v="2025-03-22T00:00:00"/>
    <s v="Parkinson'S Disease"/>
    <s v="Levodopa Therapy"/>
    <n v="293503.23"/>
    <s v="Hdfc Ergo"/>
    <s v="Partially Paid"/>
    <s v="Expired"/>
  </r>
  <r>
    <x v="174"/>
    <s v="Aditya Patel"/>
    <n v="49"/>
    <s v="Male"/>
    <s v="Kolkata"/>
    <x v="1"/>
    <s v="Dr.Anoop Misra"/>
    <d v="2025-04-10T00:00:00"/>
    <d v="2025-11-04T00:00:00"/>
    <s v="Dengue Fever With Thrombocytopenia"/>
    <s v="Platelet Support"/>
    <n v="28693.03"/>
    <s v="Care Health"/>
    <s v="Paid"/>
    <s v="Discharged"/>
  </r>
  <r>
    <x v="175"/>
    <s v="Sneha Kumar"/>
    <n v="60"/>
    <s v="Female"/>
    <s v="Jaipur"/>
    <x v="4"/>
    <s v="Dr.Ashok Seth"/>
    <d v="2025-03-08T00:00:00"/>
    <d v="2025-03-10T00:00:00"/>
    <s v="Coronary Artery Disease"/>
    <s v="Angioplasty"/>
    <n v="28640.639999999999"/>
    <s v="None / Self Pay"/>
    <s v="Disputed"/>
    <s v="Discharged"/>
  </r>
  <r>
    <x v="176"/>
    <s v="Aditya Singh"/>
    <n v="42"/>
    <s v="Male"/>
    <s v="Ahmedabad"/>
    <x v="3"/>
    <s v="Dr.Krishan Chugh"/>
    <d v="2025-08-10T00:00:00"/>
    <d v="2025-12-23T00:00:00"/>
    <s v="Severe Pneumonia"/>
    <s v="Iv Antibiotics"/>
    <n v="218046.64"/>
    <s v="Hdfc Ergo"/>
    <s v="Partially Paid"/>
    <s v="Admitted"/>
  </r>
  <r>
    <x v="177"/>
    <s v="Aditya Mehta"/>
    <n v="69"/>
    <s v="Male"/>
    <s v="Pune"/>
    <x v="1"/>
    <s v="Dr.Anoop Misra"/>
    <d v="2025-04-20T00:00:00"/>
    <d v="2025-08-05T00:00:00"/>
    <s v="Type 2 Diabetes Uncontrolled"/>
    <s v="Insulin Titration"/>
    <n v="40000"/>
    <s v="Hdfc Ergo"/>
    <s v="Pending"/>
    <s v="Expired"/>
  </r>
  <r>
    <x v="178"/>
    <s v="Vihaan Joshi"/>
    <n v="8"/>
    <s v="Male"/>
    <s v="Hyderabad"/>
    <x v="0"/>
    <s v="Dr.Harit Chaturvedi"/>
    <d v="2025-02-10T00:00:00"/>
    <d v="2025-02-22T00:00:00"/>
    <s v="Breast Carcinoma"/>
    <s v="Chemotherapy &amp; Lumpectomy"/>
    <n v="213386.28"/>
    <s v="None"/>
    <s v="Partially Paid"/>
    <s v="Transferred"/>
  </r>
  <r>
    <x v="179"/>
    <s v="Diya Verma"/>
    <n v="68"/>
    <s v="Female"/>
    <s v="Pune"/>
    <x v="0"/>
    <s v="Dr.Suresh Advani"/>
    <d v="2025-02-22T00:00:00"/>
    <d v="2025-03-05T00:00:00"/>
    <s v="Breast Carcinoma"/>
    <s v="Chemotherapy &amp; Lumpectomy"/>
    <n v="114914.67"/>
    <s v="Bajaj Allianz"/>
    <s v="Pending"/>
    <s v="Discharged Against Medical Advice"/>
  </r>
  <r>
    <x v="180"/>
    <s v="Rajesh Mehta"/>
    <n v="2"/>
    <s v="Male"/>
    <s v="Hyderabad"/>
    <x v="4"/>
    <s v="Dr.Naresh Trehan"/>
    <d v="2025-09-05T00:00:00"/>
    <d v="2025-09-21T00:00:00"/>
    <s v="Coronary Artery Disease"/>
    <s v="Angioplasty"/>
    <n v="167818.16"/>
    <s v="Hdfc Ergo"/>
    <s v="Claim Processing"/>
    <s v="Unknown"/>
  </r>
  <r>
    <x v="181"/>
    <s v="Vihaan Bose"/>
    <n v="31"/>
    <s v="Unspecified"/>
    <s v="Pune"/>
    <x v="1"/>
    <s v="Dr.Atul Gogia"/>
    <d v="2025-02-02T00:00:00"/>
    <d v="2025-12-23T00:00:00"/>
    <s v="Dengue Fever With Thrombocytopenia"/>
    <s v="Unknown"/>
    <n v="47432.59"/>
    <s v="Care Health"/>
    <s v="Disputed"/>
    <s v="Discharged"/>
  </r>
  <r>
    <x v="182"/>
    <s v="Vihaan Iyer"/>
    <n v="55"/>
    <s v="Male"/>
    <s v="Jaipur"/>
    <x v="5"/>
    <s v="Dr.Govind Makharia"/>
    <d v="2025-07-26T00:00:00"/>
    <d v="2025-07-29T00:00:00"/>
    <s v="Liver Cirrhosis"/>
    <s v="Paracentesis &amp; Diuretics"/>
    <n v="110914.54"/>
    <s v="Star Health"/>
    <s v="Disputed"/>
    <s v="Discharged"/>
  </r>
  <r>
    <x v="183"/>
    <s v="Anita Patel"/>
    <n v="31"/>
    <s v="Female"/>
    <s v="Hyderabad"/>
    <x v="4"/>
    <s v="Dr.Devi Shetty"/>
    <d v="2025-04-17T00:00:00"/>
    <d v="2025-04-24T00:00:00"/>
    <s v="Coronary Artery Disease"/>
    <s v="Angioplasty"/>
    <n v="161347.78"/>
    <s v="Star Health"/>
    <s v="Disputed"/>
    <s v="Expired"/>
  </r>
  <r>
    <x v="184"/>
    <s v="Amit Verma"/>
    <n v="57"/>
    <s v="Male"/>
    <s v="Chennai"/>
    <x v="0"/>
    <s v="Dr.Suresh Advani"/>
    <d v="2025-03-01T00:00:00"/>
    <d v="2025-01-05T00:00:00"/>
    <s v="Lung Adenocarcinoma"/>
    <s v="Targeted Therapy"/>
    <n v="138047.97"/>
    <s v="Max Bupa"/>
    <s v="Claim Processing"/>
    <s v="Discharged"/>
  </r>
  <r>
    <x v="185"/>
    <s v="Deepak Nair"/>
    <n v="35"/>
    <s v="Male"/>
    <s v="Chennai"/>
    <x v="2"/>
    <s v="Dr.P. N. Renjen"/>
    <d v="2025-07-15T00:00:00"/>
    <d v="2025-07-25T00:00:00"/>
    <s v="Migraine Chronic"/>
    <s v="Botox Injection &amp; Triptans"/>
    <n v="307451.11"/>
    <s v="None / Self Pay"/>
    <s v="Pending"/>
    <s v="Discharged Against Medical Advice"/>
  </r>
  <r>
    <x v="186"/>
    <s v="Amit Kumar"/>
    <n v="66"/>
    <s v="Male"/>
    <s v="Chandigarh"/>
    <x v="2"/>
    <s v="Dr.P. N. Renjen"/>
    <d v="2025-12-16T00:00:00"/>
    <d v="2025-12-23T00:00:00"/>
    <s v="Acute Ischemic Stroke"/>
    <s v="Tpa Therapy"/>
    <n v="40000"/>
    <s v="None / Self Pay"/>
    <s v="Paid"/>
    <s v="Admitted"/>
  </r>
  <r>
    <x v="187"/>
    <s v="Deepak Singh"/>
    <n v="10"/>
    <s v="Male"/>
    <s v="Bombay"/>
    <x v="4"/>
    <s v="Dr.Naresh Trehan"/>
    <d v="2025-05-12T00:00:00"/>
    <d v="2025-12-16T00:00:00"/>
    <s v="Unknown"/>
    <s v="Angioplasty"/>
    <n v="337690.34"/>
    <s v="None"/>
    <s v="Pending"/>
    <s v="Discharged"/>
  </r>
  <r>
    <x v="188"/>
    <s v="Priya Sharma"/>
    <n v="64"/>
    <s v="Female"/>
    <s v="Pune"/>
    <x v="0"/>
    <s v="Dr.Vinod Raina"/>
    <d v="2025-12-16T00:00:00"/>
    <d v="2025-12-21T00:00:00"/>
    <s v="Breast Carcinoma"/>
    <s v="Chemotherapy &amp; Lumpectomy"/>
    <n v="81267.360000000001"/>
    <s v="Star Health"/>
    <s v="Unpaid"/>
    <s v="Discharged Against Medical Advice"/>
  </r>
  <r>
    <x v="189"/>
    <s v="Anita Joshi"/>
    <n v="12"/>
    <s v="Female"/>
    <s v="Jaipur"/>
    <x v="1"/>
    <s v="Dr.Atul Gogia"/>
    <d v="2025-01-11T00:00:00"/>
    <d v="2025-01-13T00:00:00"/>
    <s v="Urinary Tract Infection"/>
    <s v="Antibiotic Course"/>
    <n v="197038.65"/>
    <s v="Star Health"/>
    <s v="Pending"/>
    <s v="Discharged"/>
  </r>
  <r>
    <x v="190"/>
    <s v="Vikram Joshi"/>
    <n v="72"/>
    <s v="Male"/>
    <s v="Chennai"/>
    <x v="5"/>
    <s v="Dr.Govind Makharia"/>
    <d v="2025-01-02T00:00:00"/>
    <d v="2025-12-23T00:00:00"/>
    <s v="Gallstones / Cholecystitis"/>
    <s v="Laparoscopic Cholecystectomy"/>
    <n v="68996.850000000006"/>
    <s v="Care Health"/>
    <s v="Pending"/>
    <s v="Admitted"/>
  </r>
  <r>
    <x v="191"/>
    <s v="Ramesh Iyer"/>
    <n v="34"/>
    <s v="Male"/>
    <s v="Chandigarh"/>
    <x v="6"/>
    <s v="Dr.Sks Marya"/>
    <d v="2025-03-20T00:00:00"/>
    <d v="2025-03-23T00:00:00"/>
    <s v="Rotator Cuff Tear"/>
    <s v="Arthroscopic Repair"/>
    <n v="53213.08"/>
    <s v="Star Health"/>
    <s v="Claim Processing"/>
    <s v="Expired"/>
  </r>
  <r>
    <x v="192"/>
    <s v="Vihaan Gupta"/>
    <n v="45"/>
    <s v="Male"/>
    <s v="Chennai"/>
    <x v="2"/>
    <s v="Dr.P. N. Renjen"/>
    <d v="2025-04-09T00:00:00"/>
    <d v="2025-09-20T00:00:00"/>
    <s v="Parkinson'S Disease"/>
    <s v="Levodopa Therapy"/>
    <n v="280669.32"/>
    <s v="Hdfc Ergo"/>
    <s v="Paid"/>
    <s v="Expired"/>
  </r>
  <r>
    <x v="193"/>
    <s v="Ramesh Sharma"/>
    <n v="31"/>
    <s v="Male"/>
    <s v="Delhi"/>
    <x v="6"/>
    <s v="Dr.Ramneek Mahajan"/>
    <d v="2025-04-04T00:00:00"/>
    <d v="2025-12-23T00:00:00"/>
    <s v="Rotator Cuff Tear"/>
    <s v="Arthroscopic Repair"/>
    <n v="260700.39"/>
    <s v="Max Bupa"/>
    <s v="Partially Paid"/>
    <s v="Transferred"/>
  </r>
  <r>
    <x v="194"/>
    <s v="Manoj Kumar"/>
    <n v="31"/>
    <s v="Male"/>
    <s v="Kolkata"/>
    <x v="3"/>
    <s v="Dr.Arvind Bagga"/>
    <d v="2025-07-11T00:00:00"/>
    <d v="2025-12-23T00:00:00"/>
    <s v="Unknown"/>
    <s v="Iv Antibiotics"/>
    <n v="270122.58"/>
    <s v="Max Bupa"/>
    <s v="Claim Processing"/>
    <s v="Expired"/>
  </r>
  <r>
    <x v="195"/>
    <s v="Vikram Gupta"/>
    <n v="28"/>
    <s v="Male"/>
    <s v="Delhi"/>
    <x v="4"/>
    <s v="Dr.Ashok Seth"/>
    <d v="2025-02-24T00:00:00"/>
    <d v="2025-03-10T00:00:00"/>
    <s v="Myocardial Infarction"/>
    <s v="Thrombolysis"/>
    <n v="57284.61"/>
    <s v="Icici Lombard"/>
    <s v="Paid"/>
    <s v="Discharged"/>
  </r>
  <r>
    <x v="196"/>
    <s v="Neha Gupta"/>
    <n v="9"/>
    <s v="Female"/>
    <s v="Ahmedabad"/>
    <x v="5"/>
    <s v="Dr.Subhash Gupta"/>
    <d v="2025-08-13T00:00:00"/>
    <d v="2025-08-21T00:00:00"/>
    <s v="Gallstones / Cholecystitis"/>
    <s v="Laparoscopic Cholecystectomy"/>
    <n v="256236.26"/>
    <s v="Hdfc Ergo"/>
    <s v="Pending"/>
    <s v="Transferred"/>
  </r>
  <r>
    <x v="197"/>
    <s v="Kavita Nair"/>
    <n v="68"/>
    <s v="Female"/>
    <s v="Pune"/>
    <x v="2"/>
    <s v="Dr.Sushil Razdan"/>
    <d v="2025-03-04T00:00:00"/>
    <d v="2025-03-17T00:00:00"/>
    <s v="Epilepsy"/>
    <s v="Anticonvulsant Therapy"/>
    <n v="185996.43"/>
    <s v="Icici Lombard"/>
    <s v="Paid"/>
    <s v="Discharged Against Medical Advice"/>
  </r>
  <r>
    <x v="198"/>
    <s v="Kabir Patel"/>
    <n v="21"/>
    <s v="Male"/>
    <s v="Jaipur"/>
    <x v="5"/>
    <s v="Dr.Randhir Sud"/>
    <d v="2025-01-11T00:00:00"/>
    <d v="2025-01-18T00:00:00"/>
    <s v="Liver Cirrhosis"/>
    <s v="Paracentesis &amp; Diuretics"/>
    <n v="215957.52"/>
    <s v="Star Health"/>
    <s v="Pending"/>
    <s v="Discharged Against Medical Advice"/>
  </r>
  <r>
    <x v="199"/>
    <s v="Aditya Verma"/>
    <n v="85"/>
    <s v="Male"/>
    <s v="Ahmedabad"/>
    <x v="6"/>
    <s v="Dr.Ramneek Mahajan"/>
    <d v="2025-11-24T00:00:00"/>
    <d v="2025-11-12T00:00:00"/>
    <s v="Osteoarthritis Knee"/>
    <s v="Total Knee Replacement"/>
    <n v="222845.48"/>
    <s v="Star Health"/>
    <s v="Claim Processing"/>
    <s v="Discharged Against Medical Advice"/>
  </r>
  <r>
    <x v="200"/>
    <s v="Kabir Nair"/>
    <n v="53"/>
    <s v="Male"/>
    <s v="Jaipur"/>
    <x v="5"/>
    <s v="Dr.Subhash Gupta"/>
    <d v="2025-12-11T00:00:00"/>
    <d v="2025-12-24T00:00:00"/>
    <s v="Acute Pancreatitis"/>
    <s v="Conservative Management"/>
    <n v="263822.09000000003"/>
    <s v="Icici Lombard"/>
    <s v="Disputed"/>
    <s v="Transferred"/>
  </r>
  <r>
    <x v="201"/>
    <s v="Kavita Joshi"/>
    <n v="42"/>
    <s v="Female"/>
    <s v="Chandigarh"/>
    <x v="5"/>
    <s v="Dr.Subhash Gupta"/>
    <d v="2025-07-07T00:00:00"/>
    <d v="2025-07-09T00:00:00"/>
    <s v="Unknown"/>
    <s v="Laparoscopic Cholecystectomy"/>
    <n v="104636.58"/>
    <s v="Icici Lombard"/>
    <s v="Paid"/>
    <s v="Discharged"/>
  </r>
  <r>
    <x v="202"/>
    <s v="Meera Mehta"/>
    <n v="43"/>
    <s v="Female"/>
    <s v="Unknown"/>
    <x v="1"/>
    <s v="Dr.R. K. Singhal"/>
    <d v="2025-08-20T00:00:00"/>
    <d v="2025-08-24T00:00:00"/>
    <s v="Dengue Fever With Thrombocytopenia"/>
    <s v="Platelet Support"/>
    <n v="28616.080000000002"/>
    <s v="None / Self Pay"/>
    <s v="Claim Processing"/>
    <s v="Discharged"/>
  </r>
  <r>
    <x v="203"/>
    <s v="Sunita_Joshi"/>
    <n v="65"/>
    <s v="Female"/>
    <s v="Ahmedabad"/>
    <x v="1"/>
    <s v="Dr.Atul Gogia"/>
    <d v="2025-10-14T00:00:00"/>
    <d v="2025-10-27T00:00:00"/>
    <s v="Urinary Tract Infection"/>
    <s v="Antibiotic Course"/>
    <n v="213497.15"/>
    <s v="Hdfc Ergo"/>
    <s v="Disputed"/>
    <s v="Transferred"/>
  </r>
  <r>
    <x v="204"/>
    <s v="Priya Reddy"/>
    <n v="59"/>
    <s v="Unspecified"/>
    <s v="Mumbai"/>
    <x v="2"/>
    <s v="Dr.P. N. Renjen"/>
    <d v="2025-01-06T00:00:00"/>
    <d v="2025-06-11T00:00:00"/>
    <s v="Epilepsy"/>
    <s v="Anticonvulsant Therapy"/>
    <n v="40000"/>
    <s v="Care Health"/>
    <s v="Claim Processing"/>
    <s v="Transferred"/>
  </r>
  <r>
    <x v="205"/>
    <s v="Unknown"/>
    <n v="999"/>
    <s v="Female"/>
    <s v="Pune"/>
    <x v="4"/>
    <s v="Dr.Devi Shetty"/>
    <d v="2025-05-29T00:00:00"/>
    <d v="2025-12-23T00:00:00"/>
    <s v="Coronary Artery Disease"/>
    <s v="Angioplasty"/>
    <n v="300360.06"/>
    <s v="Icici Lombard"/>
    <s v="Partially Paid"/>
    <s v="Admitted"/>
  </r>
  <r>
    <x v="206"/>
    <s v="Priya Mehta"/>
    <n v="8"/>
    <s v="Female"/>
    <s v="Mumbai"/>
    <x v="6"/>
    <s v="Dr.Harshavardhan Hegde"/>
    <d v="2025-10-18T00:00:00"/>
    <d v="2025-12-23T00:00:00"/>
    <s v="Osteoarthritis Knee"/>
    <s v="Total Knee Replacement"/>
    <n v="125286.57"/>
    <s v="Icici Lombard"/>
    <s v="Paid"/>
    <s v="Admitted"/>
  </r>
  <r>
    <x v="207"/>
    <s v="Ritu Verma"/>
    <n v="65"/>
    <s v="Female"/>
    <s v="Chandigarh"/>
    <x v="7"/>
    <s v="Dr.Suresh Advani"/>
    <d v="2025-08-03T00:00:00"/>
    <d v="2025-12-23T00:00:00"/>
    <s v="Colorectal Cancer"/>
    <s v="Colectomy"/>
    <n v="-186594.85"/>
    <s v="None / Self Pay"/>
    <s v="Pending"/>
    <s v="Admitted"/>
  </r>
  <r>
    <x v="208"/>
    <s v="Aarav Kumar"/>
    <n v="53"/>
    <s v="Male"/>
    <s v="Mumbai"/>
    <x v="6"/>
    <s v="Dr.Harshavardhan Hegde"/>
    <d v="2025-11-22T00:00:00"/>
    <d v="2025-11-28T00:00:00"/>
    <s v="Osteoarthritis Knee"/>
    <s v="Total Knee Replacement"/>
    <n v="150874.89000000001"/>
    <s v="Max Bupa"/>
    <s v="Claim Processing"/>
    <s v="Expired"/>
  </r>
  <r>
    <x v="209"/>
    <s v="Aditya Patel"/>
    <n v="16"/>
    <s v="Male"/>
    <s v="Mumbai"/>
    <x v="5"/>
    <s v="Dr.Govind Makharia"/>
    <d v="2025-01-07T00:00:00"/>
    <d v="2025-07-07T00:00:00"/>
    <s v="Acute Pancreatitis"/>
    <s v="Conservative Management"/>
    <n v="161842.22"/>
    <s v="N/A"/>
    <s v="Claim_Pending"/>
    <s v="Discharged Against Medical Advice"/>
  </r>
  <r>
    <x v="210"/>
    <s v="Anjali Iyer"/>
    <n v="53"/>
    <s v="Female"/>
    <s v="Bangalore"/>
    <x v="6"/>
    <s v="Dr.Sks Marya"/>
    <d v="2025-07-04T00:00:00"/>
    <d v="2025-12-23T00:00:00"/>
    <s v="Femur Fracture"/>
    <s v="Internal Fixation"/>
    <n v="40000"/>
    <s v="None"/>
    <s v="Pending"/>
    <s v="Admitted"/>
  </r>
  <r>
    <x v="211"/>
    <s v="Anita Mehta"/>
    <n v="3"/>
    <s v="Female"/>
    <s v="Unknown"/>
    <x v="0"/>
    <s v="Dr.Harit Chaturvedi"/>
    <d v="2025-01-11T00:00:00"/>
    <d v="2025-01-21T00:00:00"/>
    <s v="Lymphoma"/>
    <s v="R-Chop Regimen"/>
    <n v="208374.36"/>
    <s v="Hdfc Ergo"/>
    <s v="Disputed"/>
    <s v="Transferred"/>
  </r>
  <r>
    <x v="212"/>
    <s v="Suresh Nair"/>
    <n v="66"/>
    <s v="Male"/>
    <s v="Kolkata"/>
    <x v="4"/>
    <s v="Dr.Ashok Seth"/>
    <d v="2025-03-14T00:00:00"/>
    <d v="2025-04-01T00:00:00"/>
    <s v="Myocardial Infarction"/>
    <s v="Thrombolysis"/>
    <n v="76422.86"/>
    <s v="Care Health"/>
    <s v="Pending"/>
    <s v="Discharged"/>
  </r>
  <r>
    <x v="213"/>
    <s v="Deepak Joshi"/>
    <n v="88"/>
    <s v="Male"/>
    <s v="Kolkata"/>
    <x v="0"/>
    <s v="Dr.Vinod Raina"/>
    <d v="2025-08-01T00:00:00"/>
    <d v="2025-08-04T00:00:00"/>
    <s v="Breast Carcinoma"/>
    <s v="Unknown"/>
    <n v="215647.84"/>
    <s v="Star Health"/>
    <s v="Disputed"/>
    <s v="Discharged"/>
  </r>
  <r>
    <x v="214"/>
    <s v="Diya Mehta"/>
    <n v="65"/>
    <s v="Female"/>
    <s v="Ahmedabad"/>
    <x v="6"/>
    <s v="Dr.Ramneek Mahajan"/>
    <d v="2025-01-17T00:00:00"/>
    <d v="2025-01-22T00:00:00"/>
    <s v="Femur Fracture"/>
    <s v="Internal Fixation"/>
    <n v="92369.02"/>
    <s v="None / Self Pay"/>
    <s v="Disputed"/>
    <s v="Discharged Against Medical Advice"/>
  </r>
  <r>
    <x v="215"/>
    <s v="Diya Mehta"/>
    <n v="33"/>
    <s v="Female"/>
    <s v="Chennai"/>
    <x v="2"/>
    <s v="Dr.Sushil Razdan"/>
    <d v="2025-04-03T00:00:00"/>
    <d v="2025-08-04T00:00:00"/>
    <s v="Parkinson'S Disease"/>
    <s v="Levodopa Therapy"/>
    <n v="273508.17"/>
    <s v="Star Health"/>
    <s v="Paid"/>
    <s v="Discharged"/>
  </r>
  <r>
    <x v="216"/>
    <s v="Pooja Verma"/>
    <n v="20"/>
    <s v="Female"/>
    <s v="Hyderabad"/>
    <x v="3"/>
    <s v="Dr.Krishan Chugh"/>
    <d v="2025-04-10T00:00:00"/>
    <d v="2025-12-23T00:00:00"/>
    <s v="Unknown"/>
    <s v="Iv Fluids &amp; Electrolytes"/>
    <n v="159154.76999999999"/>
    <s v="Bajaj Allianz"/>
    <s v="Disputed"/>
    <s v="Admitted"/>
  </r>
  <r>
    <x v="217"/>
    <s v="Diya Joshi"/>
    <n v="31"/>
    <s v="Female"/>
    <s v="Chandigarh"/>
    <x v="5"/>
    <s v="Dr.Govind Makharia"/>
    <d v="2025-06-22T00:00:00"/>
    <d v="2025-12-23T00:00:00"/>
    <s v="Gallstones / Cholecystitis"/>
    <s v="Laparoscopic Cholecystectomy"/>
    <n v="137168.85999999999"/>
    <s v="Hdfc Ergo"/>
    <s v="Disputed"/>
    <s v="Transferred"/>
  </r>
  <r>
    <x v="218"/>
    <s v="Pooja Gupta"/>
    <n v="88"/>
    <s v="Female"/>
    <s v="Hyderabad"/>
    <x v="5"/>
    <s v="Dr.Subhash Gupta"/>
    <d v="2025-01-14T00:00:00"/>
    <d v="2025-01-27T00:00:00"/>
    <s v="Gallstones / Cholecystitis"/>
    <s v="Laparoscopic Cholecystectomy"/>
    <n v="99999999"/>
    <s v="Icici Lombard"/>
    <s v="Disputed"/>
    <s v="Expired"/>
  </r>
  <r>
    <x v="219"/>
    <s v="Aarav Gupta"/>
    <n v="160"/>
    <s v="Male"/>
    <s v="Ahmedabad"/>
    <x v="1"/>
    <s v="Dr.Atul Gogia"/>
    <d v="2025-02-11T00:00:00"/>
    <d v="2025-02-25T00:00:00"/>
    <s v="Dengue Fever With Thrombocytopenia"/>
    <s v="Platelet Support"/>
    <n v="-234724.28"/>
    <s v="Icici Lombard"/>
    <s v="Disputed"/>
    <s v="Transferred"/>
  </r>
  <r>
    <x v="220"/>
    <s v="Diya Patel"/>
    <n v="67"/>
    <s v="Female"/>
    <s v="Pune"/>
    <x v="6"/>
    <s v="Dr.Sks Marya"/>
    <d v="2025-03-28T00:00:00"/>
    <d v="2025-04-03T00:00:00"/>
    <s v="Femur Fracture"/>
    <s v="Internal Fixation"/>
    <n v="330025.55"/>
    <s v="Icici Lombard"/>
    <s v="Pending"/>
    <s v="Transferred"/>
  </r>
  <r>
    <x v="221"/>
    <s v="Diya Nair"/>
    <n v="42"/>
    <s v="Female"/>
    <s v="Chandigarh"/>
    <x v="7"/>
    <s v="Dr.Mukul Varma"/>
    <d v="2025-05-29T00:00:00"/>
    <d v="2025-06-16T00:00:00"/>
    <s v="Epilepsy"/>
    <s v="Anticonvulsant Therapy"/>
    <n v="121793.68"/>
    <s v="None"/>
    <s v="Paid"/>
    <s v="Discharged"/>
  </r>
  <r>
    <x v="222"/>
    <s v="Anjali Bose"/>
    <n v="76"/>
    <s v="Female"/>
    <s v="Hyderabad"/>
    <x v="5"/>
    <s v="Dr.Subhash Gupta"/>
    <d v="2025-06-02T00:00:00"/>
    <d v="2025-06-09T00:00:00"/>
    <s v="Gallstones / Cholecystitis"/>
    <s v="Laparoscopic Cholecystectomy"/>
    <n v="35097.68"/>
    <s v="Hdfc Ergo"/>
    <s v="Disputed"/>
    <s v="Expired"/>
  </r>
  <r>
    <x v="223"/>
    <s v="Pooja Gupta"/>
    <n v="39"/>
    <s v="Female"/>
    <s v="Bangalore"/>
    <x v="1"/>
    <s v="Dr.R. K. Singhal"/>
    <d v="2025-05-11T00:00:00"/>
    <d v="2025-05-17T00:00:00"/>
    <s v="Urinary Tract Infection"/>
    <s v="Antibiotic Course"/>
    <n v="138020.31"/>
    <s v="Care Health"/>
    <s v="Claim Processing"/>
    <s v="Transferred"/>
  </r>
  <r>
    <x v="224"/>
    <s v="Ananya Iyer"/>
    <n v="45"/>
    <s v="Female"/>
    <s v="Kolkata"/>
    <x v="0"/>
    <s v="Dr.Harit Chaturvedi"/>
    <d v="2025-10-02T00:00:00"/>
    <d v="2025-10-18T00:00:00"/>
    <s v="Lung Adenocarcinoma"/>
    <s v="Targeted Therapy"/>
    <n v="346942.33"/>
    <s v="None"/>
    <s v="Claim Processing"/>
    <s v="Discharged Against Medical Advice"/>
  </r>
  <r>
    <x v="225"/>
    <s v="Unknown"/>
    <n v="75"/>
    <s v="Male"/>
    <s v="Jaipur"/>
    <x v="4"/>
    <s v="Dr.Ashok Seth"/>
    <d v="2025-06-06T00:00:00"/>
    <d v="2025-06-02T00:00:00"/>
    <s v="Arrhythmia"/>
    <s v="Pacemaker Implantation"/>
    <n v="-91922.240000000005"/>
    <s v="Hdfc Ergo"/>
    <s v="Disputed"/>
    <s v="Transferred"/>
  </r>
  <r>
    <x v="226"/>
    <s v="Aditya Singh"/>
    <n v="48"/>
    <s v="Male"/>
    <s v="Jaipur"/>
    <x v="2"/>
    <s v="Dr.Sushil Razdan"/>
    <d v="2025-10-23T00:00:00"/>
    <d v="2025-11-04T00:00:00"/>
    <s v="Acute Ischemic Stroke"/>
    <s v="Tpa Therapy"/>
    <n v="40000"/>
    <s v="Hdfc Ergo"/>
    <s v="Partially Paid"/>
    <s v="Discharged"/>
  </r>
  <r>
    <x v="227"/>
    <s v="Pooja Reddy"/>
    <n v="72"/>
    <s v="Female"/>
    <s v="Kolkata"/>
    <x v="4"/>
    <s v="Dr.Naresh Trehan"/>
    <d v="2025-03-03T00:00:00"/>
    <d v="2025-12-23T00:00:00"/>
    <s v="Heart Failure"/>
    <s v="Ace Inhibitors &amp; Diuretics"/>
    <n v="342444.11"/>
    <s v="None / Self Pay"/>
    <s v="Pending"/>
    <s v="Admitted"/>
  </r>
  <r>
    <x v="228"/>
    <s v="Anita Nair"/>
    <n v="18"/>
    <s v="Female"/>
    <s v="Chennai"/>
    <x v="2"/>
    <s v="Dr.Sushil Razdan"/>
    <d v="2025-11-08T00:00:00"/>
    <d v="2025-12-23T00:00:00"/>
    <s v="Acute Ischemic Stroke"/>
    <s v="Tpa Therapy"/>
    <n v="269352.28000000003"/>
    <s v="Bajaj Allianz"/>
    <s v="Disputed"/>
    <s v="Admitted"/>
  </r>
  <r>
    <x v="229"/>
    <s v="Rajesh Reddy"/>
    <n v="73"/>
    <s v="Male"/>
    <s v="Mumbai"/>
    <x v="0"/>
    <s v="Dr.Suresh Advani"/>
    <d v="2025-06-10T00:00:00"/>
    <d v="2025-06-28T00:00:00"/>
    <s v="Breast Carcinoma"/>
    <s v="Chemotherapy &amp; Lumpectomy"/>
    <n v="197586.65"/>
    <s v="Hdfc Ergo"/>
    <s v="Claim Processing"/>
    <s v="Expired"/>
  </r>
  <r>
    <x v="230"/>
    <s v="Pooja Verma"/>
    <n v="5"/>
    <s v="Female"/>
    <s v="Delhi"/>
    <x v="5"/>
    <s v="Dr.Unknown"/>
    <d v="2025-07-02T00:00:00"/>
    <d v="2025-07-05T00:00:00"/>
    <s v="Acute Pancreatitis"/>
    <s v="Conservative Management"/>
    <n v="87118.18"/>
    <s v="Care Health"/>
    <s v="Partially Paid"/>
    <s v="Discharged Against Medical Advice"/>
  </r>
  <r>
    <x v="231"/>
    <s v="Pooja Sharma"/>
    <n v="6"/>
    <s v="Female"/>
    <s v="Pune"/>
    <x v="4"/>
    <s v="Dr.Devi Shetty"/>
    <d v="2025-11-08T00:00:00"/>
    <d v="2025-11-14T00:00:00"/>
    <s v="Heart Failure"/>
    <s v="Ace Inhibitors &amp; Diuretics"/>
    <n v="173699.35"/>
    <s v="Max Bupa"/>
    <s v="Partially Paid"/>
    <s v="Expired"/>
  </r>
  <r>
    <x v="232"/>
    <s v="Anjali Gupta"/>
    <n v="70"/>
    <s v="Female"/>
    <s v="Bombay"/>
    <x v="6"/>
    <s v="Dr.Ramneek Mahajan"/>
    <d v="2025-12-06T00:00:00"/>
    <d v="2025-06-15T00:00:00"/>
    <s v="Osteoarthritis Knee"/>
    <s v="Total Knee Replacement"/>
    <n v="183816.01"/>
    <s v="Bajaj Allianz"/>
    <s v="Disputed"/>
    <s v="Discharged"/>
  </r>
  <r>
    <x v="233"/>
    <s v="Ananya Iyer"/>
    <n v="13"/>
    <s v="Female"/>
    <s v="Hyderabad"/>
    <x v="3"/>
    <s v="Dr.Arvind Bagga"/>
    <d v="2025-08-12T00:00:00"/>
    <d v="2025-08-21T00:00:00"/>
    <s v="Viral Gastroenteritis"/>
    <s v="Iv Fluids &amp; Electrolytes"/>
    <n v="43425.63"/>
    <s v="Star Health"/>
    <s v="Disputed"/>
    <s v="Expired"/>
  </r>
  <r>
    <x v="234"/>
    <s v="Sneha Gupta"/>
    <n v="49"/>
    <s v="Female"/>
    <s v="Pune"/>
    <x v="1"/>
    <s v="Dr.R. K. Singhal"/>
    <d v="2025-06-11T00:00:00"/>
    <d v="2025-11-19T00:00:00"/>
    <s v="Hypertensive Crisis"/>
    <s v="Iv Labetalol"/>
    <n v="40000"/>
    <s v="Care Health"/>
    <s v="Disputed"/>
    <s v="Transferred"/>
  </r>
  <r>
    <x v="235"/>
    <s v="Aarav Mehta"/>
    <n v="73"/>
    <s v="Male"/>
    <s v="Delhi"/>
    <x v="2"/>
    <s v="Dr.P. N. Renjen"/>
    <d v="2025-11-02T00:00:00"/>
    <d v="2025-02-12T00:00:00"/>
    <s v="Acute Ischemic Stroke"/>
    <s v="Tpa Therapy"/>
    <n v="270260.96999999997"/>
    <s v="None"/>
    <s v="Unknown"/>
    <s v="Transferred"/>
  </r>
  <r>
    <x v="236"/>
    <s v="Sneha Gupta"/>
    <n v="85"/>
    <s v="Female"/>
    <s v="Chandigarh"/>
    <x v="0"/>
    <s v="Dr.Harit Chaturvedi"/>
    <d v="2025-01-31T00:00:00"/>
    <d v="2025-10-02T00:00:00"/>
    <s v="Lymphoma"/>
    <s v="R-Chop Regimen"/>
    <n v="292075.46000000002"/>
    <s v="N/A"/>
    <s v="Paid"/>
    <s v="Discharged Against Medical Advice"/>
  </r>
  <r>
    <x v="237"/>
    <s v="Aditya Joshi"/>
    <n v="58"/>
    <s v="Male"/>
    <s v="Mumbai"/>
    <x v="4"/>
    <s v="Dr.Naresh Trehan"/>
    <d v="2025-09-25T00:00:00"/>
    <d v="2025-09-28T00:00:00"/>
    <s v="Coronary Artery Disease"/>
    <s v="Angioplasty"/>
    <n v="272662.94"/>
    <s v="Bajaj Allianz"/>
    <s v="Disputed"/>
    <s v="Discharged Against Medical Advice"/>
  </r>
  <r>
    <x v="238"/>
    <s v="Neha Sharma"/>
    <n v="23"/>
    <s v="Female"/>
    <s v="Chandigarh"/>
    <x v="0"/>
    <s v="Dr.Suresh Advani"/>
    <d v="2025-01-23T00:00:00"/>
    <d v="2025-02-05T00:00:00"/>
    <s v="Colorectal Cancer"/>
    <s v="Colectomy"/>
    <n v="73899.320000000007"/>
    <s v="None / Self Pay"/>
    <s v="Pending"/>
    <s v="Transferred"/>
  </r>
  <r>
    <x v="239"/>
    <s v="Pooja Kumar"/>
    <n v="13"/>
    <s v="Female"/>
    <s v="Kolkata"/>
    <x v="0"/>
    <s v="Dr.Suresh Advani"/>
    <d v="2025-09-12T00:00:00"/>
    <d v="2025-09-19T00:00:00"/>
    <s v="Lung Adenocarcinoma"/>
    <s v="Targeted Therapy"/>
    <n v="260952.41"/>
    <s v="Care Health"/>
    <s v="Claim Processing"/>
    <s v="Expired"/>
  </r>
  <r>
    <x v="240"/>
    <s v="Ritu Mehta"/>
    <n v="160"/>
    <s v="Female"/>
    <s v="Jaipur"/>
    <x v="6"/>
    <s v="Dr.Sks Marya"/>
    <d v="2025-06-30T00:00:00"/>
    <d v="2025-07-08T00:00:00"/>
    <s v="Unknown"/>
    <s v="Internal Fixation"/>
    <n v="14889.03"/>
    <s v="Star Health"/>
    <s v="Partially Paid"/>
    <s v="Transferred"/>
  </r>
  <r>
    <x v="241"/>
    <s v="Kabir Bose"/>
    <n v="58"/>
    <s v="Male"/>
    <s v="Delhi"/>
    <x v="5"/>
    <s v="Dr.Randhir Sud"/>
    <d v="2025-03-02T00:00:00"/>
    <d v="2025-03-16T00:00:00"/>
    <s v="Peptic Ulcer Bleeding"/>
    <s v="Endoscopic Banding"/>
    <n v="27887.8"/>
    <s v="None / Self Pay"/>
    <s v="Disputed"/>
    <s v="Discharged Against Medical Advice"/>
  </r>
  <r>
    <x v="242"/>
    <s v="Ramesh Kumar"/>
    <n v="75"/>
    <s v="Male"/>
    <s v="Chennai"/>
    <x v="6"/>
    <s v="Dr.Sks Marya"/>
    <d v="2025-12-10T00:00:00"/>
    <d v="2025-12-24T00:00:00"/>
    <s v="Rotator Cuff Tear"/>
    <s v="Arthroscopic Repair"/>
    <n v="207167.51"/>
    <s v="Bajaj Allianz"/>
    <s v="Paid"/>
    <s v="Discharged Against Medical Advice"/>
  </r>
  <r>
    <x v="243"/>
    <s v="Ramesh Joshi"/>
    <n v="30"/>
    <s v="Male"/>
    <s v="Chandigarh"/>
    <x v="6"/>
    <s v="Dr.Sks Marya"/>
    <d v="2025-06-07T00:00:00"/>
    <d v="2025-07-08T00:00:00"/>
    <s v="Femur Fracture"/>
    <s v="Internal Fixation"/>
    <n v="160039.89000000001"/>
    <s v="Max Bupa"/>
    <s v="Paid"/>
    <s v="Discharged"/>
  </r>
  <r>
    <x v="244"/>
    <s v="Rajesh_Singh"/>
    <n v="76"/>
    <s v="Male"/>
    <s v="Unknown"/>
    <x v="5"/>
    <s v="Dr.Govind Makharia"/>
    <d v="2025-07-17T00:00:00"/>
    <d v="2025-12-23T00:00:00"/>
    <s v="Liver Cirrhosis"/>
    <s v="Paracentesis &amp; Diuretics"/>
    <n v="333754.68"/>
    <s v="Max Bupa"/>
    <s v="Partially Paid"/>
    <s v="Admitted"/>
  </r>
  <r>
    <x v="245"/>
    <s v="Diya Gupta"/>
    <n v="18"/>
    <s v="Female"/>
    <s v="Jaipur"/>
    <x v="6"/>
    <s v="Dr.Ramneek Mahajan"/>
    <d v="2025-11-06T00:00:00"/>
    <d v="2025-12-23T00:00:00"/>
    <s v="Femur Fracture"/>
    <s v="Internal Fixation"/>
    <n v="65658.62"/>
    <s v="Star Health"/>
    <s v="Disputed"/>
    <s v="Admitted"/>
  </r>
  <r>
    <x v="246"/>
    <s v="Rajesh Kumar"/>
    <n v="47"/>
    <s v="Male"/>
    <s v="Chandigarh"/>
    <x v="5"/>
    <s v="Dr.Subhash Gupta"/>
    <d v="2025-04-12T00:00:00"/>
    <d v="2025-12-23T00:00:00"/>
    <s v="Liver Cirrhosis"/>
    <s v="Paracentesis &amp; Diuretics"/>
    <n v="100093.93"/>
    <s v="Hdfc Ergo"/>
    <s v="Pending"/>
    <s v="Discharged Against Medical Advice"/>
  </r>
  <r>
    <x v="247"/>
    <s v="Kavita Sharma"/>
    <n v="19"/>
    <s v="Female"/>
    <s v="Chennai"/>
    <x v="4"/>
    <s v="Dr.Naresh Trehan"/>
    <d v="2025-10-04T00:00:00"/>
    <d v="2025-04-17T00:00:00"/>
    <s v="Heart Failure"/>
    <s v="Ace Inhibitors &amp; Diuretics"/>
    <n v="251416.32000000001"/>
    <s v="Icici Lombard"/>
    <s v="Disputed"/>
    <s v="Expired"/>
  </r>
  <r>
    <x v="248"/>
    <s v="Pooja Singh"/>
    <n v="7"/>
    <s v="Female"/>
    <s v="Mumbai"/>
    <x v="1"/>
    <s v="Dr.R. K. Singhal"/>
    <d v="2025-06-10T00:00:00"/>
    <d v="2025-06-27T00:00:00"/>
    <s v="Dengue Fever With Thrombocytopenia"/>
    <s v="Platelet Support"/>
    <n v="267165.83"/>
    <s v="None / Self Pay"/>
    <s v="Partially Paid"/>
    <s v="Discharged"/>
  </r>
  <r>
    <x v="249"/>
    <s v="Aditya Singh"/>
    <n v="62"/>
    <s v="Male"/>
    <s v="Chennai"/>
    <x v="5"/>
    <s v="Dr.Subhash Gupta"/>
    <d v="2025-09-09T00:00:00"/>
    <d v="2025-09-23T00:00:00"/>
    <s v="Acute Pancreatitis"/>
    <s v="Conservative Management"/>
    <n v="288098.34000000003"/>
    <s v="Max Bupa"/>
    <s v="Claim Processing"/>
    <s v="Expired"/>
  </r>
  <r>
    <x v="250"/>
    <s v="Aditya Joshi"/>
    <n v="70"/>
    <s v="Male"/>
    <s v="Jaipur"/>
    <x v="6"/>
    <s v="Dr.Sks Marya"/>
    <d v="2025-02-16T00:00:00"/>
    <d v="2025-02-22T00:00:00"/>
    <s v="Osteoarthritis Knee"/>
    <s v="Total Knee Replacement"/>
    <n v="28856.82"/>
    <s v="Care Health"/>
    <s v="Partially Paid"/>
    <s v="Discharged"/>
  </r>
  <r>
    <x v="251"/>
    <s v="Ritu Singh"/>
    <n v="60"/>
    <s v="Female"/>
    <s v="Mumbai"/>
    <x v="4"/>
    <s v="Dr.Devi Shetty"/>
    <d v="2025-05-13T00:00:00"/>
    <d v="2025-12-23T00:00:00"/>
    <s v="Heart Failure"/>
    <s v="Ace Inhibitors &amp; Diuretics"/>
    <n v="24847.62"/>
    <s v="Care Health"/>
    <s v="Pending"/>
    <s v="Admitted"/>
  </r>
  <r>
    <x v="252"/>
    <s v="Kabir Gupta"/>
    <n v="24"/>
    <s v="Male"/>
    <s v="Mumbai"/>
    <x v="0"/>
    <s v="Dr.Vinod Raina"/>
    <d v="2025-11-22T00:00:00"/>
    <d v="2025-11-30T00:00:00"/>
    <s v="Colorectal Cancer"/>
    <s v="Colectomy"/>
    <n v="75690.77"/>
    <s v="Care Health"/>
    <s v="Paid"/>
    <s v="Transferred"/>
  </r>
  <r>
    <x v="253"/>
    <s v="Vihaan Gupta"/>
    <n v="18"/>
    <s v="Male"/>
    <s v="Mumbai"/>
    <x v="7"/>
    <s v="Dr.Harit Chaturvedi"/>
    <d v="2025-12-26T00:00:00"/>
    <d v="2026-01-09T00:00:00"/>
    <s v="Colorectal Cancer"/>
    <s v="Colectomy"/>
    <n v="292142.3"/>
    <s v="Icici Lombard"/>
    <s v="Paid"/>
    <s v="Discharged"/>
  </r>
  <r>
    <x v="254"/>
    <s v="Manoj Reddy"/>
    <n v="56"/>
    <s v="Male"/>
    <s v="Unknown"/>
    <x v="5"/>
    <s v="Dr.Randhir Sud"/>
    <d v="2025-11-16T00:00:00"/>
    <d v="2025-12-23T00:00:00"/>
    <s v="Peptic Ulcer Bleeding"/>
    <s v="Endoscopic Banding"/>
    <n v="218516.52"/>
    <s v="Icici Lombard"/>
    <s v="Partially Paid"/>
    <s v="Admitted"/>
  </r>
  <r>
    <x v="255"/>
    <s v="Kabir Reddy"/>
    <n v="10"/>
    <s v="Male"/>
    <s v="Mumbai"/>
    <x v="2"/>
    <s v="Dr.P. N. Renjen"/>
    <d v="2025-05-08T00:00:00"/>
    <d v="2025-05-22T00:00:00"/>
    <s v="Parkinson'S Disease"/>
    <s v="Levodopa Therapy"/>
    <n v="169398.15"/>
    <s v="Hdfc Ergo"/>
    <s v="Disputed"/>
    <s v="Expired"/>
  </r>
  <r>
    <x v="256"/>
    <s v="Sneha Mehta"/>
    <n v="19"/>
    <s v="Female"/>
    <s v="Chandigarh"/>
    <x v="1"/>
    <s v="Dr.Anoop Misra"/>
    <d v="2025-10-04T00:00:00"/>
    <d v="2025-12-23T00:00:00"/>
    <s v="Type 2 Diabetes Uncontrolled"/>
    <s v="Insulin Titration"/>
    <n v="267621"/>
    <s v="Bajaj Allianz"/>
    <s v="Disputed"/>
    <s v="Admitted"/>
  </r>
  <r>
    <x v="257"/>
    <s v="Meera Bose"/>
    <n v="61"/>
    <s v="Female"/>
    <s v="Ahmedabad"/>
    <x v="2"/>
    <s v="Dr.Mukul Varma"/>
    <d v="2025-04-10T00:00:00"/>
    <d v="2025-04-29T00:00:00"/>
    <s v="Epilepsy"/>
    <s v="Anticonvulsant Therapy"/>
    <n v="234451"/>
    <s v="Care Health"/>
    <s v="Paid"/>
    <s v="Discharged Against Medical Advice"/>
  </r>
  <r>
    <x v="258"/>
    <s v="Sunita Nair"/>
    <n v="20"/>
    <s v="Unspecified"/>
    <s v="Kolkata"/>
    <x v="0"/>
    <s v="Dr.Vinod Raina"/>
    <d v="2025-04-10T00:00:00"/>
    <d v="2025-12-23T00:00:00"/>
    <s v="Breast Carcinoma"/>
    <s v="Chemotherapy &amp; Lumpectomy"/>
    <n v="65515.33"/>
    <s v="Max Bupa"/>
    <s v="Claim Processing"/>
    <s v="Unknown"/>
  </r>
  <r>
    <x v="259"/>
    <s v="Aarav Gupta"/>
    <n v="58"/>
    <s v="Male"/>
    <s v="Mumbai"/>
    <x v="4"/>
    <s v="Dr.Ashok Seth"/>
    <d v="2025-02-20T00:00:00"/>
    <d v="2025-02-24T00:00:00"/>
    <s v="Myocardial Infarction"/>
    <s v="Thrombolysis"/>
    <n v="11310.31"/>
    <s v="Hdfc Ergo"/>
    <s v="Claim Processing"/>
    <s v="Discharged Against Medical Advice"/>
  </r>
  <r>
    <x v="260"/>
    <s v="Meera Mehta"/>
    <n v="75"/>
    <s v="Female"/>
    <s v="Jaipur"/>
    <x v="1"/>
    <s v="Dr.R. K. Singhal"/>
    <d v="2025-09-12T00:00:00"/>
    <d v="2025-09-13T00:00:00"/>
    <s v="Hypertensive Crisis"/>
    <s v="Iv Labetalol"/>
    <n v="70627.63"/>
    <s v="Star Health"/>
    <s v="Paid"/>
    <s v="Transferred"/>
  </r>
  <r>
    <x v="261"/>
    <s v="Meera Patel"/>
    <n v="79"/>
    <s v="Female"/>
    <s v="Ahmedabad"/>
    <x v="4"/>
    <s v="Dr.Naresh Trehan"/>
    <d v="2025-08-18T00:00:00"/>
    <d v="2025-08-26T00:00:00"/>
    <s v="Heart Failure"/>
    <s v="Ace Inhibitors &amp; Diuretics"/>
    <n v="219686.66"/>
    <s v="Icici Lombard"/>
    <s v="Disputed"/>
    <s v="Transferred"/>
  </r>
  <r>
    <x v="262"/>
    <s v="Diya Patel"/>
    <n v="72"/>
    <s v="Female"/>
    <s v="Bangalore"/>
    <x v="6"/>
    <s v="Dr.Ramneek Mahajan"/>
    <d v="2025-08-26T00:00:00"/>
    <d v="2025-12-23T00:00:00"/>
    <s v="Lumbar Spondylosis"/>
    <s v="Spinal Decompression"/>
    <n v="40000"/>
    <s v="Bajaj Allianz"/>
    <s v="Claim Processing"/>
    <s v="Admitted"/>
  </r>
  <r>
    <x v="263"/>
    <s v="Vihaan Verma"/>
    <n v="45"/>
    <s v="Male"/>
    <s v="Hyderabad"/>
    <x v="0"/>
    <s v="Dr.Harit Chaturvedi"/>
    <d v="2025-06-27T00:00:00"/>
    <d v="2025-12-23T00:00:00"/>
    <s v="Colorectal Cancer"/>
    <s v="Colectomy"/>
    <n v="328188.99"/>
    <s v="Star Health"/>
    <s v="Disputed"/>
    <s v="Admitted"/>
  </r>
  <r>
    <x v="264"/>
    <s v="Ramesh Iyer"/>
    <n v="2"/>
    <s v="Male"/>
    <s v="Mumbai"/>
    <x v="4"/>
    <s v="Dr.Naresh Trehan"/>
    <d v="2025-05-29T00:00:00"/>
    <d v="2025-12-23T00:00:00"/>
    <s v="Myocardial Infarction"/>
    <s v="Thrombolysis"/>
    <n v="176910.39"/>
    <s v="Star Health"/>
    <s v="Partially Paid"/>
    <s v="In-Patient"/>
  </r>
  <r>
    <x v="265"/>
    <s v="Amit Mehta"/>
    <n v="10"/>
    <s v="Male"/>
    <s v="Bangalore"/>
    <x v="2"/>
    <s v="Dr.P. N. Renjen"/>
    <d v="2025-06-23T00:00:00"/>
    <d v="2025-12-23T00:00:00"/>
    <s v="Parkinson'S Disease"/>
    <s v="Levodopa Therapy"/>
    <n v="142933.82"/>
    <s v="Max Bupa"/>
    <s v="Pending"/>
    <s v="Admitted"/>
  </r>
  <r>
    <x v="266"/>
    <s v="Meera Patel"/>
    <n v="81"/>
    <s v="Female"/>
    <s v="Kolkata"/>
    <x v="3"/>
    <s v="Dr.Krishan Chugh"/>
    <d v="2025-09-06T00:00:00"/>
    <d v="2025-06-12T00:00:00"/>
    <s v="Neonatal Jaundice"/>
    <s v="Phototherapy"/>
    <n v="40000"/>
    <s v="None"/>
    <s v="Partially Paid"/>
    <s v="Discharged Against Medical Advice"/>
  </r>
  <r>
    <x v="267"/>
    <s v="Rajesh Gupta"/>
    <n v="80"/>
    <s v="Male"/>
    <s v="Kolkata"/>
    <x v="2"/>
    <s v="Dr.P. N. Renjen"/>
    <d v="2025-10-24T00:00:00"/>
    <d v="2025-10-26T00:00:00"/>
    <s v="Epilepsy"/>
    <s v="Anticonvulsant Therapy"/>
    <n v="149246.6"/>
    <s v="Bajaj Allianz"/>
    <s v="Partially Paid"/>
    <s v="Transferred"/>
  </r>
  <r>
    <x v="268"/>
    <s v="Vikram Joshi"/>
    <n v="6"/>
    <s v="Male"/>
    <s v="Chandigarh"/>
    <x v="5"/>
    <s v="Dr.Randhir Sud"/>
    <d v="2025-08-22T00:00:00"/>
    <d v="2025-08-25T00:00:00"/>
    <s v="Liver Cirrhosis"/>
    <s v="Paracentesis &amp; Diuretics"/>
    <n v="255209.04"/>
    <s v="Max Bupa"/>
    <s v="Claim Processing"/>
    <s v="Expired"/>
  </r>
  <r>
    <x v="269"/>
    <s v="Kabir Patel"/>
    <n v="51"/>
    <s v="Male"/>
    <s v="Chandigarh"/>
    <x v="2"/>
    <s v="Dr.Sushil Razdan"/>
    <d v="2025-07-04T00:00:00"/>
    <d v="2025-12-23T00:00:00"/>
    <s v="Parkinson'S Disease"/>
    <s v="Levodopa Therapy"/>
    <n v="100750.51"/>
    <s v="Max Bupa"/>
    <s v="Partially Paid"/>
    <s v="Admitted"/>
  </r>
  <r>
    <x v="270"/>
    <s v="Aarav Verma"/>
    <n v="3"/>
    <s v="Male"/>
    <s v="Mumbai"/>
    <x v="3"/>
    <s v="Dr.Krishan Chugh"/>
    <d v="2025-09-20T00:00:00"/>
    <d v="2025-09-26T00:00:00"/>
    <s v="Severe Pneumonia"/>
    <s v="Iv Antibiotics"/>
    <n v="168972.32"/>
    <s v="Bajaj Allianz"/>
    <s v="Disputed"/>
    <s v="Expired"/>
  </r>
  <r>
    <x v="271"/>
    <s v="Sneha Iyer"/>
    <n v="41"/>
    <s v="Female"/>
    <s v="Mumbai"/>
    <x v="5"/>
    <s v="Dr.Subhash Gupta"/>
    <d v="2025-01-24T00:00:00"/>
    <d v="2025-02-04T00:00:00"/>
    <s v="Acute Pancreatitis"/>
    <s v="Conservative Management"/>
    <n v="153334.01999999999"/>
    <s v="Icici Lombard"/>
    <s v="Disputed"/>
    <s v="Discharged Against Medical Advice"/>
  </r>
  <r>
    <x v="272"/>
    <s v="Diya Gupta"/>
    <n v="8"/>
    <s v="Female"/>
    <s v="Bangalore"/>
    <x v="1"/>
    <s v="Dr.Atul Gogia"/>
    <d v="2025-06-14T00:00:00"/>
    <d v="2025-06-20T00:00:00"/>
    <s v="Hypertensive Crisis"/>
    <s v="Iv Labetalol"/>
    <n v="273053.57"/>
    <s v="Icici Lombard"/>
    <s v="Paid"/>
    <s v="Expired"/>
  </r>
  <r>
    <x v="273"/>
    <s v="Deepak Kumar"/>
    <n v="68"/>
    <s v="Male"/>
    <s v="Unknown"/>
    <x v="2"/>
    <s v="Dr.Mukul Varma"/>
    <d v="2025-05-22T00:00:00"/>
    <d v="2025-06-06T00:00:00"/>
    <s v="Epilepsy"/>
    <s v="Anticonvulsant Therapy"/>
    <n v="42562.48"/>
    <s v="Bajaj Allianz"/>
    <s v="Paid"/>
    <s v="Transferred"/>
  </r>
  <r>
    <x v="274"/>
    <s v="Suresh Verma"/>
    <n v="56"/>
    <s v="Male"/>
    <s v="Jaipur"/>
    <x v="4"/>
    <s v="Dr.Naresh Trehan"/>
    <d v="2025-01-02T00:00:00"/>
    <d v="2025-01-20T00:00:00"/>
    <s v="Myocardial Infarction"/>
    <s v="Thrombolysis"/>
    <n v="273509.90999999997"/>
    <s v="N/A"/>
    <s v="Pending"/>
    <s v="Transferred"/>
  </r>
  <r>
    <x v="275"/>
    <s v="Kabir Joshi"/>
    <n v="85"/>
    <s v="Male"/>
    <s v="Delhi"/>
    <x v="4"/>
    <s v="Dr.Devi Shetty"/>
    <d v="2025-07-06T00:00:00"/>
    <d v="2025-12-23T00:00:00"/>
    <s v="Myocardial Infarction"/>
    <s v="Thrombolysis"/>
    <n v="15445.5"/>
    <s v="None"/>
    <s v="Partially Paid"/>
    <s v="Admitted"/>
  </r>
  <r>
    <x v="276"/>
    <s v="Priya Singh"/>
    <n v="38"/>
    <s v="Female"/>
    <s v="Kolkata"/>
    <x v="2"/>
    <s v="Dr.P. N. Renjen"/>
    <d v="2025-01-16T00:00:00"/>
    <d v="2025-12-23T00:00:00"/>
    <s v="Parkinson'S Disease"/>
    <s v="Levodopa Therapy"/>
    <n v="229227.12"/>
    <s v="Care Health"/>
    <s v="Claim Processing"/>
    <s v="Admitted"/>
  </r>
  <r>
    <x v="277"/>
    <s v="Aditya Mehta"/>
    <n v="59"/>
    <s v="Male"/>
    <s v="Kolkata"/>
    <x v="6"/>
    <s v="Dr.Harshavardhan Hegde"/>
    <d v="2025-05-26T00:00:00"/>
    <d v="2025-06-08T00:00:00"/>
    <s v="Lumbar Spondylosis"/>
    <s v="Spinal Decompression"/>
    <n v="92715.25"/>
    <s v="Care Health"/>
    <s v="Partially Paid"/>
    <s v="Transferred"/>
  </r>
  <r>
    <x v="278"/>
    <s v="Aditya_Patel"/>
    <n v="18"/>
    <s v="Male"/>
    <s v="Mumbai"/>
    <x v="7"/>
    <s v="Dr.Harit Chaturvedi"/>
    <d v="2025-01-26T00:00:00"/>
    <d v="2025-02-10T00:00:00"/>
    <s v="Lung Adenocarcinoma"/>
    <s v="Targeted Therapy"/>
    <n v="39164.58"/>
    <s v="Star Health"/>
    <s v="Pending"/>
    <s v="Transferred"/>
  </r>
  <r>
    <x v="279"/>
    <s v="Priya Joshi"/>
    <n v="72"/>
    <s v="Female"/>
    <s v="Jaipur"/>
    <x v="4"/>
    <s v="Dr.Ashok Seth"/>
    <d v="2025-06-10T00:00:00"/>
    <d v="2025-06-24T00:00:00"/>
    <s v="Coronary Artery Disease"/>
    <s v="Angioplasty"/>
    <n v="256933.8"/>
    <s v="Star Health"/>
    <s v="Pending"/>
    <s v="Discharged"/>
  </r>
  <r>
    <x v="280"/>
    <s v="Sneha Patel"/>
    <n v="86"/>
    <s v="Female"/>
    <s v="Mumbai"/>
    <x v="3"/>
    <s v="Dr.Krishan Chugh"/>
    <d v="2025-08-29T00:00:00"/>
    <d v="2025-08-28T00:00:00"/>
    <s v="Acute Bronchiolitis"/>
    <s v="Nebulization &amp; O2 Support"/>
    <n v="266992.5"/>
    <s v="Icici Lombard"/>
    <s v="Paid"/>
    <s v="Discharged Against Medical Advice"/>
  </r>
  <r>
    <x v="281"/>
    <s v="Ritu Reddy"/>
    <n v="77"/>
    <s v="Female"/>
    <s v="Kolkata"/>
    <x v="6"/>
    <s v="Dr.Harshavardhan Hegde"/>
    <d v="2025-05-10T00:00:00"/>
    <d v="2025-05-25T00:00:00"/>
    <s v="Femur Fracture"/>
    <s v="Internal Fixation"/>
    <n v="210266.08"/>
    <s v="Hdfc Ergo"/>
    <s v="Paid"/>
    <s v="Discharged"/>
  </r>
  <r>
    <x v="282"/>
    <s v="Aditya Reddy"/>
    <n v="59"/>
    <s v="Male"/>
    <s v="Kolkata"/>
    <x v="3"/>
    <s v="Dr.Unknown"/>
    <d v="2025-11-17T00:00:00"/>
    <d v="2025-11-24T00:00:00"/>
    <s v="Severe Pneumonia"/>
    <s v="Iv Antibiotics"/>
    <n v="45237.98"/>
    <s v="Max Bupa"/>
    <s v="Paid"/>
    <s v="Discharged Against Medical Advice"/>
  </r>
  <r>
    <x v="283"/>
    <s v="Suresh Patel"/>
    <n v="59"/>
    <s v="Male"/>
    <s v="Delhi"/>
    <x v="1"/>
    <s v="Dr.Atul Gogia"/>
    <d v="2025-12-26T00:00:00"/>
    <d v="2026-12-01T00:00:00"/>
    <s v="Hypertensive Crisis"/>
    <s v="Iv Labetalol"/>
    <n v="286366.02"/>
    <s v="Hdfc Ergo"/>
    <s v="Paid"/>
    <s v="Discharged Against Medical Advice"/>
  </r>
  <r>
    <x v="284"/>
    <s v="Kavita Verma"/>
    <n v="45"/>
    <s v="Female"/>
    <s v="Jaipur"/>
    <x v="5"/>
    <s v="Dr.Subhash Gupta"/>
    <d v="2025-11-02T00:00:00"/>
    <d v="2025-11-16T00:00:00"/>
    <s v="Peptic Ulcer Bleeding"/>
    <s v="Unknown"/>
    <n v="321069.3"/>
    <s v="Unknown"/>
    <s v="Claim Processing"/>
    <s v="Unknown"/>
  </r>
  <r>
    <x v="285"/>
    <s v="Deepak Iyer"/>
    <n v="25"/>
    <s v="Male"/>
    <s v="Kolkata"/>
    <x v="4"/>
    <s v="Dr.Ashok Seth"/>
    <d v="2025-11-03T00:00:00"/>
    <d v="2025-11-13T00:00:00"/>
    <s v="Coronary Artery Disease"/>
    <s v="Angioplasty"/>
    <n v="205456.56"/>
    <s v="Care Health"/>
    <s v="Disputed"/>
    <s v="Discharged Against Medical Advice"/>
  </r>
  <r>
    <x v="286"/>
    <s v="Diya Verma"/>
    <n v="12"/>
    <s v="Female"/>
    <s v="Chennai"/>
    <x v="1"/>
    <s v="Dr.Anoop Misra"/>
    <d v="2025-01-24T00:00:00"/>
    <d v="2025-02-02T00:00:00"/>
    <s v="Hypertensive Crisis"/>
    <s v="Iv Labetalol"/>
    <n v="220121.52"/>
    <s v="Max Bupa"/>
    <s v="Pending"/>
    <s v="Discharged Against Medical Advice"/>
  </r>
  <r>
    <x v="287"/>
    <s v="Aarav Verma"/>
    <n v="9"/>
    <s v="Male"/>
    <s v="Chennai"/>
    <x v="1"/>
    <s v="Dr.Anoop Misra"/>
    <d v="2025-01-12T00:00:00"/>
    <d v="2025-01-26T00:00:00"/>
    <s v="Dengue Fever With Thrombocytopenia"/>
    <s v="Platelet Support"/>
    <n v="274018.15999999997"/>
    <s v="Star Health"/>
    <s v="Paid"/>
    <s v="Discharged Against Medical Advice"/>
  </r>
  <r>
    <x v="288"/>
    <s v="Ritu Kumar"/>
    <n v="58"/>
    <s v="Female"/>
    <s v="Ahmedabad"/>
    <x v="4"/>
    <s v="Dr.Devi Shetty"/>
    <d v="2025-02-15T00:00:00"/>
    <d v="2025-02-17T00:00:00"/>
    <s v="Myocardial Infarction"/>
    <s v="Thrombolysis"/>
    <n v="258752.78"/>
    <s v="None / Self Pay"/>
    <s v="Disputed"/>
    <s v="Expired"/>
  </r>
  <r>
    <x v="289"/>
    <s v="Ramesh Singh"/>
    <n v="62"/>
    <s v="Male"/>
    <s v="Mumbai"/>
    <x v="3"/>
    <s v="Dr.Veena Kalra"/>
    <d v="2025-11-27T00:00:00"/>
    <d v="2025-12-23T00:00:00"/>
    <s v="Acute Bronchiolitis"/>
    <s v="Nebulization &amp; O2 Support"/>
    <n v="331071.07"/>
    <s v="Care Health"/>
    <s v="Claim Processing"/>
    <s v="Unknown"/>
  </r>
  <r>
    <x v="290"/>
    <s v="Diya Patel"/>
    <n v="78"/>
    <s v="Female"/>
    <s v="Ahmedabad"/>
    <x v="4"/>
    <s v="Dr.Ashok Seth"/>
    <d v="2025-08-18T00:00:00"/>
    <d v="2025-08-19T00:00:00"/>
    <s v="Heart Failure"/>
    <s v="Ace Inhibitors &amp; Diuretics"/>
    <n v="98132.13"/>
    <s v="Bajaj Allianz"/>
    <s v="Partially Paid"/>
    <s v="Discharged"/>
  </r>
  <r>
    <x v="291"/>
    <s v="Sunita Verma"/>
    <n v="54"/>
    <s v="Female"/>
    <s v="Jaipur"/>
    <x v="6"/>
    <s v="Dr.Harshavardhan Hegde"/>
    <d v="2025-08-23T00:00:00"/>
    <d v="2025-09-01T00:00:00"/>
    <s v="Femur Fracture"/>
    <s v="Internal Fixation"/>
    <n v="-251314.05"/>
    <s v="Icici Lombard"/>
    <s v="Unknown"/>
    <s v="Discharged Against Medical Advice"/>
  </r>
  <r>
    <x v="292"/>
    <s v="Anita Mehta"/>
    <n v="85"/>
    <s v="Female"/>
    <s v="Chennai"/>
    <x v="3"/>
    <s v="Dr.Veena Kalra"/>
    <d v="2025-03-22T00:00:00"/>
    <d v="2025-04-09T00:00:00"/>
    <s v="Neonatal Jaundice"/>
    <s v="Phototherapy"/>
    <n v="269120.03999999998"/>
    <s v="Star Health"/>
    <s v="Unknown"/>
    <s v="Expired"/>
  </r>
  <r>
    <x v="293"/>
    <s v="Ananya Mehta"/>
    <n v="32"/>
    <s v="Female"/>
    <s v="Pune"/>
    <x v="4"/>
    <s v="Dr.Naresh Trehan"/>
    <d v="2025-08-25T00:00:00"/>
    <d v="2025-08-27T00:00:00"/>
    <s v="Arrhythmia"/>
    <s v="Pacemaker Implantation"/>
    <n v="147820.29"/>
    <s v="Star Health"/>
    <s v="Partially Paid"/>
    <s v="Discharged"/>
  </r>
  <r>
    <x v="294"/>
    <s v="Sunita Verma"/>
    <n v="31"/>
    <s v="Female"/>
    <s v="Delhi"/>
    <x v="0"/>
    <s v="Dr.Harit Chaturvedi"/>
    <d v="2025-09-06T00:00:00"/>
    <d v="2025-08-09T00:00:00"/>
    <s v="Lymphoma"/>
    <s v="R-Chop Regimen"/>
    <n v="310729.95"/>
    <s v="Care Health"/>
    <s v="Partially Paid"/>
    <s v="Discharged Against Medical Advice"/>
  </r>
  <r>
    <x v="295"/>
    <s v="Aditya Iyer"/>
    <n v="34"/>
    <s v="Male"/>
    <s v="Jaipur"/>
    <x v="1"/>
    <s v="Dr.Atul Gogia"/>
    <d v="2025-11-01T00:00:00"/>
    <d v="2025-11-10T00:00:00"/>
    <s v="Hypertensive Crisis"/>
    <s v="Iv Labetalol"/>
    <n v="174458.85"/>
    <s v="Icici Lombard"/>
    <s v="Pending"/>
    <s v="Discharged"/>
  </r>
  <r>
    <x v="296"/>
    <s v="Neha Bose"/>
    <n v="7"/>
    <s v="Female"/>
    <s v="Jaipur"/>
    <x v="6"/>
    <s v="Dr.Ramneek Mahajan"/>
    <d v="2025-11-28T00:00:00"/>
    <d v="2025-12-23T00:00:00"/>
    <s v="Osteoarthritis Knee"/>
    <s v="Total Knee Replacement"/>
    <n v="316907.76"/>
    <s v="Star Health"/>
    <s v="Partially Paid"/>
    <s v="Admitted"/>
  </r>
  <r>
    <x v="297"/>
    <s v="Meera Mehta"/>
    <n v="69"/>
    <s v="Female"/>
    <s v="Pune"/>
    <x v="5"/>
    <s v="Dr.Unknown"/>
    <d v="2025-04-10T00:00:00"/>
    <d v="2025-10-01T00:00:00"/>
    <s v="Peptic Ulcer Bleeding"/>
    <s v="Endoscopic Banding"/>
    <n v="142969.68"/>
    <s v="None"/>
    <s v="Claim Processing"/>
    <s v="Transferred"/>
  </r>
  <r>
    <x v="298"/>
    <s v="Kabir Verma"/>
    <n v="67"/>
    <s v="Male"/>
    <s v="Jaipur"/>
    <x v="5"/>
    <s v="Dr.Randhir Sud"/>
    <d v="2025-01-06T00:00:00"/>
    <d v="2025-01-20T00:00:00"/>
    <s v="Acute Pancreatitis"/>
    <s v="Conservative Management"/>
    <n v="200127.72"/>
    <s v="Icici Lombard"/>
    <s v="Disputed"/>
    <s v="Discharged"/>
  </r>
  <r>
    <x v="299"/>
    <s v="Manoj Sharma"/>
    <n v="40"/>
    <s v="Male"/>
    <s v="Delhi"/>
    <x v="6"/>
    <s v="Dr.Ramneek Mahajan"/>
    <d v="2025-04-04T00:00:00"/>
    <d v="2025-12-23T00:00:00"/>
    <s v="Femur Fracture"/>
    <s v="Internal Fixation"/>
    <n v="165777.60000000001"/>
    <s v="Care Health"/>
    <s v="Claim Processing"/>
    <s v="Admitted"/>
  </r>
  <r>
    <x v="300"/>
    <s v="Unknown"/>
    <n v="45"/>
    <s v="Female"/>
    <s v="Ahmedabad"/>
    <x v="0"/>
    <s v="Dr.Suresh Advani"/>
    <d v="2025-07-07T00:00:00"/>
    <d v="2025-12-23T00:00:00"/>
    <s v="Lung Adenocarcinoma"/>
    <s v="Targeted Therapy"/>
    <n v="281407.65999999997"/>
    <s v="Icici Lombard"/>
    <s v="Claim Processing"/>
    <s v="Admitted"/>
  </r>
  <r>
    <x v="301"/>
    <s v="Anjali Patel"/>
    <n v="5"/>
    <s v="Female"/>
    <s v="Kolkata"/>
    <x v="1"/>
    <s v="Dr.Atul Gogia"/>
    <d v="2025-09-09T00:00:00"/>
    <d v="2025-09-12T00:00:00"/>
    <s v="Hypertensive Crisis"/>
    <s v="Iv Labetalol"/>
    <n v="40000"/>
    <s v="None / Self Pay"/>
    <s v="Unknown"/>
    <s v="Expired"/>
  </r>
  <r>
    <x v="302"/>
    <s v="Sneha Gupta"/>
    <n v="47"/>
    <s v="Female"/>
    <s v="Chennai"/>
    <x v="0"/>
    <s v="Dr.Suresh Advani"/>
    <d v="2025-04-10T00:00:00"/>
    <d v="2025-12-23T00:00:00"/>
    <s v="Lung Adenocarcinoma"/>
    <s v="Targeted Therapy"/>
    <n v="174532.25"/>
    <s v="Bajaj Allianz"/>
    <s v="Claim Processing"/>
    <s v="Admitted"/>
  </r>
  <r>
    <x v="303"/>
    <s v="Unknown"/>
    <n v="47"/>
    <s v="Female"/>
    <s v="Jaipur"/>
    <x v="4"/>
    <s v="Dr.Naresh Trehan"/>
    <d v="2025-03-06T00:00:00"/>
    <d v="2025-12-23T00:00:00"/>
    <s v="Coronary Artery Disease"/>
    <s v="Angioplasty"/>
    <n v="72763.16"/>
    <s v="None / Self Pay"/>
    <s v="Partially Paid"/>
    <s v="Admitted"/>
  </r>
  <r>
    <x v="304"/>
    <s v="Manoj Bose"/>
    <n v="62"/>
    <s v="Male"/>
    <s v="Pune"/>
    <x v="1"/>
    <s v="Dr.Atul Gogia"/>
    <d v="2025-08-05T00:00:00"/>
    <d v="2025-11-08T00:00:00"/>
    <s v="Urinary Tract Infection"/>
    <s v="Antibiotic Course"/>
    <n v="177051.77"/>
    <s v="Icici Lombard"/>
    <s v="Paid"/>
    <s v="Expired"/>
  </r>
  <r>
    <x v="305"/>
    <s v="Sneha Joshi"/>
    <n v="65"/>
    <s v="Female"/>
    <s v="Chennai"/>
    <x v="3"/>
    <s v="Dr.Krishan Chugh"/>
    <d v="2025-10-08T00:00:00"/>
    <d v="2025-10-24T00:00:00"/>
    <s v="Unknown"/>
    <s v="Nebulization &amp; O2 Support"/>
    <n v="51762.55"/>
    <s v="Max Bupa"/>
    <s v="Disputed"/>
    <s v="Discharged Against Medical Advice"/>
  </r>
  <r>
    <x v="306"/>
    <s v="Ritu Iyer"/>
    <n v="38"/>
    <s v="Female"/>
    <s v="Chandigarh"/>
    <x v="2"/>
    <s v="Dr.P. N. Renjen"/>
    <d v="2025-08-08T00:00:00"/>
    <d v="2025-08-14T00:00:00"/>
    <s v="Migraine Chronic"/>
    <s v="Botox Injection &amp; Triptans"/>
    <n v="144237.31"/>
    <s v="Icici Lombard"/>
    <s v="Partially Paid"/>
    <s v="Transferred"/>
  </r>
  <r>
    <x v="307"/>
    <s v="Amit Kumar"/>
    <n v="17"/>
    <s v="Male"/>
    <s v="Chennai"/>
    <x v="6"/>
    <s v="Dr.Harshavardhan Hegde"/>
    <d v="2025-07-12T00:00:00"/>
    <d v="2025-12-23T00:00:00"/>
    <s v="Osteoarthritis Knee"/>
    <s v="Total Knee Replacement"/>
    <n v="154474.9"/>
    <s v="Bajaj Allianz"/>
    <s v="Pending"/>
    <s v="Admitted"/>
  </r>
  <r>
    <x v="308"/>
    <s v="Priya Verma"/>
    <n v="28"/>
    <s v="Female"/>
    <s v="Chandigarh"/>
    <x v="6"/>
    <s v="Dr.Sks Marya"/>
    <d v="2025-10-13T00:00:00"/>
    <d v="2025-12-23T00:00:00"/>
    <s v="Osteoarthritis Knee"/>
    <s v="Total Knee Replacement"/>
    <n v="-271072.07"/>
    <s v="Star Health"/>
    <s v="Paid"/>
    <s v="Discharged"/>
  </r>
  <r>
    <x v="309"/>
    <s v="Meera Iyer"/>
    <n v="78"/>
    <s v="Female"/>
    <s v="Unknown"/>
    <x v="0"/>
    <s v="Dr.Suresh Advani"/>
    <d v="2025-04-26T00:00:00"/>
    <d v="2025-05-14T00:00:00"/>
    <s v="Colorectal Cancer"/>
    <s v="Colectomy"/>
    <n v="40000"/>
    <s v="Icici Lombard"/>
    <s v="Pending"/>
    <s v="Discharged Against Medical Advice"/>
  </r>
  <r>
    <x v="310"/>
    <s v="Aarav Reddy"/>
    <n v="86"/>
    <s v="Male"/>
    <s v="Bangalore"/>
    <x v="7"/>
    <s v="Dr.Devi Shetty"/>
    <d v="2025-08-30T00:00:00"/>
    <d v="2025-09-11T00:00:00"/>
    <s v="Myocardial Infarction"/>
    <s v="Thrombolysis"/>
    <n v="47767.94"/>
    <s v="Hdfc Ergo"/>
    <s v="Partially Paid"/>
    <s v="Transferred"/>
  </r>
  <r>
    <x v="311"/>
    <s v="Ananya Nair"/>
    <n v="78"/>
    <s v="Female"/>
    <s v="Pune"/>
    <x v="1"/>
    <s v="Dr.Atul Gogia"/>
    <d v="2025-03-29T00:00:00"/>
    <d v="2025-04-04T00:00:00"/>
    <s v="Type 2 Diabetes Uncontrolled"/>
    <s v="Insulin Titration"/>
    <n v="42917.919999999998"/>
    <s v="Bajaj Allianz"/>
    <s v="Paid"/>
    <s v="Discharged Against Medical Advice"/>
  </r>
  <r>
    <x v="312"/>
    <s v="Rajesh Joshi"/>
    <n v="57"/>
    <s v="Male"/>
    <s v="Mumbai"/>
    <x v="6"/>
    <s v="Dr.Sks Marya"/>
    <d v="2025-01-18T00:00:00"/>
    <d v="2025-02-02T00:00:00"/>
    <s v="Rotator Cuff Tear"/>
    <s v="Arthroscopic Repair"/>
    <n v="276405.78000000003"/>
    <s v="None / Self Pay"/>
    <s v="Unknown"/>
    <s v="Discharged"/>
  </r>
  <r>
    <x v="313"/>
    <s v="Diya Gupta"/>
    <n v="32"/>
    <s v="Female"/>
    <s v="Chandigarh"/>
    <x v="3"/>
    <s v="Dr.Veena Kalra"/>
    <d v="2025-09-03T00:00:00"/>
    <d v="2025-08-09T00:00:00"/>
    <s v="Severe Pneumonia"/>
    <s v="Iv Antibiotics"/>
    <n v="270242.33"/>
    <s v="Bajaj Allianz"/>
    <s v="Disputed"/>
    <s v="Discharged Against Medical Advice"/>
  </r>
  <r>
    <x v="314"/>
    <s v="Aarav Iyer"/>
    <n v="83"/>
    <s v="Male"/>
    <s v="Mumbai"/>
    <x v="2"/>
    <s v="Dr.Mukul Varma"/>
    <d v="2025-10-03T00:00:00"/>
    <d v="2025-10-15T00:00:00"/>
    <s v="Epilepsy"/>
    <s v="Anticonvulsant Therapy"/>
    <n v="243996.75"/>
    <s v="Unknown"/>
    <s v="Paid"/>
    <s v="Discharged Against Medical Advice"/>
  </r>
  <r>
    <x v="315"/>
    <s v="Unknown"/>
    <n v="21"/>
    <s v="Male"/>
    <s v="Pune"/>
    <x v="6"/>
    <s v="Dr.Sks Marya"/>
    <d v="2025-02-10T00:00:00"/>
    <d v="2025-12-23T00:00:00"/>
    <s v="Osteoarthritis Knee"/>
    <s v="Total Knee Replacement"/>
    <n v="27887.200000000001"/>
    <s v="Unknown"/>
    <s v="Disputed"/>
    <s v="Admitted"/>
  </r>
  <r>
    <x v="316"/>
    <s v="Suresh Gupta"/>
    <n v="48"/>
    <s v="Male"/>
    <s v="Hyderabad"/>
    <x v="0"/>
    <s v="Dr.Harit Chaturvedi"/>
    <d v="2025-08-23T00:00:00"/>
    <d v="2025-09-06T00:00:00"/>
    <s v="Lung Adenocarcinoma"/>
    <s v="Targeted Therapy"/>
    <n v="94685.56"/>
    <s v="Max Bupa"/>
    <s v="Pending"/>
    <s v="Discharged Against Medical Advice"/>
  </r>
  <r>
    <x v="317"/>
    <s v="Priya Verma"/>
    <n v="28"/>
    <s v="Female"/>
    <s v="Pune"/>
    <x v="5"/>
    <s v="Dr.Govind Makharia"/>
    <d v="2025-03-02T00:00:00"/>
    <d v="2025-03-05T00:00:00"/>
    <s v="Peptic Ulcer Bleeding"/>
    <s v="Endoscopic Banding"/>
    <n v="297160.62"/>
    <s v="None"/>
    <s v="Disputed"/>
    <s v="In-Patient"/>
  </r>
  <r>
    <x v="318"/>
    <s v="Vihaan Nair"/>
    <n v="2"/>
    <s v="Male"/>
    <s v="Pune"/>
    <x v="7"/>
    <s v="Dr.Sks Marya"/>
    <d v="2025-07-28T00:00:00"/>
    <d v="2025-08-12T00:00:00"/>
    <s v="Rotator Cuff Tear"/>
    <s v="Arthroscopic Repair"/>
    <n v="226360.94"/>
    <s v="Max Bupa"/>
    <s v="Claim Processing"/>
    <s v="Transferred"/>
  </r>
  <r>
    <x v="319"/>
    <s v="Vihaan Verma"/>
    <n v="19"/>
    <s v="Male"/>
    <s v="Pune"/>
    <x v="0"/>
    <s v="Dr.Suresh Advani"/>
    <d v="2025-11-09T00:00:00"/>
    <d v="2025-12-23T00:00:00"/>
    <s v="Breast Carcinoma"/>
    <s v="Chemotherapy &amp; Lumpectomy"/>
    <n v="67171.45"/>
    <s v="Star Health"/>
    <s v="Paid"/>
    <s v="Admitted"/>
  </r>
  <r>
    <x v="320"/>
    <s v="Aarav Joshi"/>
    <n v="6"/>
    <s v="Male"/>
    <s v="Mumbai"/>
    <x v="5"/>
    <s v="Dr.Govind Makharia"/>
    <d v="2025-06-23T00:00:00"/>
    <d v="2025-06-29T00:00:00"/>
    <s v="Liver Cirrhosis"/>
    <s v="Paracentesis &amp; Diuretics"/>
    <n v="269392.61"/>
    <s v="Max Bupa"/>
    <s v="Partially Paid"/>
    <s v="Discharged Against Medical Advice"/>
  </r>
  <r>
    <x v="11"/>
    <s v="Deepak Mehta"/>
    <n v="19"/>
    <s v="Male"/>
    <s v="Hyderabad"/>
    <x v="6"/>
    <s v="Dr.Ramneek Mahajan"/>
    <d v="2025-11-12T00:00:00"/>
    <d v="2025-11-16T00:00:00"/>
    <s v="Femur Fracture"/>
    <s v="Internal Fixation"/>
    <n v="58427.63"/>
    <s v="Icici Lombard"/>
    <s v="Paid"/>
    <s v="Expired"/>
  </r>
  <r>
    <x v="321"/>
    <s v="Rajesh Verma"/>
    <n v="82"/>
    <s v="Male"/>
    <s v="Mumbai"/>
    <x v="2"/>
    <s v="Dr.Unknown"/>
    <d v="2025-12-09T00:00:00"/>
    <d v="2025-12-17T00:00:00"/>
    <s v="Epilepsy"/>
    <s v="Anticonvulsant Therapy"/>
    <n v="231726.06"/>
    <s v="None / Self Pay"/>
    <s v="Paid"/>
    <s v="Discharged Against Medical Advice"/>
  </r>
  <r>
    <x v="322"/>
    <s v="Aditya Iyer"/>
    <n v="8"/>
    <s v="Male"/>
    <s v="Chandigarh"/>
    <x v="1"/>
    <s v="Dr.Anoop Misra"/>
    <d v="2025-03-30T00:00:00"/>
    <d v="2025-04-15T00:00:00"/>
    <s v="Hypertensive Crisis"/>
    <s v="Iv Labetalol"/>
    <n v="40000"/>
    <s v="Care Health"/>
    <s v="Disputed"/>
    <s v="Expired"/>
  </r>
  <r>
    <x v="323"/>
    <s v="Amit Joshi"/>
    <n v="17"/>
    <s v="Male"/>
    <s v="Jaipur"/>
    <x v="0"/>
    <s v="Dr.Vinod Raina"/>
    <d v="2025-09-29T00:00:00"/>
    <d v="2025-03-10T00:00:00"/>
    <s v="Unknown"/>
    <s v="R-Chop Regimen"/>
    <n v="-32263.040000000001"/>
    <s v="Care Health"/>
    <s v="Disputed"/>
    <s v="Transferred"/>
  </r>
  <r>
    <x v="324"/>
    <s v="Anjali Nair"/>
    <n v="12"/>
    <s v="Female"/>
    <s v="Delhi"/>
    <x v="4"/>
    <s v="Dr.Naresh Trehan"/>
    <d v="2025-04-10T00:00:00"/>
    <d v="2025-02-23T00:00:00"/>
    <s v="Myocardial Infarction"/>
    <s v="Thrombolysis"/>
    <n v="330944.7"/>
    <s v="Bajaj Allianz"/>
    <s v="Pending"/>
    <s v="Discharged"/>
  </r>
  <r>
    <x v="325"/>
    <s v="Sneha Joshi"/>
    <n v="52"/>
    <s v="Female"/>
    <s v="Bangalore"/>
    <x v="0"/>
    <s v="Dr.Suresh Advani"/>
    <d v="2025-06-18T00:00:00"/>
    <d v="2025-06-19T00:00:00"/>
    <s v="Lung Adenocarcinoma"/>
    <s v="Targeted Therapy"/>
    <n v="15338.44"/>
    <s v="Care Health"/>
    <s v="Disputed"/>
    <s v="Transferred"/>
  </r>
  <r>
    <x v="326"/>
    <s v="Ritu Mehta"/>
    <n v="73"/>
    <s v="Female"/>
    <s v="Hyderabad"/>
    <x v="0"/>
    <s v="Dr.Suresh Advani"/>
    <d v="2025-02-08T00:00:00"/>
    <d v="2025-02-21T00:00:00"/>
    <s v="Lymphoma"/>
    <s v="R-Chop Regimen"/>
    <n v="301563.46000000002"/>
    <s v="Max Bupa"/>
    <s v="Disputed"/>
    <s v="Expired"/>
  </r>
  <r>
    <x v="327"/>
    <s v="Meera Kumar"/>
    <n v="38"/>
    <s v="Female"/>
    <s v="Unknown"/>
    <x v="4"/>
    <s v="Dr.Naresh Trehan"/>
    <d v="2025-10-03T00:00:00"/>
    <d v="2025-10-16T00:00:00"/>
    <s v="Coronary Artery Disease"/>
    <s v="Angioplasty"/>
    <n v="266848.95"/>
    <s v="Bajaj Allianz"/>
    <s v="Pending"/>
    <s v="Discharged"/>
  </r>
  <r>
    <x v="328"/>
    <s v="Aarav Iyer"/>
    <n v="56"/>
    <s v="Male"/>
    <s v="Ahmedabad"/>
    <x v="4"/>
    <s v="Dr.Ashok Seth"/>
    <d v="2025-04-10T00:00:00"/>
    <d v="2025-12-23T00:00:00"/>
    <s v="Arrhythmia"/>
    <s v="Pacemaker Implantation"/>
    <n v="-349245.8"/>
    <s v="N/A"/>
    <s v="Paid"/>
    <s v="Admitted"/>
  </r>
  <r>
    <x v="329"/>
    <s v="Manoj Verma"/>
    <n v="62"/>
    <s v="Male"/>
    <s v="Kolkata"/>
    <x v="3"/>
    <s v="Dr.Veena Kalra"/>
    <d v="2025-08-27T00:00:00"/>
    <d v="2025-12-23T00:00:00"/>
    <s v="Unknown"/>
    <s v="Iv Fluids &amp; Electrolytes"/>
    <n v="257045.17"/>
    <s v="Bajaj Allianz"/>
    <s v="Pending"/>
    <s v="Admitted"/>
  </r>
  <r>
    <x v="330"/>
    <s v="Vihaan Singh"/>
    <n v="80"/>
    <s v="Male"/>
    <s v="Chennai"/>
    <x v="0"/>
    <s v="Dr.Suresh Advani"/>
    <d v="2025-04-10T00:00:00"/>
    <d v="2025-10-21T00:00:00"/>
    <s v="Colorectal Cancer"/>
    <s v="Colectomy"/>
    <n v="113667.33"/>
    <s v="Care Health"/>
    <s v="Paid"/>
    <s v="Transferred"/>
  </r>
  <r>
    <x v="331"/>
    <s v="Rajesh Mehta"/>
    <n v="33"/>
    <s v="Male"/>
    <s v="Pune"/>
    <x v="0"/>
    <s v="Dr.Suresh Advani"/>
    <d v="2025-05-26T00:00:00"/>
    <d v="2025-12-23T00:00:00"/>
    <s v="Lung Adenocarcinoma"/>
    <s v="Targeted Therapy"/>
    <n v="327664.96000000002"/>
    <s v="Care Health"/>
    <s v="Disputed"/>
    <s v="Admitted"/>
  </r>
  <r>
    <x v="332"/>
    <s v="Sunita Joshi"/>
    <n v="77"/>
    <s v="Female"/>
    <s v="Ahmedabad"/>
    <x v="6"/>
    <s v="Dr.Ramneek Mahajan"/>
    <d v="2025-03-19T00:00:00"/>
    <d v="2025-03-31T00:00:00"/>
    <s v="Rotator Cuff Tear"/>
    <s v="Arthroscopic Repair"/>
    <n v="14412.2"/>
    <s v="Star Health"/>
    <s v="Paid"/>
    <s v="Discharged Against Medical Advice"/>
  </r>
  <r>
    <x v="333"/>
    <s v="Pooja Mehta"/>
    <n v="69"/>
    <s v="Female"/>
    <s v="Hyderabad"/>
    <x v="3"/>
    <s v="Dr.Arvind Bagga"/>
    <d v="2025-10-27T00:00:00"/>
    <d v="2025-11-02T00:00:00"/>
    <s v="Acute Bronchiolitis"/>
    <s v="Nebulization &amp; O2 Support"/>
    <n v="206432.71"/>
    <s v="Icici Lombard"/>
    <s v="Pending"/>
    <s v="Expired"/>
  </r>
  <r>
    <x v="334"/>
    <s v="Ramesh Patel"/>
    <n v="17"/>
    <s v="Male"/>
    <s v="Chennai"/>
    <x v="2"/>
    <s v="Dr.Mukul Varma"/>
    <d v="2025-05-04T00:00:00"/>
    <d v="2025-05-15T00:00:00"/>
    <s v="Unknown"/>
    <s v="Tpa Therapy"/>
    <n v="-115728.64"/>
    <s v="Hdfc Ergo"/>
    <s v="Pending"/>
    <s v="Transferred"/>
  </r>
  <r>
    <x v="335"/>
    <s v="Vihaan Singh"/>
    <n v="85"/>
    <s v="Male"/>
    <s v="Chandigarh"/>
    <x v="5"/>
    <s v="Dr.Govind Makharia"/>
    <d v="2025-02-16T00:00:00"/>
    <d v="2025-12-23T00:00:00"/>
    <s v="Acute Pancreatitis"/>
    <s v="Conservative Management"/>
    <n v="68567.039999999994"/>
    <s v="None / Self Pay"/>
    <s v="Paid"/>
    <s v="Admitted"/>
  </r>
  <r>
    <x v="336"/>
    <s v="Manoj Patel"/>
    <n v="18"/>
    <s v="Male"/>
    <s v="Chandigarh"/>
    <x v="5"/>
    <s v="Dr.Randhir Sud"/>
    <d v="2025-02-21T00:00:00"/>
    <d v="2025-02-23T00:00:00"/>
    <s v="Gallstones / Cholecystitis"/>
    <s v="Laparoscopic Cholecystectomy"/>
    <n v="245988.96"/>
    <s v="Unknown"/>
    <s v="Disputed"/>
    <s v="Discharged"/>
  </r>
  <r>
    <x v="337"/>
    <s v="Rajesh Singh"/>
    <n v="50"/>
    <s v="Male"/>
    <s v="Kolkata"/>
    <x v="0"/>
    <s v="Dr.Unknown"/>
    <d v="2025-06-17T00:00:00"/>
    <d v="2025-06-26T00:00:00"/>
    <s v="Breast Carcinoma"/>
    <s v="Chemotherapy &amp; Lumpectomy"/>
    <n v="75111.69"/>
    <s v="Hdfc Ergo"/>
    <s v="Paid"/>
    <s v="Expired"/>
  </r>
  <r>
    <x v="338"/>
    <s v="Deepak Verma"/>
    <n v="65"/>
    <s v="Male"/>
    <s v="Hyderabad"/>
    <x v="3"/>
    <s v="Dr.Veena Kalra"/>
    <d v="2025-04-16T00:00:00"/>
    <d v="2025-04-19T00:00:00"/>
    <s v="Acute Bronchiolitis"/>
    <s v="Nebulization &amp; O2 Support"/>
    <n v="180878.3"/>
    <s v="Star Health"/>
    <s v="Paid"/>
    <s v="Discharged"/>
  </r>
  <r>
    <x v="339"/>
    <s v="Aarav Mehta"/>
    <n v="25"/>
    <s v="Male"/>
    <s v="Hyderabad"/>
    <x v="2"/>
    <s v="Dr.P. N. Renjen"/>
    <d v="2025-03-22T00:00:00"/>
    <d v="2025-04-06T00:00:00"/>
    <s v="Epilepsy"/>
    <s v="Anticonvulsant Therapy"/>
    <n v="68817.2"/>
    <s v="Icici Lombard"/>
    <s v="Partially Paid"/>
    <s v="Discharged Against Medical Advice"/>
  </r>
  <r>
    <x v="340"/>
    <s v="Sneha Gupta"/>
    <n v="58"/>
    <s v="Unspecified"/>
    <s v="Delhi"/>
    <x v="2"/>
    <s v="Dr.Unknown"/>
    <d v="2025-04-05T00:00:00"/>
    <d v="2025-04-14T00:00:00"/>
    <s v="Migraine Chronic"/>
    <s v="Botox Injection &amp; Triptans"/>
    <n v="229226.77"/>
    <s v="Icici Lombard"/>
    <s v="Pending"/>
    <s v="Expired"/>
  </r>
  <r>
    <x v="341"/>
    <s v="Vikram Mehta"/>
    <n v="29"/>
    <s v="Male"/>
    <s v="Jaipur"/>
    <x v="0"/>
    <s v="Dr.Suresh Advani"/>
    <d v="2025-02-01T00:00:00"/>
    <d v="2025-12-23T00:00:00"/>
    <s v="Lung Adenocarcinoma"/>
    <s v="Targeted Therapy"/>
    <n v="183161.99"/>
    <s v="Bajaj Allianz"/>
    <s v="Paid"/>
    <s v="Admitted"/>
  </r>
  <r>
    <x v="342"/>
    <s v="Amit Singh"/>
    <n v="14"/>
    <s v="Unspecified"/>
    <s v="Delhi"/>
    <x v="3"/>
    <s v="Dr.Krishan Chugh"/>
    <d v="2025-04-08T00:00:00"/>
    <d v="2025-04-24T00:00:00"/>
    <s v="Acute Bronchiolitis"/>
    <s v="Nebulization &amp; O2 Support"/>
    <n v="129525.51"/>
    <s v="Care Health"/>
    <s v="Partially Paid"/>
    <s v="Discharged"/>
  </r>
  <r>
    <x v="343"/>
    <s v="Vikram Verma"/>
    <n v="3"/>
    <s v="Male"/>
    <s v="Hyderabad"/>
    <x v="2"/>
    <s v="Dr.Mukul Varma"/>
    <d v="2025-02-10T00:00:00"/>
    <d v="2025-02-08T00:00:00"/>
    <s v="Acute Ischemic Stroke"/>
    <s v="Tpa Therapy"/>
    <n v="174036.3"/>
    <s v="Bajaj Allianz"/>
    <s v="Partially Paid"/>
    <s v="Discharged"/>
  </r>
  <r>
    <x v="344"/>
    <s v="Rajesh Singh"/>
    <n v="83"/>
    <s v="Male"/>
    <s v="Delhi"/>
    <x v="1"/>
    <s v="Dr.Anoop Misra"/>
    <d v="2025-12-10T00:00:00"/>
    <d v="2025-12-11T00:00:00"/>
    <s v="Unknown"/>
    <s v="Platelet Support"/>
    <n v="21364.73"/>
    <s v="Bajaj Allianz"/>
    <s v="Claim Processing"/>
    <s v="Discharged"/>
  </r>
  <r>
    <x v="345"/>
    <s v="Diya Reddy"/>
    <n v="22"/>
    <s v="Female"/>
    <s v="Hyderabad"/>
    <x v="3"/>
    <s v="Dr.Arvind Bagga"/>
    <d v="2025-02-01T00:00:00"/>
    <d v="2025-02-18T00:00:00"/>
    <s v="Acute Bronchiolitis"/>
    <s v="Nebulization &amp; O2 Support"/>
    <n v="344496.24"/>
    <s v="Icici Lombard"/>
    <s v="Disputed"/>
    <s v="Discharged Against Medical Advice"/>
  </r>
  <r>
    <x v="346"/>
    <s v="Vikram Iyer"/>
    <n v="26"/>
    <s v="Unspecified"/>
    <s v="Pune"/>
    <x v="3"/>
    <s v="Dr.Arvind Bagga"/>
    <d v="2025-06-26T00:00:00"/>
    <d v="2025-08-07T00:00:00"/>
    <s v="Severe Pneumonia"/>
    <s v="Iv Antibiotics"/>
    <n v="346234.73"/>
    <s v="None"/>
    <s v="Partially Paid"/>
    <s v="Discharged"/>
  </r>
  <r>
    <x v="347"/>
    <s v="Vihaan Verma"/>
    <n v="3"/>
    <s v="Male"/>
    <s v="Ahmedabad"/>
    <x v="5"/>
    <s v="Dr.Randhir Sud"/>
    <d v="2025-08-18T00:00:00"/>
    <d v="2025-12-23T00:00:00"/>
    <s v="Peptic Ulcer Bleeding"/>
    <s v="Endoscopic Banding"/>
    <n v="-228488.28"/>
    <s v="Care Health"/>
    <s v="Paid"/>
    <s v="Admitted"/>
  </r>
  <r>
    <x v="348"/>
    <s v="Deepak Verma"/>
    <n v="58"/>
    <s v="Male"/>
    <s v="Hyderabad"/>
    <x v="4"/>
    <s v="Dr.Naresh Trehan"/>
    <d v="2025-01-29T00:00:00"/>
    <d v="2025-05-02T00:00:00"/>
    <s v="Coronary Artery Disease"/>
    <s v="Angioplasty"/>
    <n v="284470.31"/>
    <s v="Bajaj Allianz"/>
    <s v="Partially Paid"/>
    <s v="Transferred"/>
  </r>
  <r>
    <x v="349"/>
    <s v="Manoj Nair"/>
    <n v="47"/>
    <s v="Male"/>
    <s v="Delhi"/>
    <x v="6"/>
    <s v="Dr.Ramneek Mahajan"/>
    <d v="2025-12-07T00:00:00"/>
    <d v="2025-12-23T00:00:00"/>
    <s v="Rotator Cuff Tear"/>
    <s v="Arthroscopic Repair"/>
    <n v="291337.67"/>
    <s v="Icici Lombard"/>
    <s v="Paid"/>
    <s v="Admitted"/>
  </r>
  <r>
    <x v="350"/>
    <s v="Aditya Mehta"/>
    <n v="53"/>
    <s v="Male"/>
    <s v="Delhi"/>
    <x v="2"/>
    <s v="Dr.Sushil Razdan"/>
    <d v="2025-09-19T00:00:00"/>
    <d v="2025-12-23T00:00:00"/>
    <s v="Acute Ischemic Stroke"/>
    <s v="Tpa Therapy"/>
    <n v="315860.09999999998"/>
    <s v="None / Self Pay"/>
    <s v="Partially Paid"/>
    <s v="Admitted"/>
  </r>
  <r>
    <x v="351"/>
    <s v="Sunita Kumar"/>
    <n v="61"/>
    <s v="Female"/>
    <s v="Chandigarh"/>
    <x v="7"/>
    <s v="Dr.Govind Makharia"/>
    <d v="2025-01-11T00:00:00"/>
    <d v="2025-01-15T00:00:00"/>
    <s v="Peptic Ulcer Bleeding"/>
    <s v="Endoscopic Banding"/>
    <n v="12286.13"/>
    <s v="None"/>
    <s v="Paid"/>
    <s v="Discharged"/>
  </r>
  <r>
    <x v="352"/>
    <s v="Priya Verma"/>
    <n v="83"/>
    <s v="Female"/>
    <s v="Kolkata"/>
    <x v="5"/>
    <s v="Dr.Randhir Sud"/>
    <d v="2025-03-05T00:00:00"/>
    <d v="2025-06-05T00:00:00"/>
    <s v="Liver Cirrhosis"/>
    <s v="Paracentesis &amp; Diuretics"/>
    <n v="81893.210000000006"/>
    <s v="None / Self Pay"/>
    <s v="Pending"/>
    <s v="Transferred"/>
  </r>
  <r>
    <x v="353"/>
    <s v="Meera Bose"/>
    <n v="10"/>
    <s v="Female"/>
    <s v="Ahmedabad"/>
    <x v="6"/>
    <s v="Dr.Harshavardhan Hegde"/>
    <d v="2025-02-06T00:00:00"/>
    <d v="2025-12-23T00:00:00"/>
    <s v="Lumbar Spondylosis"/>
    <s v="Spinal Decompression"/>
    <n v="15667.1"/>
    <s v="Star Health"/>
    <s v="Disputed"/>
    <s v="Admitted"/>
  </r>
  <r>
    <x v="354"/>
    <s v="Rohan Bose"/>
    <n v="88"/>
    <s v="Male"/>
    <s v="Bangalore"/>
    <x v="3"/>
    <s v="Dr.Veena Kalra"/>
    <d v="2025-06-09T00:00:00"/>
    <d v="2025-12-23T00:00:00"/>
    <s v="Severe Pneumonia"/>
    <s v="Iv Antibiotics"/>
    <n v="328190.71000000002"/>
    <s v="Bajaj Allianz"/>
    <s v="Pending"/>
    <s v="Admitted"/>
  </r>
  <r>
    <x v="355"/>
    <s v="Vihaan Verma"/>
    <n v="16"/>
    <s v="Male"/>
    <s v="Pune"/>
    <x v="4"/>
    <s v="Dr.Ashok Seth"/>
    <d v="2025-10-18T00:00:00"/>
    <d v="2025-01-11T00:00:00"/>
    <s v="Heart Failure"/>
    <s v="Ace Inhibitors &amp; Diuretics"/>
    <n v="102588.38"/>
    <s v="Icici Lombard"/>
    <s v="Disputed"/>
    <s v="Discharged Against Medical Advice"/>
  </r>
  <r>
    <x v="356"/>
    <s v="Anita Joshi"/>
    <n v="18"/>
    <s v="Female"/>
    <s v="Mumbai"/>
    <x v="3"/>
    <s v="Dr.Unknown"/>
    <d v="2025-06-23T00:00:00"/>
    <d v="2025-06-24T00:00:00"/>
    <s v="Severe Pneumonia"/>
    <s v="Iv Antibiotics"/>
    <n v="243594.27"/>
    <s v="None / Self Pay"/>
    <s v="Pending"/>
    <s v="Discharged Against Medical Advice"/>
  </r>
  <r>
    <x v="357"/>
    <s v="Neha Iyer"/>
    <n v="88"/>
    <s v="Female"/>
    <s v="Unknown"/>
    <x v="0"/>
    <s v="Dr.Harit Chaturvedi"/>
    <d v="2025-08-02T00:00:00"/>
    <d v="2025-12-23T00:00:00"/>
    <s v="Breast Carcinoma"/>
    <s v="Chemotherapy &amp; Lumpectomy"/>
    <n v="261994.94"/>
    <s v="Unknown"/>
    <s v="Paid"/>
    <s v="Admitted"/>
  </r>
  <r>
    <x v="358"/>
    <s v="Neha Reddy"/>
    <n v="79"/>
    <s v="Female"/>
    <s v="Kolkata"/>
    <x v="5"/>
    <s v="Dr.Govind Makharia"/>
    <d v="2025-07-02T00:00:00"/>
    <d v="2025-07-15T00:00:00"/>
    <s v="Acute Pancreatitis"/>
    <s v="Conservative Management"/>
    <n v="80052.56"/>
    <s v="Icici Lombard"/>
    <s v="Paid"/>
    <s v="Discharged Against Medical Advice"/>
  </r>
  <r>
    <x v="359"/>
    <s v="Vihaan Sharma"/>
    <n v="15"/>
    <s v="Male"/>
    <s v="Ahmedabad"/>
    <x v="6"/>
    <s v="Dr.Sks Marya"/>
    <d v="2025-11-28T00:00:00"/>
    <d v="2025-12-23T00:00:00"/>
    <s v="Lumbar Spondylosis"/>
    <s v="Spinal Decompression"/>
    <n v="285895.32"/>
    <s v="Bajaj Allianz"/>
    <s v="Pending"/>
    <s v="Admitted"/>
  </r>
  <r>
    <x v="360"/>
    <s v="Unknown"/>
    <n v="18"/>
    <s v="Female"/>
    <s v="Kolkata"/>
    <x v="5"/>
    <s v="Dr.Randhir Sud"/>
    <d v="2025-11-20T00:00:00"/>
    <d v="2025-11-28T00:00:00"/>
    <s v="Liver Cirrhosis"/>
    <s v="Paracentesis &amp; Diuretics"/>
    <n v="118716.9"/>
    <s v="None / Self Pay"/>
    <s v="Pending"/>
    <s v="Expired"/>
  </r>
  <r>
    <x v="361"/>
    <s v="Rohan Kumar"/>
    <n v="38"/>
    <s v="Male"/>
    <s v="Chennai"/>
    <x v="0"/>
    <s v="Dr.Vinod Raina"/>
    <d v="2025-01-18T00:00:00"/>
    <d v="2025-01-25T00:00:00"/>
    <s v="Breast Carcinoma"/>
    <s v="Chemotherapy &amp; Lumpectomy"/>
    <n v="316292.25"/>
    <s v="Max Bupa"/>
    <s v="Partially Paid"/>
    <s v="Transferred"/>
  </r>
  <r>
    <x v="362"/>
    <s v="Kabir Reddy"/>
    <n v="64"/>
    <s v="Male"/>
    <s v="Unknown"/>
    <x v="1"/>
    <s v="Dr.R. K. Singhal"/>
    <d v="2025-01-19T00:00:00"/>
    <d v="2025-01-20T00:00:00"/>
    <s v="Dengue Fever With Thrombocytopenia"/>
    <s v="Unknown"/>
    <n v="138512.87"/>
    <s v="Max Bupa"/>
    <s v="Partially Paid"/>
    <s v="Discharged Against Medical Advice"/>
  </r>
  <r>
    <x v="363"/>
    <s v="Anita Gupta"/>
    <n v="81"/>
    <s v="Female"/>
    <s v="Mumbai"/>
    <x v="4"/>
    <s v="Dr.Devi Shetty"/>
    <d v="2025-06-20T00:00:00"/>
    <d v="2025-07-06T00:00:00"/>
    <s v="Arrhythmia"/>
    <s v="Pacemaker Implantation"/>
    <n v="164538.67000000001"/>
    <s v="Star Health"/>
    <s v="Paid"/>
    <s v="Expired"/>
  </r>
  <r>
    <x v="364"/>
    <s v="Priya Sharma"/>
    <n v="31"/>
    <s v="Female"/>
    <s v="Chandigarh"/>
    <x v="3"/>
    <s v="Dr.Veena Kalra"/>
    <d v="2025-07-06T00:00:00"/>
    <d v="2025-07-16T00:00:00"/>
    <s v="Severe Pneumonia"/>
    <s v="Iv Antibiotics"/>
    <n v="265719.40000000002"/>
    <s v="Hdfc Ergo"/>
    <s v="Disputed"/>
    <s v="Discharged Against Medical Advice"/>
  </r>
  <r>
    <x v="365"/>
    <s v="Amit Patel"/>
    <n v="41"/>
    <s v="Male"/>
    <s v="Jaipur"/>
    <x v="3"/>
    <s v="Dr.Veena Kalra"/>
    <d v="2025-02-18T00:00:00"/>
    <d v="2025-02-24T00:00:00"/>
    <s v="Neonatal Jaundice"/>
    <s v="Phototherapy"/>
    <n v="5470.34"/>
    <s v="Unknown"/>
    <s v="Pending"/>
    <s v="Discharged"/>
  </r>
  <r>
    <x v="366"/>
    <s v="Priya Verma"/>
    <n v="14"/>
    <s v="Female"/>
    <s v="Chandigarh"/>
    <x v="0"/>
    <s v="Dr.Suresh Advani"/>
    <d v="2025-02-28T00:00:00"/>
    <d v="2025-03-05T00:00:00"/>
    <s v="Breast Carcinoma"/>
    <s v="Chemotherapy &amp; Lumpectomy"/>
    <n v="-153231.04999999999"/>
    <s v="Icici Lombard"/>
    <s v="Partially Paid"/>
    <s v="Expired"/>
  </r>
  <r>
    <x v="367"/>
    <s v="Neha Gupta"/>
    <n v="64"/>
    <s v="Female"/>
    <s v="Jaipur"/>
    <x v="3"/>
    <s v="Dr.Krishan Chugh"/>
    <d v="2025-05-08T00:00:00"/>
    <d v="2025-05-17T00:00:00"/>
    <s v="Severe Pneumonia"/>
    <s v="Unknown"/>
    <n v="298327.53999999998"/>
    <s v="Icici Lombard"/>
    <s v="Unknown"/>
    <s v="Discharged"/>
  </r>
  <r>
    <x v="368"/>
    <s v="Aditya Iyer"/>
    <n v="12"/>
    <s v="Male"/>
    <s v="Chandigarh"/>
    <x v="0"/>
    <s v="Dr.Suresh Advani"/>
    <d v="2025-04-10T00:00:00"/>
    <d v="2025-10-28T00:00:00"/>
    <s v="Breast Carcinoma"/>
    <s v="Chemotherapy &amp; Lumpectomy"/>
    <n v="314197.02"/>
    <s v="Care Health"/>
    <s v="Pending"/>
    <s v="Expired"/>
  </r>
  <r>
    <x v="369"/>
    <s v="Rohan Nair"/>
    <n v="35"/>
    <s v="Male"/>
    <s v="Hyderabad"/>
    <x v="0"/>
    <s v="Dr.Vinod Raina"/>
    <d v="2025-09-04T00:00:00"/>
    <d v="2025-12-23T00:00:00"/>
    <s v="Breast Carcinoma"/>
    <s v="Chemotherapy &amp; Lumpectomy"/>
    <n v="308766.90999999997"/>
    <s v="Icici Lombard"/>
    <s v="Partially Paid"/>
    <s v="Admitted"/>
  </r>
  <r>
    <x v="9"/>
    <s v="Ananya Patel"/>
    <n v="2"/>
    <s v="Female"/>
    <s v="Ahmedabad"/>
    <x v="7"/>
    <s v="Dr.Govind Makharia"/>
    <d v="2025-08-09T00:00:00"/>
    <d v="2025-08-20T00:00:00"/>
    <s v="Acute Pancreatitis"/>
    <s v="Conservative Management"/>
    <n v="99999999"/>
    <s v="Care Health"/>
    <s v="Claim Processing"/>
    <s v="Discharged Against Medical Advic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s v="HOSP-10002"/>
    <s v="Ritu Singh"/>
    <n v="55"/>
    <s v="Female"/>
    <s v="Unknown"/>
    <s v="Oncology"/>
    <s v="Dr.Suresh Advani"/>
    <d v="2025-12-01T00:00:00"/>
    <d v="2025-01-24T00:00:00"/>
    <s v="Lung Adenocarcinoma"/>
    <s v="Targeted Therapy"/>
    <n v="100821.63"/>
    <s v="None / Self Pay"/>
    <s v="Disputed"/>
    <x v="0"/>
  </r>
  <r>
    <s v="HOSP-10003"/>
    <s v="Pooja Bose"/>
    <n v="11"/>
    <s v="Female"/>
    <s v="Jaipur"/>
    <s v="General Medicine"/>
    <s v="Dr.Anoop Misra"/>
    <d v="2025-09-11T00:00:00"/>
    <d v="2025-12-23T00:00:00"/>
    <s v="Dengue Fever With Thrombocytopenia"/>
    <s v="Platelet Support"/>
    <n v="159034.31"/>
    <s v="Hdfc Ergo"/>
    <s v="Partially Paid"/>
    <x v="1"/>
  </r>
  <r>
    <s v="HOSP-135"/>
    <s v="Neha Sharma"/>
    <n v="42"/>
    <s v="Female"/>
    <s v="Bangalore"/>
    <s v="Neurology"/>
    <s v="Dr.P. N. Renjen"/>
    <d v="2025-06-13T00:00:00"/>
    <d v="2025-12-23T00:00:00"/>
    <s v="Parkinson'S Disease"/>
    <s v="Levodopa Therapy"/>
    <n v="201434.4"/>
    <s v="Max Bupa"/>
    <s v="Pending"/>
    <x v="1"/>
  </r>
  <r>
    <s v="HOSP-10005"/>
    <s v="Ananya Gupta"/>
    <n v="52"/>
    <s v="Female"/>
    <s v="Delhi"/>
    <s v="Pediatrics"/>
    <s v="Dr.Arvind Bagga"/>
    <d v="2025-03-16T00:00:00"/>
    <d v="2025-03-27T00:00:00"/>
    <s v="Viral Gastroenteritis"/>
    <s v="Iv Fluids &amp; Electrolytes"/>
    <n v="130701.41"/>
    <s v="Hdfc Ergo"/>
    <s v="Disputed"/>
    <x v="0"/>
  </r>
  <r>
    <s v="HOSP-10006"/>
    <s v="Priya Mehta"/>
    <n v="6"/>
    <s v="Female"/>
    <s v="Jaipur"/>
    <s v="General Medicine"/>
    <s v="Dr.Anoop Misra"/>
    <d v="2025-10-11T00:00:00"/>
    <d v="2025-10-18T00:00:00"/>
    <s v="Unknown"/>
    <s v="Insulin Titration"/>
    <n v="235214.45"/>
    <s v="Icici Lombard"/>
    <s v="Paid"/>
    <x v="2"/>
  </r>
  <r>
    <s v="HOSP-10007"/>
    <s v="Manoj Verma"/>
    <n v="44"/>
    <s v="Male"/>
    <s v="Mumbai"/>
    <s v="General Medicine"/>
    <s v="Dr.Unknown"/>
    <d v="2025-02-07T00:00:00"/>
    <d v="2025-07-09T00:00:00"/>
    <s v="Dengue Fever With Thrombocytopenia"/>
    <s v="Platelet Support"/>
    <n v="64345.01"/>
    <s v="None / Self Pay"/>
    <s v="Claim Processing"/>
    <x v="3"/>
  </r>
  <r>
    <s v="HOSP-10009"/>
    <s v="Ritu Nair"/>
    <n v="82"/>
    <s v="Female"/>
    <s v="Delhi"/>
    <s v="Oncology"/>
    <s v="Dr.Suresh Advani"/>
    <d v="2025-03-19T00:00:00"/>
    <d v="2025-03-25T00:00:00"/>
    <s v="Colorectal Cancer"/>
    <s v="Colectomy"/>
    <n v="70846.91"/>
    <s v="Care Health"/>
    <s v="Claim Processing"/>
    <x v="4"/>
  </r>
  <r>
    <s v="HOSP-10010"/>
    <s v="Neha Iyer"/>
    <n v="8"/>
    <s v="Female"/>
    <s v="Chennai"/>
    <s v="General Medicine"/>
    <s v="Dr.R. K. Singhal"/>
    <d v="2025-01-23T00:00:00"/>
    <d v="2025-02-05T00:00:00"/>
    <s v="Urinary Tract Infection"/>
    <s v="Antibiotic Course"/>
    <n v="293150.34999999998"/>
    <s v="None / Self Pay"/>
    <s v="Claim Processing"/>
    <x v="0"/>
  </r>
  <r>
    <s v="HOSP-10013"/>
    <s v="Meera Iyer"/>
    <n v="32"/>
    <s v="Female"/>
    <s v="Mumbai"/>
    <s v="Cardiology"/>
    <s v="Dr.Devi Shetty"/>
    <d v="2025-11-07T00:00:00"/>
    <d v="2025-11-12T00:00:00"/>
    <s v="Myocardial Infarction"/>
    <s v="Thrombolysis"/>
    <n v="278473.99"/>
    <s v="Star Health"/>
    <s v="Pending"/>
    <x v="5"/>
  </r>
  <r>
    <s v="Unknown"/>
    <s v="Ananya Gupta"/>
    <n v="82"/>
    <s v="Female"/>
    <s v="Pune"/>
    <s v="Gastroenterology"/>
    <s v="Dr.Randhir Sud"/>
    <d v="2025-10-25T00:00:00"/>
    <d v="2025-11-05T00:00:00"/>
    <s v="Peptic Ulcer Bleeding"/>
    <s v="Endoscopic Banding"/>
    <n v="328729.7"/>
    <s v="Hdfc Ergo"/>
    <s v="Paid"/>
    <x v="4"/>
  </r>
  <r>
    <s v="HOSP-10015"/>
    <s v="Kabir Patel"/>
    <n v="27"/>
    <s v="Unspecified"/>
    <s v="Mumbai"/>
    <s v="General Medicine"/>
    <s v="Dr.Unknown"/>
    <d v="2025-03-31T00:00:00"/>
    <d v="2025-03-26T00:00:00"/>
    <s v="Hypertensive Crisis"/>
    <s v="Iv Labetalol"/>
    <n v="75685.5"/>
    <s v="Bajaj Allianz"/>
    <s v="Paid"/>
    <x v="4"/>
  </r>
  <r>
    <s v="HOSP-123"/>
    <s v="Deepak Bose"/>
    <n v="30"/>
    <s v="Male"/>
    <s v="Unknown"/>
    <s v="Oncology"/>
    <s v="Dr.Vinod Raina"/>
    <d v="2025-08-14T00:00:00"/>
    <d v="2025-08-25T00:00:00"/>
    <s v="Breast Carcinoma"/>
    <s v="Chemotherapy &amp; Lumpectomy"/>
    <n v="18589.990000000002"/>
    <s v="Max Bupa"/>
    <s v="Paid"/>
    <x v="6"/>
  </r>
  <r>
    <s v="HOSP-10017"/>
    <s v="Kabir Patel"/>
    <n v="18"/>
    <s v="Male"/>
    <s v="Chennai"/>
    <s v="Gastroenterology"/>
    <s v="Dr.Subhash Gupta"/>
    <d v="2025-07-02T00:00:00"/>
    <d v="2025-07-03T00:00:00"/>
    <s v="Peptic Ulcer Bleeding"/>
    <s v="Endoscopic Banding"/>
    <n v="121300.98"/>
    <s v="Care Health"/>
    <s v="Pending"/>
    <x v="3"/>
  </r>
  <r>
    <s v="HOSP-10019"/>
    <s v="Meera Reddy"/>
    <n v="18"/>
    <s v="Female"/>
    <s v="Hyderabad"/>
    <s v="Cardiology"/>
    <s v="Dr.Naresh Trehan"/>
    <d v="2025-09-27T00:00:00"/>
    <d v="2025-07-10T00:00:00"/>
    <s v="Arrhythmia"/>
    <s v="Pacemaker Implantation"/>
    <n v="102930.63"/>
    <s v="Hdfc Ergo"/>
    <s v="Claim_Pending"/>
    <x v="4"/>
  </r>
  <r>
    <s v="HOSP-10020"/>
    <s v="Ananya Bose"/>
    <n v="78"/>
    <s v="Female"/>
    <s v="Delhi"/>
    <s v="General Medicine"/>
    <s v="Dr.R. K. Singhal"/>
    <d v="2025-01-23T00:00:00"/>
    <d v="2025-12-23T00:00:00"/>
    <s v="Urinary Tract Infection"/>
    <s v="Antibiotic Course"/>
    <n v="296127.5"/>
    <s v="Care Health"/>
    <s v="Paid"/>
    <x v="1"/>
  </r>
  <r>
    <s v="HOSP-10022"/>
    <s v="Manoj Kumar"/>
    <n v="38"/>
    <s v="Male"/>
    <s v="Jaipur"/>
    <s v="Gastroenterology"/>
    <s v="Dr.Randhir Sud"/>
    <d v="2025-01-06T00:00:00"/>
    <d v="2025-01-08T00:00:00"/>
    <s v="Liver Cirrhosis"/>
    <s v="Paracentesis &amp; Diuretics"/>
    <n v="218725.35"/>
    <s v="Max Bupa"/>
    <s v="Paid"/>
    <x v="0"/>
  </r>
  <r>
    <s v="HOSP-10023"/>
    <s v="Vikram Mehta"/>
    <n v="15"/>
    <s v="Male"/>
    <s v="Kolkata"/>
    <s v="General Medicine"/>
    <s v="Dr.Anoop Misra"/>
    <d v="2025-05-02T00:00:00"/>
    <d v="2025-12-23T00:00:00"/>
    <s v="Urinary Tract Infection"/>
    <s v="Antibiotic Course"/>
    <n v="17679.5"/>
    <s v="Bajaj Allianz"/>
    <s v="Pending"/>
    <x v="1"/>
  </r>
  <r>
    <s v="HOSP-10024"/>
    <s v="Diya Reddy"/>
    <n v="33"/>
    <s v="Female"/>
    <s v="Pune"/>
    <s v="Pediatrics"/>
    <s v="Dr.Unknown"/>
    <d v="2025-09-26T00:00:00"/>
    <d v="2025-10-02T00:00:00"/>
    <s v="Severe Pneumonia"/>
    <s v="Iv Antibiotics"/>
    <n v="345599.6"/>
    <s v="Care Health"/>
    <s v="Unknown"/>
    <x v="0"/>
  </r>
  <r>
    <s v="HOSP-10027"/>
    <s v="Anita Iyer"/>
    <n v="42"/>
    <s v="Unspecified"/>
    <s v="Jaipur"/>
    <s v="Orthopedics"/>
    <s v="Dr.Sks Marya"/>
    <d v="2025-10-14T00:00:00"/>
    <d v="2025-11-01T00:00:00"/>
    <s v="Lumbar Spondylosis"/>
    <s v="Spinal Decompression"/>
    <n v="192645.57"/>
    <s v="Max Bupa"/>
    <s v="Pending"/>
    <x v="4"/>
  </r>
  <r>
    <s v="HOSP-10028"/>
    <s v="Sneha Kumar"/>
    <n v="60"/>
    <s v="Female"/>
    <s v="Chandigarh"/>
    <s v="Pediatrics"/>
    <s v="Dr.Veena Kalra"/>
    <d v="2025-05-26T00:00:00"/>
    <d v="2025-06-07T00:00:00"/>
    <s v="Severe Pneumonia"/>
    <s v="Iv Antibiotics"/>
    <n v="264892.76"/>
    <s v="Icici Lombard"/>
    <s v="Paid"/>
    <x v="2"/>
  </r>
  <r>
    <s v="HOSP-10029"/>
    <s v="Vikram Patel"/>
    <n v="1"/>
    <s v="Male"/>
    <s v="Hyderabad"/>
    <s v="General Medicine"/>
    <s v="Dr.Anoop Misra"/>
    <d v="2025-10-29T00:00:00"/>
    <d v="2025-11-07T00:00:00"/>
    <s v="Unknown"/>
    <s v="Iv Labetalol"/>
    <n v="273333.11"/>
    <s v="Star Health"/>
    <s v="Claim Processing"/>
    <x v="4"/>
  </r>
  <r>
    <s v="HOSP-10030"/>
    <s v="Ramesh Nair"/>
    <n v="79"/>
    <s v="Male"/>
    <s v="Bangalore"/>
    <s v="Orthopedics"/>
    <s v="Dr.Ramneek Mahajan"/>
    <d v="2025-01-06T00:00:00"/>
    <d v="2025-12-23T00:00:00"/>
    <s v="Femur Fracture"/>
    <s v="Internal Fixation"/>
    <n v="222932.36"/>
    <s v="Max Bupa"/>
    <s v="Partially Paid"/>
    <x v="1"/>
  </r>
  <r>
    <s v="HOSP-10031"/>
    <s v="Kavita Singh"/>
    <n v="65"/>
    <s v="Female"/>
    <s v="Chandigarh"/>
    <s v="Oncology"/>
    <s v="Dr.Suresh Advani"/>
    <d v="2025-02-11T00:00:00"/>
    <d v="2025-02-12T00:00:00"/>
    <s v="Lung Adenocarcinoma"/>
    <s v="Unknown"/>
    <n v="83463"/>
    <s v="Hdfc Ergo"/>
    <s v="Claim Processing"/>
    <x v="4"/>
  </r>
  <r>
    <s v="HOSP-10032"/>
    <s v="Suresh Iyer"/>
    <n v="65"/>
    <s v="Male"/>
    <s v="Hyderabad"/>
    <s v="Neurology"/>
    <s v="Dr.Mukul Varma"/>
    <d v="2025-01-24T00:00:00"/>
    <d v="2025-02-10T00:00:00"/>
    <s v="Acute Ischemic Stroke"/>
    <s v="Tpa Therapy"/>
    <n v="312331.51"/>
    <s v="Icici Lombard"/>
    <s v="Paid"/>
    <x v="5"/>
  </r>
  <r>
    <s v="HOSP-10035"/>
    <s v="Kabir Singh"/>
    <n v="14"/>
    <s v="Male"/>
    <s v="Hyderabad"/>
    <s v="Pediatrics"/>
    <s v="Dr.Veena Kalra"/>
    <d v="2025-05-07T00:00:00"/>
    <d v="2025-12-05T00:00:00"/>
    <s v="Acute Bronchiolitis"/>
    <s v="Nebulization &amp; O2 Support"/>
    <n v="42926.97"/>
    <s v="Icici Lombard"/>
    <s v="Paid"/>
    <x v="3"/>
  </r>
  <r>
    <s v="HOSP-10036"/>
    <s v="Sneha Iyer"/>
    <n v="38"/>
    <s v="Female"/>
    <s v="Chandigarh"/>
    <s v="Cardiology"/>
    <s v="Dr.Ashok Seth"/>
    <d v="2025-04-10T00:00:00"/>
    <d v="2025-03-23T00:00:00"/>
    <s v="Myocardial Infarction"/>
    <s v="Thrombolysis"/>
    <n v="136077.35999999999"/>
    <s v="Care Health"/>
    <s v="Paid"/>
    <x v="5"/>
  </r>
  <r>
    <s v="HOSP-10037"/>
    <s v="Ritu Patel"/>
    <n v="18"/>
    <s v="Female"/>
    <s v="Chennai"/>
    <s v="General Medicine"/>
    <s v="Dr.Atul Gogia"/>
    <d v="2025-10-05T00:00:00"/>
    <d v="2025-10-18T00:00:00"/>
    <s v="Unknown"/>
    <s v="Antibiotic Course"/>
    <n v="305300.05"/>
    <s v="None"/>
    <s v="Partially Paid"/>
    <x v="3"/>
  </r>
  <r>
    <s v="HOSP-10040"/>
    <s v="Neha Sharma"/>
    <n v="23"/>
    <s v="Female"/>
    <s v="Pune"/>
    <s v="Orthopedics"/>
    <s v="Dr.Sks Marya"/>
    <d v="2025-01-14T00:00:00"/>
    <d v="2025-02-01T00:00:00"/>
    <s v="Osteoarthritis Knee"/>
    <s v="Total Knee Replacement"/>
    <n v="98162.26"/>
    <s v="Star Health"/>
    <s v="Disputed"/>
    <x v="3"/>
  </r>
  <r>
    <s v="HOSP-10041"/>
    <s v="Rajesh Sharma"/>
    <n v="63"/>
    <s v="Male"/>
    <s v="Calcutta"/>
    <s v="Oncology"/>
    <s v="Dr.Vinod Raina"/>
    <d v="2025-06-28T00:00:00"/>
    <d v="2025-12-23T00:00:00"/>
    <s v="Unknown"/>
    <s v="R-Chop Regimen"/>
    <n v="255824.81"/>
    <s v="Hdfc Ergo"/>
    <s v="Claim Processing"/>
    <x v="1"/>
  </r>
  <r>
    <s v="HOSP-10042"/>
    <s v="Ritu Sharma"/>
    <n v="54"/>
    <s v="Female"/>
    <s v="Ahmedabad"/>
    <s v="Gastroenterology"/>
    <s v="Dr.Randhir Sud"/>
    <d v="2025-06-14T00:00:00"/>
    <d v="2025-07-02T00:00:00"/>
    <s v="Gallstones / Cholecystitis"/>
    <s v="Laparoscopic Cholecystectomy"/>
    <n v="121026.07"/>
    <s v="Star Health"/>
    <s v="Paid"/>
    <x v="3"/>
  </r>
  <r>
    <s v="HOSP-10045"/>
    <s v="Anjali Nair"/>
    <n v="23"/>
    <s v="Female"/>
    <s v="Pune"/>
    <s v="General Medicine"/>
    <s v="Dr.Anoop Misra"/>
    <d v="2025-04-07T00:00:00"/>
    <d v="2025-04-15T00:00:00"/>
    <s v="Dengue Fever With Thrombocytopenia"/>
    <s v="Platelet Support"/>
    <n v="160725.21"/>
    <s v="None / Self Pay"/>
    <s v="Paid"/>
    <x v="5"/>
  </r>
  <r>
    <s v="HOSP-10047"/>
    <s v="Meera Kumar"/>
    <n v="3"/>
    <s v="Female"/>
    <s v="Chandigarh"/>
    <s v="Cardiology"/>
    <s v="Dr.Devi Shetty"/>
    <d v="2025-10-23T00:00:00"/>
    <d v="2025-11-01T00:00:00"/>
    <s v="Coronary Artery Disease"/>
    <s v="Angioplasty"/>
    <n v="30598.91"/>
    <s v="Bajaj Allianz"/>
    <s v="Disputed"/>
    <x v="3"/>
  </r>
  <r>
    <s v="HOSP-131"/>
    <s v="Priya Verma"/>
    <n v="55"/>
    <s v="Female"/>
    <s v="Hyderabad"/>
    <s v="Neurology"/>
    <s v="Dr.Mukul Varma"/>
    <d v="2025-06-26T00:00:00"/>
    <d v="2025-06-30T00:00:00"/>
    <s v="Parkinson'S Disease"/>
    <s v="Levodopa Therapy"/>
    <n v="298691.20000000001"/>
    <s v="None / Self Pay"/>
    <s v="Disputed"/>
    <x v="3"/>
  </r>
  <r>
    <s v="HOSP-113"/>
    <s v="Neha Patel"/>
    <n v="47"/>
    <s v="Female"/>
    <s v="Kolkata"/>
    <s v="Oncology"/>
    <s v="Dr.Harit Chaturvedi"/>
    <d v="2025-03-16T00:00:00"/>
    <d v="2025-12-23T00:00:00"/>
    <s v="Colorectal Cancer"/>
    <s v="Colectomy"/>
    <n v="341800.01"/>
    <s v="None / Self Pay"/>
    <s v="Paid"/>
    <x v="1"/>
  </r>
  <r>
    <s v="HOSP-10050"/>
    <s v="Kabir Mehta"/>
    <n v="27"/>
    <s v="Male"/>
    <s v="Hyderabad"/>
    <s v="Orthopedics"/>
    <s v="Dr.Harshavardhan Hegde"/>
    <d v="2025-07-30T00:00:00"/>
    <d v="2025-08-14T00:00:00"/>
    <s v="Lumbar Spondylosis"/>
    <s v="Spinal Decompression"/>
    <n v="153551.82"/>
    <s v="Care Health"/>
    <s v="Paid"/>
    <x v="0"/>
  </r>
  <r>
    <s v="HOSP-10051"/>
    <s v="Manoj Joshi"/>
    <n v="71"/>
    <s v="Male"/>
    <s v="Chandigarh"/>
    <s v="Pediatrics"/>
    <s v="Dr.Arvind Bagga"/>
    <d v="2025-10-30T00:00:00"/>
    <d v="2025-07-11T00:00:00"/>
    <s v="Neonatal Jaundice"/>
    <s v="Phototherapy"/>
    <n v="166546.48000000001"/>
    <s v="Star Health"/>
    <s v="Disputed"/>
    <x v="4"/>
  </r>
  <r>
    <s v="HOSP-10052"/>
    <s v="Manoj Kumar"/>
    <n v="18"/>
    <s v="Male"/>
    <s v="Bangalore"/>
    <s v="Orthopedics"/>
    <s v="Dr.Sks Marya"/>
    <d v="2025-09-05T00:00:00"/>
    <d v="2025-09-06T00:00:00"/>
    <s v="Lumbar Spondylosis"/>
    <s v="Spinal Decompression"/>
    <n v="104991.88"/>
    <s v="Bajaj Allianz"/>
    <s v="Claim Processing"/>
    <x v="0"/>
  </r>
  <r>
    <s v="HOSP-10053"/>
    <s v="Deepak_Singh"/>
    <n v="19"/>
    <s v="Male"/>
    <s v="Pune"/>
    <s v="Neurology"/>
    <s v="Dr.P. N. Renjen"/>
    <d v="2025-04-25T00:00:00"/>
    <d v="2025-05-02T00:00:00"/>
    <s v="Parkinson'S Disease"/>
    <s v="Levodopa Therapy"/>
    <n v="158630.85"/>
    <s v="Icici Lombard"/>
    <s v="Partially Paid"/>
    <x v="2"/>
  </r>
  <r>
    <s v="HOSP-10054"/>
    <s v="Sunita Gupta"/>
    <n v="20"/>
    <s v="Female"/>
    <s v="Hyderabad"/>
    <s v="Gastroenterology"/>
    <s v="Dr.Randhir Sud"/>
    <d v="2025-11-29T00:00:00"/>
    <d v="2025-12-23T00:00:00"/>
    <s v="Gallstones / Cholecystitis"/>
    <s v="Laparoscopic Cholecystectomy"/>
    <n v="259400.48"/>
    <s v="Icici Lombard"/>
    <s v="Pending"/>
    <x v="1"/>
  </r>
  <r>
    <s v="HOSP-10055"/>
    <s v="Ramesh Bose"/>
    <n v="62"/>
    <s v="Male"/>
    <s v="Kolkata"/>
    <s v="Oncology"/>
    <s v="Dr.Vinod Raina"/>
    <d v="2025-03-31T00:00:00"/>
    <d v="2025-12-23T00:00:00"/>
    <s v="Breast Carcinoma"/>
    <s v="Chemotherapy &amp; Lumpectomy"/>
    <n v="6330.59"/>
    <s v="Max Bupa"/>
    <s v="Disputed"/>
    <x v="1"/>
  </r>
  <r>
    <s v="HOSP-10057"/>
    <s v="Meera Patel"/>
    <n v="4"/>
    <s v="Female"/>
    <s v="Mumbai"/>
    <s v="Pediatrics"/>
    <s v="Dr.Arvind Bagga"/>
    <d v="2025-07-07T00:00:00"/>
    <d v="2025-12-23T00:00:00"/>
    <s v="Acute Bronchiolitis"/>
    <s v="Nebulization &amp; O2 Support"/>
    <n v="117856.84"/>
    <s v="Hdfc Ergo"/>
    <s v="Paid"/>
    <x v="5"/>
  </r>
  <r>
    <s v="HOSP-10058"/>
    <s v="Manoj Bose"/>
    <n v="56"/>
    <s v="Male"/>
    <s v="Jaipur"/>
    <s v="Neurology"/>
    <s v="Dr.P. N. Renjen"/>
    <d v="2025-01-13T00:00:00"/>
    <d v="2025-12-23T00:00:00"/>
    <s v="Parkinson'S Disease"/>
    <s v="Levodopa Therapy"/>
    <n v="135291.62"/>
    <s v="Hdfc Ergo"/>
    <s v="Claim Processing"/>
    <x v="1"/>
  </r>
  <r>
    <s v="HOSP-1059"/>
    <s v="Ananya Reddy"/>
    <n v="71"/>
    <s v="Female"/>
    <s v="Bangalore"/>
    <s v="Cardiology"/>
    <s v="Dr.Naresh Trehan"/>
    <d v="2025-03-20T00:00:00"/>
    <d v="2025-03-31T00:00:00"/>
    <s v="Coronary Artery Disease"/>
    <s v="Angioplasty"/>
    <n v="274287.35999999999"/>
    <s v="Care Health"/>
    <s v="Pending"/>
    <x v="5"/>
  </r>
  <r>
    <s v="HOSP-10061"/>
    <s v="Ramesh Verma"/>
    <n v="37"/>
    <s v="Male"/>
    <s v="Kolkata"/>
    <s v="Unknown"/>
    <s v="Dr.Atul Gogia"/>
    <d v="2025-01-04T00:00:00"/>
    <d v="2025-12-23T00:00:00"/>
    <s v="Dengue Fever With Thrombocytopenia"/>
    <s v="Platelet Support"/>
    <n v="133136.07999999999"/>
    <s v="Max Bupa"/>
    <s v="Pending"/>
    <x v="1"/>
  </r>
  <r>
    <s v="HOSP-10062"/>
    <s v="Neha Singh"/>
    <n v="38"/>
    <s v="Unspecified"/>
    <s v="Chandigarh"/>
    <s v="Neurology"/>
    <s v="Dr.Sushil Razdan"/>
    <d v="2025-08-20T00:00:00"/>
    <d v="2025-08-31T00:00:00"/>
    <s v="Acute Ischemic Stroke"/>
    <s v="Tpa Therapy"/>
    <n v="301763.98"/>
    <s v="Bajaj Allianz"/>
    <s v="Pending"/>
    <x v="3"/>
  </r>
  <r>
    <s v="HOSP-10064"/>
    <s v="Rohan Patel"/>
    <n v="18"/>
    <s v="Male"/>
    <s v="Mumbai"/>
    <s v="General Medicine"/>
    <s v="Dr.R. K. Singhal"/>
    <d v="2025-12-19T00:00:00"/>
    <d v="2026-01-01T00:00:00"/>
    <s v="Hypertensive Crisis"/>
    <s v="Iv Labetalol"/>
    <n v="40000"/>
    <s v="None / Self Pay"/>
    <s v="Paid"/>
    <x v="3"/>
  </r>
  <r>
    <s v="HOSP-10066"/>
    <s v="Sunita Nair"/>
    <n v="18"/>
    <s v="Female"/>
    <s v="Mumbai"/>
    <s v="General Medicine"/>
    <s v="Dr.Anoop Misra"/>
    <d v="2025-08-21T00:00:00"/>
    <d v="2025-08-28T00:00:00"/>
    <s v="Dengue Fever With Thrombocytopenia"/>
    <s v="Platelet Support"/>
    <n v="20999.67"/>
    <s v="Bajaj Allianz"/>
    <s v="Claim Processing"/>
    <x v="4"/>
  </r>
  <r>
    <s v="HOSP-10067"/>
    <s v="Unknown"/>
    <n v="72"/>
    <s v="Female"/>
    <s v="Unknown"/>
    <s v="Oncology"/>
    <s v="Dr.Harit Chaturvedi"/>
    <d v="2025-08-11T00:00:00"/>
    <d v="2025-08-25T00:00:00"/>
    <s v="Lymphoma"/>
    <s v="R-Chop Regimen"/>
    <n v="269850.53999999998"/>
    <s v="Hdfc Ergo"/>
    <s v="Partially Paid"/>
    <x v="4"/>
  </r>
  <r>
    <s v="HOSP-10068"/>
    <s v="Aarav Bose"/>
    <n v="32"/>
    <s v="Male"/>
    <s v="Chennai"/>
    <s v="Neurology"/>
    <s v="Dr.Unknown"/>
    <d v="2025-05-07T00:00:00"/>
    <d v="2025-12-23T00:00:00"/>
    <s v="Epilepsy"/>
    <s v="Anticonvulsant Therapy"/>
    <n v="29938.95"/>
    <s v="Unknown"/>
    <s v="Paid"/>
    <x v="1"/>
  </r>
  <r>
    <s v="HOSP-10069"/>
    <s v="Sneha Joshi"/>
    <n v="77"/>
    <s v="Female"/>
    <s v="Ahmedabad"/>
    <s v="Orthopedics"/>
    <s v="Dr.Sks Marya"/>
    <d v="2025-03-31T00:00:00"/>
    <d v="2025-04-03T00:00:00"/>
    <s v="Lumbar Spondylosis"/>
    <s v="Spinal Decompression"/>
    <n v="146946.73000000001"/>
    <s v="Care Health"/>
    <s v="Paid"/>
    <x v="3"/>
  </r>
  <r>
    <s v="HOSP-10070"/>
    <s v="Anjali Verma"/>
    <n v="8"/>
    <s v="Female"/>
    <s v="Pune"/>
    <s v="Pediatrics"/>
    <s v="Dr.Arvind Bagga"/>
    <d v="2025-07-16T00:00:00"/>
    <d v="2025-07-24T00:00:00"/>
    <s v="Neonatal Jaundice"/>
    <s v="Phototherapy"/>
    <n v="340423.43"/>
    <s v="Icici Lombard"/>
    <s v="Claim Processing"/>
    <x v="0"/>
  </r>
  <r>
    <s v="HOSP-10071"/>
    <s v="Unknown"/>
    <n v="18"/>
    <s v="Male"/>
    <s v="Jaipur"/>
    <s v="General Medicine"/>
    <s v="Dr.Atul Gogia"/>
    <d v="2025-07-13T00:00:00"/>
    <d v="2025-07-19T00:00:00"/>
    <s v="Dengue Fever With Thrombocytopenia"/>
    <s v="Platelet Support"/>
    <n v="343098.9"/>
    <s v="Bajaj Allianz"/>
    <s v="Claim Processing"/>
    <x v="3"/>
  </r>
  <r>
    <s v="HOSP-10072"/>
    <s v="Aarav Bose"/>
    <n v="36"/>
    <s v="Male"/>
    <s v="Hyderabad"/>
    <s v="Unknown"/>
    <s v="Dr.Atul Gogia"/>
    <d v="2025-07-15T00:00:00"/>
    <d v="2025-12-23T00:00:00"/>
    <s v="Dengue Fever With Thrombocytopenia"/>
    <s v="Platelet Support"/>
    <n v="66896.94"/>
    <s v="Max Bupa"/>
    <s v="Partially Paid"/>
    <x v="1"/>
  </r>
  <r>
    <s v="HOSP-10073"/>
    <s v="Priya Nair"/>
    <n v="36"/>
    <s v="Female"/>
    <s v="Unknown"/>
    <s v="Oncology"/>
    <s v="Dr.Suresh Advani"/>
    <d v="2025-07-04T00:00:00"/>
    <d v="2025-07-21T00:00:00"/>
    <s v="Lung Adenocarcinoma"/>
    <s v="Unknown"/>
    <n v="285194.14"/>
    <s v="Care Health"/>
    <s v="Claim Processing"/>
    <x v="5"/>
  </r>
  <r>
    <s v="HOSP-10075"/>
    <s v="Meera Mehta"/>
    <n v="37"/>
    <s v="Unspecified"/>
    <s v="Kolkata"/>
    <s v="Neurology"/>
    <s v="Dr.Sushil Razdan"/>
    <d v="2025-01-25T00:00:00"/>
    <d v="2025-01-02T00:00:00"/>
    <s v="Migraine Chronic"/>
    <s v="Unknown"/>
    <n v="177019.16"/>
    <s v="Hdfc Ergo"/>
    <s v="Claim Processing"/>
    <x v="3"/>
  </r>
  <r>
    <s v="HOSP-10077"/>
    <s v="Kabir Verma"/>
    <n v="5"/>
    <s v="Male"/>
    <s v="Ahmedabad"/>
    <s v="Cardiology"/>
    <s v="Dr.Naresh Trehan"/>
    <d v="2025-05-25T00:00:00"/>
    <d v="2025-12-23T00:00:00"/>
    <s v="Coronary Artery Disease"/>
    <s v="Angioplasty"/>
    <n v="303411.21999999997"/>
    <s v="Star Health"/>
    <s v="Paid"/>
    <x v="1"/>
  </r>
  <r>
    <s v="HOSP-10078"/>
    <s v="Amit Nair"/>
    <n v="42"/>
    <s v="Male"/>
    <s v="Kolkata"/>
    <s v="Oncology"/>
    <s v="Dr.Unknown"/>
    <d v="2025-11-01T00:00:00"/>
    <d v="2025-01-22T00:00:00"/>
    <s v="Lung Adenocarcinoma"/>
    <s v="Targeted Therapy"/>
    <n v="276272.88"/>
    <s v="Max Bupa"/>
    <s v="Claim Processing"/>
    <x v="3"/>
  </r>
  <r>
    <s v="HOSP-10079"/>
    <s v="Priya Sharma"/>
    <n v="2"/>
    <s v="Female"/>
    <s v="Chennai"/>
    <s v="Oncology"/>
    <s v="Dr.Vinod Raina"/>
    <d v="2025-10-01T00:00:00"/>
    <d v="2025-02-10T00:00:00"/>
    <s v="Lung Adenocarcinoma"/>
    <s v="Targeted Therapy"/>
    <n v="154201.07"/>
    <s v="Icici Lombard"/>
    <s v="Paid"/>
    <x v="3"/>
  </r>
  <r>
    <s v="HOSP-10080"/>
    <s v="Ramesh Gupta"/>
    <n v="32"/>
    <s v="Male"/>
    <s v="Mumbai"/>
    <s v="Oncology"/>
    <s v="Dr.Harit Chaturvedi"/>
    <d v="2025-05-27T00:00:00"/>
    <d v="2025-06-06T00:00:00"/>
    <s v="Lymphoma"/>
    <s v="R-Chop Regimen"/>
    <n v="229647.94"/>
    <s v="Hdfc Ergo"/>
    <s v="Partially Paid"/>
    <x v="0"/>
  </r>
  <r>
    <s v="HOSP-10083"/>
    <s v="Pooja Bose"/>
    <n v="1"/>
    <s v="Female"/>
    <s v="Chennai"/>
    <s v="Pediatrics"/>
    <s v="Dr.Krishan Chugh"/>
    <d v="2025-11-18T00:00:00"/>
    <d v="2025-11-24T00:00:00"/>
    <s v="Severe Pneumonia"/>
    <s v="Iv Antibiotics"/>
    <n v="144977.74"/>
    <s v="Care Health"/>
    <s v="Partially Paid"/>
    <x v="0"/>
  </r>
  <r>
    <s v="HOSP-10084"/>
    <s v="Suresh Mehta"/>
    <n v="31"/>
    <s v="Male"/>
    <s v="Kolkata"/>
    <s v="General Medicine"/>
    <s v="Dr.Atul Gogia"/>
    <d v="2025-01-04T00:00:00"/>
    <d v="2025-09-01T00:00:00"/>
    <s v="Hypertensive Crisis"/>
    <s v="Iv Labetalol"/>
    <n v="33830.339999999997"/>
    <s v="Max Bupa"/>
    <s v="Claim Processing"/>
    <x v="4"/>
  </r>
  <r>
    <s v="HOSP-10085"/>
    <s v="Deepak Kumar"/>
    <n v="73"/>
    <s v="Unspecified"/>
    <s v="Chandigarh"/>
    <s v="Oncology"/>
    <s v="Dr.Suresh Advani"/>
    <d v="2025-12-04T00:00:00"/>
    <d v="2025-04-22T00:00:00"/>
    <s v="Lymphoma"/>
    <s v="R-Chop Regimen"/>
    <n v="19666.78"/>
    <s v="Care Health"/>
    <s v="Claim Processing"/>
    <x v="0"/>
  </r>
  <r>
    <s v="HOSP-10087"/>
    <s v="Suresh Singh"/>
    <n v="11"/>
    <s v="Male"/>
    <s v="Kolkata"/>
    <s v="Oncology"/>
    <s v="Dr.Harit Chaturvedi"/>
    <d v="2025-09-28T00:00:00"/>
    <d v="2025-10-08T00:00:00"/>
    <s v="Lymphoma"/>
    <s v="R-Chop Regimen"/>
    <n v="320565.07"/>
    <s v="Icici Lombard"/>
    <s v="Claim Processing"/>
    <x v="4"/>
  </r>
  <r>
    <s v="HOSP-10088"/>
    <s v="Ritu Mehta"/>
    <n v="47"/>
    <s v="Female"/>
    <s v="Chandigarh"/>
    <s v="Gastroenterology"/>
    <s v="Dr.Subhash Gupta"/>
    <d v="2025-10-19T00:00:00"/>
    <d v="2025-10-31T00:00:00"/>
    <s v="Acute Pancreatitis"/>
    <s v="Conservative Management"/>
    <n v="230031.26"/>
    <s v="None"/>
    <s v="Partially Paid"/>
    <x v="0"/>
  </r>
  <r>
    <s v="HOSP-10089"/>
    <s v="Pooja Joshi"/>
    <n v="78"/>
    <s v="Female"/>
    <s v="Chandigarh"/>
    <s v="Cardiology"/>
    <s v="Dr.Unknown"/>
    <d v="2025-05-10T00:00:00"/>
    <d v="2025-05-18T00:00:00"/>
    <s v="Arrhythmia"/>
    <s v="Pacemaker Implantation"/>
    <n v="258859.27"/>
    <s v="None / Self Pay"/>
    <s v="Pending"/>
    <x v="0"/>
  </r>
  <r>
    <s v="HOSP-10090"/>
    <s v="Rajesh Iyer"/>
    <n v="40"/>
    <s v="Male"/>
    <s v="Jaipur"/>
    <s v="Neurology"/>
    <s v="Dr.P. N. Renjen"/>
    <d v="2025-09-28T00:00:00"/>
    <d v="2025-10-10T00:00:00"/>
    <s v="Epilepsy"/>
    <s v="Anticonvulsant Therapy"/>
    <n v="133462.39999999999"/>
    <s v="Star Health"/>
    <s v="Partially Paid"/>
    <x v="0"/>
  </r>
  <r>
    <s v="HOSP-10091"/>
    <s v="Aarav Verma"/>
    <n v="18"/>
    <s v="Male"/>
    <s v="Bangalore"/>
    <s v="Pediatrics"/>
    <s v="Dr.Veena Kalra"/>
    <d v="2025-08-13T00:00:00"/>
    <d v="2025-12-23T00:00:00"/>
    <s v="Viral Gastroenteritis"/>
    <s v="Iv Fluids &amp; Electrolytes"/>
    <n v="326064.67"/>
    <s v="Unknown"/>
    <s v="Disputed"/>
    <x v="1"/>
  </r>
  <r>
    <s v="HOSP-10092"/>
    <s v="Ritu Bose"/>
    <n v="16"/>
    <s v="Female"/>
    <s v="Delhi"/>
    <s v="Gastroenterology"/>
    <s v="Dr.Subhash Gupta"/>
    <d v="2025-09-12T00:00:00"/>
    <d v="2025-09-29T00:00:00"/>
    <s v="Peptic Ulcer Bleeding"/>
    <s v="Endoscopic Banding"/>
    <n v="63936.59"/>
    <s v="Bajaj Allianz"/>
    <s v="Partially Paid"/>
    <x v="3"/>
  </r>
  <r>
    <s v="HOSP-10093"/>
    <s v="Sunita Gupta"/>
    <n v="43"/>
    <s v="Female"/>
    <s v="Pune"/>
    <s v="General Medicine"/>
    <s v="Dr.R. K. Singhal"/>
    <d v="2025-12-20T00:00:00"/>
    <d v="2025-12-31T00:00:00"/>
    <s v="Unknown"/>
    <s v="Iv Labetalol"/>
    <n v="240187.3"/>
    <s v="Star Health"/>
    <s v="Partially Paid"/>
    <x v="0"/>
  </r>
  <r>
    <s v="HOSP-10095"/>
    <s v="Kavita Iyer"/>
    <n v="76"/>
    <s v="Female"/>
    <s v="Chandigarh"/>
    <s v="Neurology"/>
    <s v="Dr.Mukul Varma"/>
    <d v="2025-02-12T00:00:00"/>
    <d v="2025-02-17T00:00:00"/>
    <s v="Migraine Chronic"/>
    <s v="Botox Injection &amp; Triptans"/>
    <n v="307755.56"/>
    <s v="Bajaj Allianz"/>
    <s v="Disputed"/>
    <x v="4"/>
  </r>
  <r>
    <s v="HOSP-10096"/>
    <s v="Deepak Iyer"/>
    <n v="58"/>
    <s v="Male"/>
    <s v="Chennai"/>
    <s v="Orthopedics"/>
    <s v="Dr.Sks Marya"/>
    <d v="2025-10-18T00:00:00"/>
    <d v="2025-11-03T00:00:00"/>
    <s v="Osteoarthritis Knee"/>
    <s v="Total Knee Replacement"/>
    <n v="347786.26"/>
    <s v="Bajaj Allianz"/>
    <s v="Pending"/>
    <x v="4"/>
  </r>
  <r>
    <s v="HOSP-10099"/>
    <s v="Pooja Reddy"/>
    <n v="85"/>
    <s v="Female"/>
    <s v="Chennai"/>
    <s v="Gastroenterology"/>
    <s v="Dr.Govind Makharia"/>
    <d v="2025-06-17T00:00:00"/>
    <d v="2025-12-23T00:00:00"/>
    <s v="Unknown"/>
    <s v="Endoscopic Banding"/>
    <n v="281096.51"/>
    <s v="Star Health"/>
    <s v="Claim Processing"/>
    <x v="0"/>
  </r>
  <r>
    <s v="HOSP-10101"/>
    <s v="Ritu Sharma"/>
    <n v="70"/>
    <s v="Female"/>
    <s v="Mumbai"/>
    <s v="Gastroenterology"/>
    <s v="Dr.Randhir Sud"/>
    <d v="2025-05-23T00:00:00"/>
    <d v="2025-05-31T00:00:00"/>
    <s v="Liver Cirrhosis"/>
    <s v="Paracentesis &amp; Diuretics"/>
    <n v="339192.39"/>
    <s v="Bajaj Allianz"/>
    <s v="Claim Processing"/>
    <x v="0"/>
  </r>
  <r>
    <s v="HOSP-10105"/>
    <s v="Aarav Bose"/>
    <n v="38"/>
    <s v="Unspecified"/>
    <s v="Bangalore"/>
    <s v="Gastroenterology"/>
    <s v="Dr.Subhash Gupta"/>
    <d v="2025-09-16T00:00:00"/>
    <d v="2025-09-29T00:00:00"/>
    <s v="Acute Pancreatitis"/>
    <s v="Conservative Management"/>
    <n v="84421.63"/>
    <s v="Care Health"/>
    <s v="Partially Paid"/>
    <x v="5"/>
  </r>
  <r>
    <s v="HOSP-10108"/>
    <s v="Priya Nair"/>
    <n v="49"/>
    <s v="Female"/>
    <s v="Hyderabad"/>
    <s v="Neurology"/>
    <s v="Dr.Unknown"/>
    <d v="2025-08-05T00:00:00"/>
    <d v="2025-08-18T00:00:00"/>
    <s v="Epilepsy"/>
    <s v="Anticonvulsant Therapy"/>
    <n v="245228.63"/>
    <s v="None / Self Pay"/>
    <s v="Disputed"/>
    <x v="5"/>
  </r>
  <r>
    <s v="HOSP-10113"/>
    <s v="Diya Joshi"/>
    <n v="72"/>
    <s v="Female"/>
    <s v="Jaipur"/>
    <s v="Oncology"/>
    <s v="Dr.Suresh Advani"/>
    <d v="2025-05-23T00:00:00"/>
    <d v="2025-06-05T00:00:00"/>
    <s v="Breast Carcinoma"/>
    <s v="Chemotherapy &amp; Lumpectomy"/>
    <n v="20469.05"/>
    <s v="Bajaj Allianz"/>
    <s v="Partially Paid"/>
    <x v="0"/>
  </r>
  <r>
    <s v="HOSP-10115"/>
    <s v="Priya Reddy"/>
    <n v="54"/>
    <s v="Female"/>
    <s v="Hyderabad"/>
    <s v="Unknown"/>
    <s v="Dr.Unknown"/>
    <d v="2025-04-28T00:00:00"/>
    <d v="2025-05-13T00:00:00"/>
    <s v="Acute Pancreatitis"/>
    <s v="Conservative Management"/>
    <n v="-60490.93"/>
    <s v="Unknown"/>
    <s v="Claim Processing"/>
    <x v="3"/>
  </r>
  <r>
    <s v="HOSP-10116"/>
    <s v="Ramesh Mehta"/>
    <n v="68"/>
    <s v="Male"/>
    <s v="Kolkata"/>
    <s v="Gastroenterology"/>
    <s v="Dr.Randhir Sud"/>
    <d v="2025-06-01T00:00:00"/>
    <d v="2025-01-17T00:00:00"/>
    <s v="Peptic Ulcer Bleeding"/>
    <s v="Endoscopic Banding"/>
    <n v="140940.70000000001"/>
    <s v="Hdfc Ergo"/>
    <s v="Paid"/>
    <x v="4"/>
  </r>
  <r>
    <s v="HOSP-10117"/>
    <s v="Deepak Mehta"/>
    <n v="16"/>
    <s v="Male"/>
    <s v="Kolkata"/>
    <s v="Gastroenterology"/>
    <s v="Dr.Randhir Sud"/>
    <d v="2025-04-04T00:00:00"/>
    <d v="2025-04-16T00:00:00"/>
    <s v="Gallstones / Cholecystitis"/>
    <s v="Laparoscopic Cholecystectomy"/>
    <n v="13022.92"/>
    <s v="Max Bupa"/>
    <s v="Partially Paid"/>
    <x v="3"/>
  </r>
  <r>
    <s v="HOSP-10118"/>
    <s v="Deepak Singh"/>
    <n v="44"/>
    <s v="Male"/>
    <s v="Bangalore"/>
    <s v="Orthopedics"/>
    <s v="Dr.Sks Marya"/>
    <d v="2025-10-10T00:00:00"/>
    <d v="2025-10-16T00:00:00"/>
    <s v="Rotator Cuff Tear"/>
    <s v="Arthroscopic Repair"/>
    <n v="218150.25"/>
    <s v="Care Health"/>
    <s v="Disputed"/>
    <x v="4"/>
  </r>
  <r>
    <s v="HOSP-10119"/>
    <s v="Ananya Reddy"/>
    <n v="46"/>
    <s v="Female"/>
    <s v="Kolkata"/>
    <s v="Gastroenterology"/>
    <s v="Dr.Subhash Gupta"/>
    <d v="2025-10-12T00:00:00"/>
    <d v="2025-12-23T00:00:00"/>
    <s v="Gallstones / Cholecystitis"/>
    <s v="Laparoscopic Cholecystectomy"/>
    <n v="164587.4"/>
    <s v="Care Health"/>
    <s v="Partially Paid"/>
    <x v="1"/>
  </r>
  <r>
    <s v="HOSP-10120"/>
    <s v="Priya Bose"/>
    <n v="35"/>
    <s v="Female"/>
    <s v="Hyderabad"/>
    <s v="Orthopedics"/>
    <s v="Dr.Ramneek Mahajan"/>
    <d v="2025-06-20T00:00:00"/>
    <d v="2025-12-23T00:00:00"/>
    <s v="Femur Fracture"/>
    <s v="Internal Fixation"/>
    <n v="110184.01"/>
    <s v="Bajaj Allianz"/>
    <s v="Claim Processing"/>
    <x v="2"/>
  </r>
  <r>
    <s v="HOSP-10122"/>
    <s v="Ananya Kumar"/>
    <n v="83"/>
    <s v="Female"/>
    <s v="Chandigarh"/>
    <s v="Cardiology"/>
    <s v="Dr.Ashok Seth"/>
    <d v="2025-02-03T00:00:00"/>
    <d v="2025-01-31T00:00:00"/>
    <s v="Arrhythmia"/>
    <s v="Pacemaker Implantation"/>
    <n v="342473.08"/>
    <s v="Unknown"/>
    <s v="Paid"/>
    <x v="0"/>
  </r>
  <r>
    <s v="HOSP-10124"/>
    <s v="Anjali Kumar"/>
    <n v="19"/>
    <s v="Female"/>
    <s v="Ahmedabad"/>
    <s v="Oncology"/>
    <s v="Dr.Harit Chaturvedi"/>
    <d v="2025-05-30T00:00:00"/>
    <d v="2025-06-08T00:00:00"/>
    <s v="Breast Carcinoma"/>
    <s v="Chemotherapy &amp; Lumpectomy"/>
    <n v="120795.08"/>
    <s v="Max Bupa"/>
    <s v="Unknown"/>
    <x v="0"/>
  </r>
  <r>
    <s v="HOSP-10125"/>
    <s v="Kavita Iyer"/>
    <n v="51"/>
    <s v="Female"/>
    <s v="Bangalore"/>
    <s v="Cardiology"/>
    <s v="Dr.Naresh Trehan"/>
    <d v="2025-03-04T00:00:00"/>
    <d v="2025-03-15T00:00:00"/>
    <s v="Myocardial Infarction"/>
    <s v="Thrombolysis"/>
    <n v="267080.71000000002"/>
    <s v="Star Health"/>
    <s v="Disputed"/>
    <x v="3"/>
  </r>
  <r>
    <s v="HOSP-10126"/>
    <s v="Diya Joshi"/>
    <n v="8"/>
    <s v="Female"/>
    <s v="Kolkata"/>
    <s v="Unknown"/>
    <s v="Dr.P. N. Renjen"/>
    <d v="2025-08-29T00:00:00"/>
    <d v="2025-09-05T00:00:00"/>
    <s v="Acute Ischemic Stroke"/>
    <s v="Tpa Therapy"/>
    <n v="274996.57"/>
    <s v="Hdfc Ergo"/>
    <s v="Paid"/>
    <x v="0"/>
  </r>
  <r>
    <s v="Unknown"/>
    <s v="Amit Iyer"/>
    <n v="5"/>
    <s v="Male"/>
    <s v="Pune"/>
    <s v="Oncology"/>
    <s v="Dr.Vinod Raina"/>
    <d v="2025-01-15T00:00:00"/>
    <d v="2025-12-23T00:00:00"/>
    <s v="Lymphoma"/>
    <s v="R-Chop Regimen"/>
    <n v="319520.46999999997"/>
    <s v="Icici Lombard"/>
    <s v="Disputed"/>
    <x v="1"/>
  </r>
  <r>
    <s v="HOSP-10128"/>
    <s v="Vihaan Gupta"/>
    <n v="26"/>
    <s v="Male"/>
    <s v="Jaipur"/>
    <s v="Pediatrics"/>
    <s v="Dr.Arvind Bagga"/>
    <d v="2025-10-16T00:00:00"/>
    <d v="2025-11-03T00:00:00"/>
    <s v="Viral Gastroenteritis"/>
    <s v="Iv Fluids &amp; Electrolytes"/>
    <n v="171035.99"/>
    <s v="Care Health"/>
    <s v="Paid"/>
    <x v="3"/>
  </r>
  <r>
    <s v="HOSP-10129"/>
    <s v="Kabir_Mehta"/>
    <n v="56"/>
    <s v="Male"/>
    <s v="Chandigarh"/>
    <s v="Orthopedics"/>
    <s v="Dr.Harshavardhan Hegde"/>
    <d v="2025-03-30T00:00:00"/>
    <d v="2025-04-16T00:00:00"/>
    <s v="Femur Fracture"/>
    <s v="Internal Fixation"/>
    <n v="185136.82"/>
    <s v="Icici Lombard"/>
    <s v="Disputed"/>
    <x v="2"/>
  </r>
  <r>
    <s v="HOSP-10130"/>
    <s v="Manoj Kumar"/>
    <n v="48"/>
    <s v="Male"/>
    <s v="Mumbai"/>
    <s v="Neurology"/>
    <s v="Dr.Mukul Varma"/>
    <d v="2025-06-23T00:00:00"/>
    <d v="2025-07-07T00:00:00"/>
    <s v="Parkinson'S Disease"/>
    <s v="Unknown"/>
    <n v="94467.58"/>
    <s v="None / Self Pay"/>
    <s v="Disputed"/>
    <x v="4"/>
  </r>
  <r>
    <s v="HOSP-10131"/>
    <s v="Manoj Patel"/>
    <n v="25"/>
    <s v="Male"/>
    <s v="Jaipur"/>
    <s v="Oncology"/>
    <s v="Dr.Vinod Raina"/>
    <d v="2025-06-06T00:00:00"/>
    <d v="2025-06-15T00:00:00"/>
    <s v="Lymphoma"/>
    <s v="R-Chop Regimen"/>
    <n v="20656.7"/>
    <s v="Care Health"/>
    <s v="Disputed"/>
    <x v="0"/>
  </r>
  <r>
    <s v="HOSP-10132"/>
    <s v="Diya_Singh"/>
    <n v="53"/>
    <s v="Female"/>
    <s v="Delhi"/>
    <s v="Orthopedics"/>
    <s v="Dr.Harshavardhan Hegde"/>
    <d v="2025-01-01T00:00:00"/>
    <d v="2025-01-05T00:00:00"/>
    <s v="Osteoarthritis Knee"/>
    <s v="Total Knee Replacement"/>
    <n v="181016.57"/>
    <s v="Star Health"/>
    <s v="Pending"/>
    <x v="4"/>
  </r>
  <r>
    <s v="HOSP-10133"/>
    <s v="Vihaan Singh"/>
    <n v="82"/>
    <s v="Male"/>
    <s v="Delhi"/>
    <s v="Pediatrics"/>
    <s v="Dr.Arvind Bagga"/>
    <d v="2025-03-21T00:00:00"/>
    <d v="2025-04-04T00:00:00"/>
    <s v="Neonatal Jaundice"/>
    <s v="Phototherapy"/>
    <n v="309912.63"/>
    <s v="Star Health"/>
    <s v="Partially Paid"/>
    <x v="0"/>
  </r>
  <r>
    <s v="HOSP-10134"/>
    <s v="Kavita Verma"/>
    <n v="27"/>
    <s v="Female"/>
    <s v="Bangalore"/>
    <s v="Gastroenterology"/>
    <s v="Dr.Subhash Gupta"/>
    <d v="2025-08-29T00:00:00"/>
    <d v="2025-12-23T00:00:00"/>
    <s v="Acute Pancreatitis"/>
    <s v="Conservative Management"/>
    <n v="141900.42000000001"/>
    <s v="N/A"/>
    <s v="Claim Processing"/>
    <x v="2"/>
  </r>
  <r>
    <s v="HOSP-10136"/>
    <s v="Priya Gupta"/>
    <n v="59"/>
    <s v="Female"/>
    <s v="Bangalore"/>
    <s v="Neurology"/>
    <s v="Dr.Sushil Razdan"/>
    <d v="2025-12-06T00:00:00"/>
    <d v="2025-12-23T00:00:00"/>
    <s v="Acute Ischemic Stroke"/>
    <s v="Tpa Therapy"/>
    <n v="68547.92"/>
    <s v="Bajaj Allianz"/>
    <s v="Partially Paid"/>
    <x v="0"/>
  </r>
  <r>
    <s v="HOSP-10137"/>
    <s v="Rajesh Joshi"/>
    <n v="52"/>
    <s v="Male"/>
    <s v="Chandigarh"/>
    <s v="Pediatrics"/>
    <s v="Dr.Krishan Chugh"/>
    <d v="2025-02-03T00:00:00"/>
    <d v="2025-02-12T00:00:00"/>
    <s v="Viral Gastroenteritis"/>
    <s v="Iv Fluids &amp; Electrolytes"/>
    <n v="88870.79"/>
    <s v="Care Health"/>
    <s v="Disputed"/>
    <x v="4"/>
  </r>
  <r>
    <s v="HOSP-10140"/>
    <s v="Vikram Nair"/>
    <n v="160"/>
    <s v="Male"/>
    <s v="Chandigarh"/>
    <s v="Oncology"/>
    <s v="Dr.Suresh Advani"/>
    <d v="2025-01-14T00:00:00"/>
    <d v="2025-01-22T00:00:00"/>
    <s v="Breast Carcinoma"/>
    <s v="Chemotherapy &amp; Lumpectomy"/>
    <n v="221590.42"/>
    <s v="None / Self Pay"/>
    <s v="Paid"/>
    <x v="0"/>
  </r>
  <r>
    <s v="HOSP-10141"/>
    <s v="Vihaan Reddy"/>
    <n v="26"/>
    <s v="Male"/>
    <s v="Delhi"/>
    <s v="Neurology"/>
    <s v="Dr.P. N. Renjen"/>
    <d v="2025-03-23T00:00:00"/>
    <d v="2025-12-23T00:00:00"/>
    <s v="Migraine Chronic"/>
    <s v="Botox Injection &amp; Triptans"/>
    <n v="211178.03"/>
    <s v="None / Self Pay"/>
    <s v="Claim Processing"/>
    <x v="1"/>
  </r>
  <r>
    <s v="Unknown"/>
    <s v="Anjali Nair"/>
    <n v="10"/>
    <s v="Female"/>
    <s v="Chennai"/>
    <s v="Orthopedics"/>
    <s v="Dr.Sks Marya"/>
    <d v="2025-04-10T00:00:00"/>
    <d v="2025-09-12T00:00:00"/>
    <s v="Osteoarthritis Knee"/>
    <s v="Total Knee Replacement"/>
    <n v="99999999"/>
    <s v="N/A"/>
    <s v="Disputed"/>
    <x v="4"/>
  </r>
  <r>
    <s v="HOSP-10144"/>
    <s v="Kavita Bose"/>
    <n v="11"/>
    <s v="Female"/>
    <s v="Pune"/>
    <s v="Neurology"/>
    <s v="Dr.Sushil Razdan"/>
    <d v="2025-11-04T00:00:00"/>
    <d v="2025-11-15T00:00:00"/>
    <s v="Acute Ischemic Stroke"/>
    <s v="Tpa Therapy"/>
    <n v="286748.51"/>
    <s v="Hdfc Ergo"/>
    <s v="Paid"/>
    <x v="4"/>
  </r>
  <r>
    <s v="HOSP-10145"/>
    <s v="Vikram Mehta"/>
    <n v="45"/>
    <s v="Male"/>
    <s v="Chandigarh"/>
    <s v="Orthopedics"/>
    <s v="Dr.Ramneek Mahajan"/>
    <d v="2025-03-26T00:00:00"/>
    <d v="2025-12-23T00:00:00"/>
    <s v="Lumbar Spondylosis"/>
    <s v="Spinal Decompression"/>
    <n v="138546.84"/>
    <s v="Icici Lombard"/>
    <s v="Paid"/>
    <x v="1"/>
  </r>
  <r>
    <s v="HOSP-10146"/>
    <s v="Rohan Sharma"/>
    <n v="18"/>
    <s v="Male"/>
    <s v="Hyderabad"/>
    <s v="Cardiology"/>
    <s v="Dr.Ashok Seth"/>
    <d v="2025-10-20T00:00:00"/>
    <d v="2025-11-05T00:00:00"/>
    <s v="Arrhythmia"/>
    <s v="Pacemaker Implantation"/>
    <n v="347176.11"/>
    <s v="Star Health"/>
    <s v="Claim Processing"/>
    <x v="3"/>
  </r>
  <r>
    <s v="HOSP-10147"/>
    <s v="Amit Mehta"/>
    <n v="45"/>
    <s v="Male"/>
    <s v="Mumbai"/>
    <s v="Orthopedics"/>
    <s v="Dr.Harshavardhan Hegde"/>
    <d v="2025-04-19T00:00:00"/>
    <d v="2025-04-27T00:00:00"/>
    <s v="Osteoarthritis Knee"/>
    <s v="Total Knee Replacement"/>
    <n v="296274.05"/>
    <s v="Icici Lombard"/>
    <s v="Partially Paid"/>
    <x v="4"/>
  </r>
  <r>
    <s v="HOSP-10148"/>
    <s v="Vikram Reddy"/>
    <n v="61"/>
    <s v="Male"/>
    <s v="Kolkata"/>
    <s v="Gastroenterology"/>
    <s v="Dr.Subhash Gupta"/>
    <d v="2025-08-31T00:00:00"/>
    <d v="2025-12-23T00:00:00"/>
    <s v="Liver Cirrhosis"/>
    <s v="Paracentesis &amp; Diuretics"/>
    <n v="263655.98"/>
    <s v="Max Bupa"/>
    <s v="Claim Processing"/>
    <x v="1"/>
  </r>
  <r>
    <s v="HOSP-10149"/>
    <s v="Deepak Bose"/>
    <n v="18"/>
    <s v="Unspecified"/>
    <s v="Unknown"/>
    <s v="Orthopedics"/>
    <s v="Dr.Harshavardhan Hegde"/>
    <d v="2025-09-03T00:00:00"/>
    <d v="2025-12-23T00:00:00"/>
    <s v="Lumbar Spondylosis"/>
    <s v="Spinal Decompression"/>
    <n v="274232.43"/>
    <s v="None"/>
    <s v="Disputed"/>
    <x v="1"/>
  </r>
  <r>
    <s v="HOSP-10150"/>
    <s v="Anita Verma"/>
    <n v="75"/>
    <s v="Female"/>
    <s v="Mumbai"/>
    <s v="Orthopedics"/>
    <s v="Dr.Harshavardhan Hegde"/>
    <d v="2025-01-10T00:00:00"/>
    <d v="2025-01-27T00:00:00"/>
    <s v="Rotator Cuff Tear"/>
    <s v="Arthroscopic Repair"/>
    <n v="212814.74"/>
    <s v="N/A"/>
    <s v="Unknown"/>
    <x v="4"/>
  </r>
  <r>
    <s v="HOSP-10152"/>
    <s v="Kabir Iyer"/>
    <n v="42"/>
    <s v="Male"/>
    <s v="Ahmedabad"/>
    <s v="Orthopedics"/>
    <s v="Dr.Ramneek Mahajan"/>
    <d v="2025-04-10T00:00:00"/>
    <d v="2025-02-12T00:00:00"/>
    <s v="Femur Fracture"/>
    <s v="Internal Fixation"/>
    <n v="326680.27"/>
    <s v="Hdfc Ergo"/>
    <s v="Disputed"/>
    <x v="0"/>
  </r>
  <r>
    <s v="HOSP-10154"/>
    <s v="Rajesh Singh"/>
    <n v="12"/>
    <s v="Male"/>
    <s v="Pune"/>
    <s v="Cardiology"/>
    <s v="Dr.Ashok Seth"/>
    <d v="2025-07-04T00:00:00"/>
    <d v="2025-12-23T00:00:00"/>
    <s v="Arrhythmia"/>
    <s v="Pacemaker Implantation"/>
    <n v="296656.08"/>
    <s v="Icici Lombard"/>
    <s v="Pending"/>
    <x v="1"/>
  </r>
  <r>
    <s v="HOSP-10155"/>
    <s v="Kavita Sharma"/>
    <n v="38"/>
    <s v="Female"/>
    <s v="Kolkata"/>
    <s v="Pediatrics"/>
    <s v="Dr.Krishan Chugh"/>
    <d v="2025-03-19T00:00:00"/>
    <d v="2025-03-24T00:00:00"/>
    <s v="Viral Gastroenteritis"/>
    <s v="Iv Fluids &amp; Electrolytes"/>
    <n v="319545.57"/>
    <s v="None"/>
    <s v="Unknown"/>
    <x v="3"/>
  </r>
  <r>
    <s v="HOSP-10156"/>
    <s v="Rajesh Kumar"/>
    <n v="67"/>
    <s v="Male"/>
    <s v="Delhi"/>
    <s v="Pediatrics"/>
    <s v="Dr.Arvind Bagga"/>
    <d v="2025-02-28T00:00:00"/>
    <d v="2025-03-18T00:00:00"/>
    <s v="Acute Bronchiolitis"/>
    <s v="Nebulization &amp; O2 Support"/>
    <n v="288794.3"/>
    <s v="Bajaj Allianz"/>
    <s v="Paid"/>
    <x v="5"/>
  </r>
  <r>
    <s v="HOSP-10157"/>
    <s v="Ritu Sharma"/>
    <n v="88"/>
    <s v="Female"/>
    <s v="Delhi"/>
    <s v="Pediatrics"/>
    <s v="Dr.Krishan Chugh"/>
    <d v="2025-06-15T00:00:00"/>
    <d v="2025-06-29T00:00:00"/>
    <s v="Neonatal Jaundice"/>
    <s v="Phototherapy"/>
    <n v="216146.47"/>
    <s v="Unknown"/>
    <s v="Partially Paid"/>
    <x v="5"/>
  </r>
  <r>
    <s v="HOSP-10158"/>
    <s v="Ananya Mehta"/>
    <n v="7"/>
    <s v="Female"/>
    <s v="Jaipur"/>
    <s v="Unknown"/>
    <s v="Dr.Veena Kalra"/>
    <d v="2025-11-09T00:00:00"/>
    <d v="2025-12-23T00:00:00"/>
    <s v="Severe Pneumonia"/>
    <s v="Iv Antibiotics"/>
    <n v="206117.65"/>
    <s v="Bajaj Allianz"/>
    <s v="Claim Processing"/>
    <x v="1"/>
  </r>
  <r>
    <s v="HOSP-10160"/>
    <s v="Kavita Patel"/>
    <n v="84"/>
    <s v="Female"/>
    <s v="Pune"/>
    <s v="General Medicine"/>
    <s v="Dr.R. K. Singhal"/>
    <d v="2025-04-28T00:00:00"/>
    <d v="2025-05-16T00:00:00"/>
    <s v="Dengue Fever With Thrombocytopenia"/>
    <s v="Platelet Support"/>
    <n v="260581.65"/>
    <s v="Care Health"/>
    <s v="Partially Paid"/>
    <x v="3"/>
  </r>
  <r>
    <s v="HOSP-10161"/>
    <s v="Kavita Joshi"/>
    <n v="70"/>
    <s v="Female"/>
    <s v="Ahmedabad"/>
    <s v="Oncology"/>
    <s v="Dr.Harit Chaturvedi"/>
    <d v="2025-01-15T00:00:00"/>
    <d v="2025-01-28T00:00:00"/>
    <s v="Lung Adenocarcinoma"/>
    <s v="Targeted Therapy"/>
    <n v="40000"/>
    <s v="Bajaj Allianz"/>
    <s v="Paid"/>
    <x v="3"/>
  </r>
  <r>
    <s v="HOSP-10162"/>
    <s v="Pooja Singh"/>
    <n v="28"/>
    <s v="Female"/>
    <s v="Bangalore"/>
    <s v="Oncology"/>
    <s v="Dr.Vinod Raina"/>
    <d v="2025-09-28T00:00:00"/>
    <d v="2025-10-10T00:00:00"/>
    <s v="Unknown"/>
    <s v="Chemotherapy &amp; Lumpectomy"/>
    <n v="325321.69"/>
    <s v="None / Self Pay"/>
    <s v="Pending"/>
    <x v="4"/>
  </r>
  <r>
    <s v="HOSP-1164"/>
    <s v="Neha Joshi"/>
    <n v="79"/>
    <s v="Female"/>
    <s v="Mumbai"/>
    <s v="Gastroenterology"/>
    <s v="Dr.Govind Makharia"/>
    <d v="2025-01-03T00:00:00"/>
    <d v="2025-12-23T00:00:00"/>
    <s v="Peptic Ulcer Bleeding"/>
    <s v="Endoscopic Banding"/>
    <n v="257496.48"/>
    <s v="Hdfc Ergo"/>
    <s v="Disputed"/>
    <x v="1"/>
  </r>
  <r>
    <s v="HOSP-10165"/>
    <s v="Priya Mehta"/>
    <n v="43"/>
    <s v="Female"/>
    <s v="Bangalore"/>
    <s v="General Medicine"/>
    <s v="Dr.Atul Gogia"/>
    <d v="2025-12-27T00:00:00"/>
    <d v="2025-12-31T00:00:00"/>
    <s v="Type 2 Diabetes Uncontrolled"/>
    <s v="Insulin Titration"/>
    <n v="328694.76"/>
    <s v="Star Health"/>
    <s v="Paid"/>
    <x v="3"/>
  </r>
  <r>
    <s v="HOSP-10167"/>
    <s v="Unknown"/>
    <n v="18"/>
    <s v="Male"/>
    <s v="Pune"/>
    <s v="Pediatrics"/>
    <s v="Dr.Arvind Bagga"/>
    <d v="2025-03-28T00:00:00"/>
    <d v="2025-04-01T00:00:00"/>
    <s v="Unknown"/>
    <s v="Phototherapy"/>
    <n v="219135.3"/>
    <s v="Star Health"/>
    <s v="Paid"/>
    <x v="4"/>
  </r>
  <r>
    <s v="HOSP-10168"/>
    <s v="Ananya Joshi"/>
    <n v="85"/>
    <s v="Female"/>
    <s v="Hyderabad"/>
    <s v="Oncology"/>
    <s v="Dr.Harit Chaturvedi"/>
    <d v="2025-04-03T00:00:00"/>
    <d v="2025-03-20T00:00:00"/>
    <s v="Breast Carcinoma"/>
    <s v="Chemotherapy &amp; Lumpectomy"/>
    <n v="129775.24"/>
    <s v="Max Bupa"/>
    <s v="Disputed"/>
    <x v="0"/>
  </r>
  <r>
    <s v="HOSP-10169"/>
    <s v="Ramesh Sharma"/>
    <n v="83"/>
    <s v="Male"/>
    <s v="Chandigarh"/>
    <s v="Neurology"/>
    <s v="Dr.Mukul Varma"/>
    <d v="2025-05-01T00:00:00"/>
    <d v="2025-05-06T00:00:00"/>
    <s v="Parkinson'S Disease"/>
    <s v="Levodopa Therapy"/>
    <n v="41341.620000000003"/>
    <s v="None"/>
    <s v="Disputed"/>
    <x v="0"/>
  </r>
  <r>
    <s v="HOSP-10170"/>
    <s v="Kavita Reddy"/>
    <n v="81"/>
    <s v="Female"/>
    <s v="Hyderabad"/>
    <s v="Gastroenterology"/>
    <s v="Dr.Randhir Sud"/>
    <d v="2025-01-05T00:00:00"/>
    <d v="2025-01-08T00:00:00"/>
    <s v="Peptic Ulcer Bleeding"/>
    <s v="Endoscopic Banding"/>
    <n v="146620.88"/>
    <s v="None / Self Pay"/>
    <s v="Disputed"/>
    <x v="3"/>
  </r>
  <r>
    <s v="HOSP-1172"/>
    <s v="Aditya Nair"/>
    <n v="18"/>
    <s v="Male"/>
    <s v="Jaipur"/>
    <s v="Pediatrics"/>
    <s v="Dr.Arvind Bagga"/>
    <d v="2025-07-16T00:00:00"/>
    <d v="2025-07-26T00:00:00"/>
    <s v="Viral Gastroenteritis"/>
    <s v="Iv Fluids &amp; Electrolytes"/>
    <n v="47162.34"/>
    <s v="Max Bupa"/>
    <s v="Claim Processing"/>
    <x v="0"/>
  </r>
  <r>
    <s v="HOSP-10173"/>
    <s v="Rohan Patel"/>
    <n v="18"/>
    <s v="Male"/>
    <s v="Delhi"/>
    <s v="Neurology"/>
    <s v="Dr.P. N. Renjen"/>
    <d v="2025-07-01T00:00:00"/>
    <d v="2025-07-09T00:00:00"/>
    <s v="Acute Ischemic Stroke"/>
    <s v="Tpa Therapy"/>
    <n v="61086.32"/>
    <s v="Hdfc Ergo"/>
    <s v="Partially Paid"/>
    <x v="4"/>
  </r>
  <r>
    <s v="HOSP-10174"/>
    <s v="Unknown"/>
    <n v="39"/>
    <s v="Male"/>
    <s v="Pune"/>
    <s v="Orthopedics"/>
    <s v="Dr.Harshavardhan Hegde"/>
    <d v="2025-01-11T00:00:00"/>
    <d v="2025-12-01T00:00:00"/>
    <s v="Rotator Cuff Tear"/>
    <s v="Arthroscopic Repair"/>
    <n v="296960.7"/>
    <s v="None"/>
    <s v="Paid"/>
    <x v="4"/>
  </r>
  <r>
    <s v="HOSP-1175"/>
    <s v="Rohan Joshi"/>
    <n v="71"/>
    <s v="Male"/>
    <s v="Jaipur"/>
    <s v="Orthopedics"/>
    <s v="Dr.Harshavardhan Hegde"/>
    <d v="2025-04-10T00:00:00"/>
    <d v="2025-12-23T00:00:00"/>
    <s v="Rotator Cuff Tear"/>
    <s v="Arthroscopic Repair"/>
    <n v="145643.35999999999"/>
    <s v="None / Self Pay"/>
    <s v="Pending"/>
    <x v="1"/>
  </r>
  <r>
    <s v="HOSP-10176"/>
    <s v="Manoj Bose"/>
    <n v="7"/>
    <s v="Male"/>
    <s v="Chennai"/>
    <s v="Oncology"/>
    <s v="Dr.Suresh Advani"/>
    <d v="2025-03-05T00:00:00"/>
    <d v="2025-03-07T00:00:00"/>
    <s v="Colorectal Cancer"/>
    <s v="Colectomy"/>
    <n v="122826.86"/>
    <s v="N/A"/>
    <s v="Partially Paid"/>
    <x v="3"/>
  </r>
  <r>
    <s v="HOSP-10178"/>
    <s v="Deepak Sharma"/>
    <n v="44"/>
    <s v="Male"/>
    <s v="Kolkata"/>
    <s v="General Medicine"/>
    <s v="Dr.Anoop Misra"/>
    <d v="2025-03-06T00:00:00"/>
    <d v="2025-06-11T00:00:00"/>
    <s v="Urinary Tract Infection"/>
    <s v="Antibiotic Course"/>
    <n v="263979.82"/>
    <s v="Max Bupa"/>
    <s v="Disputed"/>
    <x v="5"/>
  </r>
  <r>
    <s v="HOSP-10180"/>
    <s v="Vikram Mehta"/>
    <n v="81"/>
    <s v="Male"/>
    <s v="Mumbai"/>
    <s v="Pediatrics"/>
    <s v="Dr.Krishan Chugh"/>
    <d v="2025-04-24T00:00:00"/>
    <d v="2025-12-23T00:00:00"/>
    <s v="Severe Pneumonia"/>
    <s v="Iv Antibiotics"/>
    <n v="240033.83"/>
    <s v="Max Bupa"/>
    <s v="Partially Paid"/>
    <x v="1"/>
  </r>
  <r>
    <s v="HOSP-10181"/>
    <s v="Kabir Nair"/>
    <n v="39"/>
    <s v="Male"/>
    <s v="Jaipur"/>
    <s v="Orthopedics"/>
    <s v="Dr.Sks Marya"/>
    <d v="2025-04-10T00:00:00"/>
    <d v="2025-07-18T00:00:00"/>
    <s v="Osteoarthritis Knee"/>
    <s v="Total Knee Replacement"/>
    <n v="72671.100000000006"/>
    <s v="Icici Lombard"/>
    <s v="Paid"/>
    <x v="5"/>
  </r>
  <r>
    <s v="HOSP-10182"/>
    <s v="Priya Nair"/>
    <n v="76"/>
    <s v="Female"/>
    <s v="Hyderabad"/>
    <s v="Orthopedics"/>
    <s v="Dr.Sks Marya"/>
    <d v="2025-04-10T00:00:00"/>
    <d v="2025-12-23T00:00:00"/>
    <s v="Femur Fracture"/>
    <s v="Internal Fixation"/>
    <n v="337302.75"/>
    <s v="None / Self Pay"/>
    <s v="Pending"/>
    <x v="1"/>
  </r>
  <r>
    <s v="HOSP-10183"/>
    <s v="Ananya Nair"/>
    <n v="88"/>
    <s v="Female"/>
    <s v="Delhi"/>
    <s v="Cardiology"/>
    <s v="Dr.Devi Shetty"/>
    <d v="2025-09-25T00:00:00"/>
    <d v="2025-06-10T00:00:00"/>
    <s v="Heart Failure"/>
    <s v="Ace Inhibitors &amp; Diuretics"/>
    <n v="335905.47"/>
    <s v="Unknown"/>
    <s v="Disputed"/>
    <x v="5"/>
  </r>
  <r>
    <s v="HOSP-117"/>
    <s v="Rajesh Singh"/>
    <n v="12"/>
    <s v="Male"/>
    <s v="Bangalore"/>
    <s v="General Medicine"/>
    <s v="Dr.Anoop Misra"/>
    <d v="2025-06-24T00:00:00"/>
    <d v="2025-12-23T00:00:00"/>
    <s v="Dengue Fever With Thrombocytopenia"/>
    <s v="Platelet Support"/>
    <n v="340229.7"/>
    <s v="Icici Lombard"/>
    <s v="Partially Paid"/>
    <x v="1"/>
  </r>
  <r>
    <s v="HOSP-10185"/>
    <s v="Rohan Verma"/>
    <n v="41"/>
    <s v="Male"/>
    <s v="Mumbai"/>
    <s v="Orthopedics"/>
    <s v="Dr.Harshavardhan Hegde"/>
    <d v="2025-04-10T00:00:00"/>
    <d v="2025-11-16T00:00:00"/>
    <s v="Lumbar Spondylosis"/>
    <s v="Spinal Decompression"/>
    <n v="40000"/>
    <s v="N/A"/>
    <s v="Paid"/>
    <x v="5"/>
  </r>
  <r>
    <s v="HOSP-10187"/>
    <s v="Pooja Joshi"/>
    <n v="85"/>
    <s v="Female"/>
    <s v="Bangalore"/>
    <s v="Gastroenterology"/>
    <s v="Dr.Randhir Sud"/>
    <d v="2025-09-21T00:00:00"/>
    <d v="2025-10-06T00:00:00"/>
    <s v="Gallstones / Cholecystitis"/>
    <s v="Laparoscopic Cholecystectomy"/>
    <n v="337085.85"/>
    <s v="Hdfc Ergo"/>
    <s v="Paid"/>
    <x v="0"/>
  </r>
  <r>
    <s v="HOSP-10192"/>
    <s v="Kavita Mehta"/>
    <n v="42"/>
    <s v="Female"/>
    <s v="Hyderabad"/>
    <s v="Neurology"/>
    <s v="Dr.P. N. Renjen"/>
    <d v="2025-04-10T00:00:00"/>
    <d v="2025-02-15T00:00:00"/>
    <s v="Migraine Chronic"/>
    <s v="Botox Injection &amp; Triptans"/>
    <n v="310615.59999999998"/>
    <s v="Care Health"/>
    <s v="Pending"/>
    <x v="0"/>
  </r>
  <r>
    <s v="HOSP-10193"/>
    <s v="Ramesh Singh"/>
    <n v="22"/>
    <s v="Male"/>
    <s v="Kolkata"/>
    <s v="General Medicine"/>
    <s v="Dr.R. K. Singhal"/>
    <d v="2025-10-08T00:00:00"/>
    <d v="2025-10-22T00:00:00"/>
    <s v="Type 2 Diabetes Uncontrolled"/>
    <s v="Insulin Titration"/>
    <n v="348616.66"/>
    <s v="Star Health"/>
    <s v="Pending"/>
    <x v="0"/>
  </r>
  <r>
    <s v="HOSP-10195"/>
    <s v="Kabir Joshi"/>
    <n v="2"/>
    <s v="Male"/>
    <s v="Kolkata"/>
    <s v="Orthopedics"/>
    <s v="Dr.Sks Marya"/>
    <d v="2025-12-09T00:00:00"/>
    <d v="2025-12-24T00:00:00"/>
    <s v="Osteoarthritis Knee"/>
    <s v="Total Knee Replacement"/>
    <n v="107724.71"/>
    <s v="Bajaj Allianz"/>
    <s v="Pending"/>
    <x v="5"/>
  </r>
  <r>
    <s v="HOSP-10196"/>
    <s v="Aarav Gupta"/>
    <n v="50"/>
    <s v="Male"/>
    <s v="Chennai"/>
    <s v="Neurology"/>
    <s v="Dr.Mukul Varma"/>
    <d v="2025-12-02T00:00:00"/>
    <d v="2025-02-13T00:00:00"/>
    <s v="Epilepsy"/>
    <s v="Anticonvulsant Therapy"/>
    <n v="272521.56"/>
    <s v="Max Bupa"/>
    <s v="Partially Paid"/>
    <x v="5"/>
  </r>
  <r>
    <s v="HOSP-10197"/>
    <s v="Ramesh Joshi"/>
    <n v="62"/>
    <s v="Male"/>
    <s v="Delhi"/>
    <s v="Unknown"/>
    <s v="Dr.R. K. Singhal"/>
    <d v="2025-01-02T00:00:00"/>
    <d v="2025-01-13T00:00:00"/>
    <s v="Urinary Tract Infection"/>
    <s v="Unknown"/>
    <n v="88182.91"/>
    <s v="Care Health"/>
    <s v="Paid"/>
    <x v="0"/>
  </r>
  <r>
    <s v="HOSP-10199"/>
    <s v="Aarav Patel"/>
    <n v="27"/>
    <s v="Male"/>
    <s v="Chandigarh"/>
    <s v="Gastroenterology"/>
    <s v="Dr.Govind Makharia"/>
    <d v="2025-07-22T00:00:00"/>
    <d v="2025-07-29T00:00:00"/>
    <s v="Peptic Ulcer Bleeding"/>
    <s v="Endoscopic Banding"/>
    <n v="88203.79"/>
    <s v="None"/>
    <s v="Disputed"/>
    <x v="4"/>
  </r>
  <r>
    <s v="HOSP-10200"/>
    <s v="Kavita Singh"/>
    <n v="71"/>
    <s v="Female"/>
    <s v="Chandigarh"/>
    <s v="Unknown"/>
    <s v="Dr.P. N. Renjen"/>
    <d v="2025-07-01T00:00:00"/>
    <d v="2025-07-19T00:00:00"/>
    <s v="Migraine Chronic"/>
    <s v="Botox Injection &amp; Triptans"/>
    <n v="330817.42"/>
    <s v="Unknown"/>
    <s v="Partially Paid"/>
    <x v="4"/>
  </r>
  <r>
    <s v="HOSP-10201"/>
    <s v="Diya Sharma"/>
    <n v="72"/>
    <s v="Female"/>
    <s v="Mumbai"/>
    <s v="Orthopedics"/>
    <s v="Dr.Sks Marya"/>
    <d v="2025-11-14T00:00:00"/>
    <d v="2025-11-25T00:00:00"/>
    <s v="Osteoarthritis Knee"/>
    <s v="Total Knee Replacement"/>
    <n v="40000"/>
    <s v="Unknown"/>
    <s v="Pending"/>
    <x v="3"/>
  </r>
  <r>
    <s v="HOSP-10203"/>
    <s v="Rohan Singh"/>
    <n v="18"/>
    <s v="Male"/>
    <s v="Jaipur"/>
    <s v="General Medicine"/>
    <s v="Dr.R. K. Singhal"/>
    <d v="2025-04-30T00:00:00"/>
    <d v="2025-12-23T00:00:00"/>
    <s v="Type 2 Diabetes Uncontrolled"/>
    <s v="Insulin Titration"/>
    <n v="94965.17"/>
    <s v="None / Self Pay"/>
    <s v="Pending"/>
    <x v="1"/>
  </r>
  <r>
    <s v="HOSP-10204"/>
    <s v="Kabir Nair"/>
    <n v="18"/>
    <s v="Male"/>
    <s v="Delhi"/>
    <s v="Oncology"/>
    <s v="Dr.Harit Chaturvedi"/>
    <d v="2025-09-01T00:00:00"/>
    <d v="2025-09-18T00:00:00"/>
    <s v="Lung Adenocarcinoma"/>
    <s v="Targeted Therapy"/>
    <n v="266670.65000000002"/>
    <s v="None / Self Pay"/>
    <s v="Paid"/>
    <x v="3"/>
  </r>
  <r>
    <s v="HOSP-10205"/>
    <s v="Aarav Reddy"/>
    <n v="27"/>
    <s v="Male"/>
    <s v="Jaipur"/>
    <s v="General Medicine"/>
    <s v="Dr.Unknown"/>
    <d v="2025-06-18T00:00:00"/>
    <d v="2025-12-23T00:00:00"/>
    <s v="Hypertensive Crisis"/>
    <s v="Iv Labetalol"/>
    <n v="52142.03"/>
    <s v="Star Health"/>
    <s v="Claim Processing"/>
    <x v="1"/>
  </r>
  <r>
    <s v="HOSP-10206"/>
    <s v="Priya Joshi"/>
    <n v="52"/>
    <s v="Female"/>
    <s v="Hyderabad"/>
    <s v="Cardiology"/>
    <s v="Dr.Ashok Seth"/>
    <d v="2025-10-01T00:00:00"/>
    <d v="2025-12-23T00:00:00"/>
    <s v="Heart Failure"/>
    <s v="Ace Inhibitors &amp; Diuretics"/>
    <n v="101756.58"/>
    <s v="None / Self Pay"/>
    <s v="Paid"/>
    <x v="1"/>
  </r>
  <r>
    <s v="HOSP-10208"/>
    <s v="Priya Iyer"/>
    <n v="160"/>
    <s v="Female"/>
    <s v="Ahmedabad"/>
    <s v="Oncology"/>
    <s v="Dr.Harit Chaturvedi"/>
    <d v="2025-12-09T00:00:00"/>
    <d v="2025-12-26T00:00:00"/>
    <s v="Lymphoma"/>
    <s v="R-Chop Regimen"/>
    <n v="41236.160000000003"/>
    <s v="N/A"/>
    <s v="Partially Paid"/>
    <x v="7"/>
  </r>
  <r>
    <s v="HOSP-10209"/>
    <s v="Meera Reddy"/>
    <n v="47"/>
    <s v="Female"/>
    <s v="Pune"/>
    <s v="Pediatrics"/>
    <s v="Dr.Arvind Bagga"/>
    <d v="2025-09-27T00:00:00"/>
    <d v="2025-10-10T00:00:00"/>
    <s v="Viral Gastroenteritis"/>
    <s v="Iv Fluids &amp; Electrolytes"/>
    <n v="224317.54"/>
    <s v="None / Self Pay"/>
    <s v="Pending"/>
    <x v="4"/>
  </r>
  <r>
    <s v="HOSP-10210"/>
    <s v="Diya Iyer"/>
    <n v="81"/>
    <s v="Female"/>
    <s v="Jaipur"/>
    <s v="Neurology"/>
    <s v="Dr.Mukul Varma"/>
    <d v="2025-07-23T00:00:00"/>
    <d v="2025-08-04T00:00:00"/>
    <s v="Parkinson'S Disease"/>
    <s v="Levodopa Therapy"/>
    <n v="141814.6"/>
    <s v="Max Bupa"/>
    <s v="Claim_Pending"/>
    <x v="0"/>
  </r>
  <r>
    <s v="Unknown"/>
    <s v="Anjali Joshi"/>
    <n v="87"/>
    <s v="Female"/>
    <s v="Chandigarh"/>
    <s v="Cardiology"/>
    <s v="Dr.Ashok Seth"/>
    <d v="2025-01-18T00:00:00"/>
    <d v="2025-01-25T00:00:00"/>
    <s v="Heart Failure"/>
    <s v="Ace Inhibitors &amp; Diuretics"/>
    <n v="258112.74"/>
    <s v="None"/>
    <s v="Paid"/>
    <x v="0"/>
  </r>
  <r>
    <s v="HOSP-10212"/>
    <s v="Ananya Gupta"/>
    <n v="16"/>
    <s v="Female"/>
    <s v="Jaipur"/>
    <s v="Orthopedics"/>
    <s v="Dr.Ramneek Mahajan"/>
    <d v="2025-11-01T00:00:00"/>
    <d v="2025-12-23T00:00:00"/>
    <s v="Rotator Cuff Tear"/>
    <s v="Arthroscopic Repair"/>
    <n v="255614.72"/>
    <s v="Max Bupa"/>
    <s v="Claim_Pending"/>
    <x v="1"/>
  </r>
  <r>
    <s v="HOSP-10213"/>
    <s v="Aarav Joshi"/>
    <n v="40"/>
    <s v="Unspecified"/>
    <s v="Hyderabad"/>
    <s v="Pediatrics"/>
    <s v="Dr.Veena Kalra"/>
    <d v="2025-10-10T00:00:00"/>
    <d v="2025-12-23T00:00:00"/>
    <s v="Neonatal Jaundice"/>
    <s v="Phototherapy"/>
    <n v="317722.57"/>
    <s v="Max Bupa"/>
    <s v="Pending"/>
    <x v="1"/>
  </r>
  <r>
    <s v="HOSP-10214"/>
    <s v="Amit Bose"/>
    <n v="70"/>
    <s v="Male"/>
    <s v="Ahmedabad"/>
    <s v="Neurology"/>
    <s v="Dr.Mukul Varma"/>
    <d v="2025-11-01T00:00:00"/>
    <d v="2025-01-15T00:00:00"/>
    <s v="Parkinson'S Disease"/>
    <s v="Levodopa Therapy"/>
    <n v="259754.43"/>
    <s v="Care Health"/>
    <s v="Pending"/>
    <x v="3"/>
  </r>
  <r>
    <s v="HOSP-10215"/>
    <s v="Unknown"/>
    <n v="29"/>
    <s v="Male"/>
    <s v="Mumbai"/>
    <s v="Cardiology"/>
    <s v="Dr.Naresh Trehan"/>
    <d v="2025-04-04T00:00:00"/>
    <d v="2025-04-07T00:00:00"/>
    <s v="Heart Failure"/>
    <s v="Ace Inhibitors &amp; Diuretics"/>
    <n v="43156.46"/>
    <s v="Bajaj Allianz"/>
    <s v="Disputed"/>
    <x v="2"/>
  </r>
  <r>
    <s v="HOSP-10216"/>
    <s v="Neha Nair"/>
    <n v="69"/>
    <s v="Female"/>
    <s v="Chennai"/>
    <s v="Oncology"/>
    <s v="Dr.Vinod Raina"/>
    <d v="2025-04-14T00:00:00"/>
    <d v="2025-12-23T00:00:00"/>
    <s v="Lung Adenocarcinoma"/>
    <s v="Targeted Therapy"/>
    <n v="8472.35"/>
    <s v="Star Health"/>
    <s v="Pending"/>
    <x v="1"/>
  </r>
  <r>
    <s v="HOSP-10217"/>
    <s v="Vikram_Nair"/>
    <n v="6"/>
    <s v="Male"/>
    <s v="Delhi"/>
    <s v="Pediatrics"/>
    <s v="Dr.Veena Kalra"/>
    <d v="2025-11-11T00:00:00"/>
    <d v="2025-11-23T00:00:00"/>
    <s v="Severe Pneumonia"/>
    <s v="Iv Antibiotics"/>
    <n v="287606.32"/>
    <s v="Max Bupa"/>
    <s v="Claim Processing"/>
    <x v="0"/>
  </r>
  <r>
    <s v="HOSP-10218"/>
    <s v="Ananya Reddy"/>
    <n v="24"/>
    <s v="Female"/>
    <s v="Jaipur"/>
    <s v="Gastroenterology"/>
    <s v="Dr.Govind Makharia"/>
    <d v="2025-04-06T00:00:00"/>
    <d v="2025-12-23T00:00:00"/>
    <s v="Gallstones / Cholecystitis"/>
    <s v="Laparoscopic Cholecystectomy"/>
    <n v="289092.03000000003"/>
    <s v="Icici Lombard"/>
    <s v="Claim Processing"/>
    <x v="1"/>
  </r>
  <r>
    <s v="HOSP-10219"/>
    <s v="Ananya Verma"/>
    <n v="54"/>
    <s v="Unspecified"/>
    <s v="Bangalore"/>
    <s v="Gastroenterology"/>
    <s v="Dr.Randhir Sud"/>
    <d v="2025-12-12T00:00:00"/>
    <d v="2025-12-30T00:00:00"/>
    <s v="Liver Cirrhosis"/>
    <s v="Paracentesis &amp; Diuretics"/>
    <n v="33757.449999999997"/>
    <s v="Max Bupa"/>
    <s v="Unpaid"/>
    <x v="5"/>
  </r>
  <r>
    <s v="HOSP-10220"/>
    <s v="Suresh Joshi"/>
    <n v="73"/>
    <s v="Male"/>
    <s v="Unknown"/>
    <s v="Pediatrics"/>
    <s v="Dr.Veena Kalra"/>
    <d v="2025-07-13T00:00:00"/>
    <d v="2025-07-25T00:00:00"/>
    <s v="Neonatal Jaundice"/>
    <s v="Phototherapy"/>
    <n v="137604.06"/>
    <s v="Icici Lombard"/>
    <s v="Disputed"/>
    <x v="3"/>
  </r>
  <r>
    <s v="HOSP-10222"/>
    <s v="Anita Reddy"/>
    <n v="65"/>
    <s v="Female"/>
    <s v="Bangalore"/>
    <s v="Orthopedics"/>
    <s v="Dr.Ramneek Mahajan"/>
    <d v="2025-03-04T00:00:00"/>
    <d v="2025-12-23T00:00:00"/>
    <s v="Rotator Cuff Tear"/>
    <s v="Arthroscopic Repair"/>
    <n v="270774.19"/>
    <s v="None / Self Pay"/>
    <s v="Unknown"/>
    <x v="1"/>
  </r>
  <r>
    <s v="HOSP-10223"/>
    <s v="Diya Mehta"/>
    <n v="65"/>
    <s v="Female"/>
    <s v="Jaipur"/>
    <s v="Orthopedics"/>
    <s v="Dr.Sks Marya"/>
    <d v="2025-03-21T00:00:00"/>
    <d v="2025-03-29T00:00:00"/>
    <s v="Lumbar Spondylosis"/>
    <s v="Spinal Decompression"/>
    <n v="337793.92"/>
    <s v="None"/>
    <s v="Disputed"/>
    <x v="3"/>
  </r>
  <r>
    <s v="HOSP-10224"/>
    <s v="Anjali Reddy"/>
    <n v="5"/>
    <s v="Female"/>
    <s v="Bangalore"/>
    <s v="General Medicine"/>
    <s v="Dr.Unknown"/>
    <d v="2025-12-23T00:00:00"/>
    <d v="2025-12-23T00:00:00"/>
    <s v="Dengue Fever With Thrombocytopenia"/>
    <s v="Platelet Support"/>
    <n v="288515.28999999998"/>
    <s v="Hdfc Ergo"/>
    <s v="Claim Processing"/>
    <x v="1"/>
  </r>
  <r>
    <s v="HOSP-10225"/>
    <s v="Vikram Nair"/>
    <n v="16"/>
    <s v="Male"/>
    <s v="Hyderabad"/>
    <s v="General Medicine"/>
    <s v="Dr.Anoop Misra"/>
    <d v="2025-07-13T00:00:00"/>
    <d v="2025-07-22T00:00:00"/>
    <s v="Urinary Tract Infection"/>
    <s v="Antibiotic Course"/>
    <n v="330046.03999999998"/>
    <s v="Icici Lombard"/>
    <s v="Disputed"/>
    <x v="0"/>
  </r>
  <r>
    <s v="HOSP-10226"/>
    <s v="Meera Joshi"/>
    <n v="31"/>
    <s v="Female"/>
    <s v="Ahmedabad"/>
    <s v="General Medicine"/>
    <s v="Dr.Atul Gogia"/>
    <d v="2025-04-10T00:00:00"/>
    <d v="2025-12-23T00:00:00"/>
    <s v="Type 2 Diabetes Uncontrolled"/>
    <s v="Insulin Titration"/>
    <n v="64734.19"/>
    <s v="Max Bupa"/>
    <s v="Pending"/>
    <x v="1"/>
  </r>
  <r>
    <s v="HOSP-10227"/>
    <s v="Amit Nair"/>
    <n v="84"/>
    <s v="Male"/>
    <s v="Delhi"/>
    <s v="Pediatrics"/>
    <s v="Dr.Veena Kalra"/>
    <d v="2025-01-10T00:00:00"/>
    <d v="2025-01-11T00:00:00"/>
    <s v="Unknown"/>
    <s v="Iv Antibiotics"/>
    <n v="340459.81"/>
    <s v="Hdfc Ergo"/>
    <s v="Disputed"/>
    <x v="0"/>
  </r>
  <r>
    <s v="HOSP-10228"/>
    <s v="Manoj Kumar"/>
    <n v="63"/>
    <s v="Male"/>
    <s v="Mumbai"/>
    <s v="Oncology"/>
    <s v="Dr.Suresh Advani"/>
    <d v="2025-06-10T00:00:00"/>
    <d v="2025-12-23T00:00:00"/>
    <s v="Lung Adenocarcinoma"/>
    <s v="Targeted Therapy"/>
    <n v="82982.5"/>
    <s v="Bajaj Allianz"/>
    <s v="Paid"/>
    <x v="2"/>
  </r>
  <r>
    <s v="HOSP-10229"/>
    <s v="Suresh Joshi"/>
    <n v="40"/>
    <s v="Male"/>
    <s v="Hyderabad"/>
    <s v="General Medicine"/>
    <s v="Dr.Anoop Misra"/>
    <d v="2025-05-06T00:00:00"/>
    <d v="2025-12-23T00:00:00"/>
    <s v="Urinary Tract Infection"/>
    <s v="Antibiotic Course"/>
    <n v="99999999"/>
    <s v="Hdfc Ergo"/>
    <s v="Disputed"/>
    <x v="1"/>
  </r>
  <r>
    <s v="HOSP-10230"/>
    <s v="Pooja Patel"/>
    <n v="64"/>
    <s v="Unspecified"/>
    <s v="Hyderabad"/>
    <s v="Neurology"/>
    <s v="Dr.P. N. Renjen"/>
    <d v="2025-05-02T00:00:00"/>
    <d v="2025-02-19T00:00:00"/>
    <s v="Acute Ischemic Stroke"/>
    <s v="Tpa Therapy"/>
    <n v="324747.28000000003"/>
    <s v="Icici Lombard"/>
    <s v="Pending"/>
    <x v="5"/>
  </r>
  <r>
    <s v="HOSP-10231"/>
    <s v="Aditya Singh"/>
    <n v="43"/>
    <s v="Male"/>
    <s v="Delhi"/>
    <s v="General Medicine"/>
    <s v="Dr.R. K. Singhal"/>
    <d v="2025-01-02T00:00:00"/>
    <d v="2025-01-03T00:00:00"/>
    <s v="Type 2 Diabetes Uncontrolled"/>
    <s v="Insulin Titration"/>
    <n v="40000"/>
    <s v="None / Self Pay"/>
    <s v="Claim Processing"/>
    <x v="0"/>
  </r>
  <r>
    <s v="HOSP-10234"/>
    <s v="Anjali Nair"/>
    <n v="8"/>
    <s v="Female"/>
    <s v="Chennai"/>
    <s v="Pediatrics"/>
    <s v="Dr.Arvind Bagga"/>
    <d v="2025-11-17T00:00:00"/>
    <d v="2025-12-23T00:00:00"/>
    <s v="Severe Pneumonia"/>
    <s v="Iv Antibiotics"/>
    <n v="-287384.84000000003"/>
    <s v="Icici Lombard"/>
    <s v="Paid"/>
    <x v="4"/>
  </r>
  <r>
    <s v="HOSP-10235"/>
    <s v="Unknown"/>
    <n v="83"/>
    <s v="Female"/>
    <s v="Ahmedabad"/>
    <s v="Pediatrics"/>
    <s v="Dr.Krishan Chugh"/>
    <d v="2025-01-29T00:00:00"/>
    <d v="2025-02-13T00:00:00"/>
    <s v="Acute Bronchiolitis"/>
    <s v="Nebulization &amp; O2 Support"/>
    <n v="339754.62"/>
    <s v="Bajaj Allianz"/>
    <s v="Claim Processing"/>
    <x v="4"/>
  </r>
  <r>
    <s v="HOSP-10237"/>
    <s v="Priya Mehta"/>
    <n v="57"/>
    <s v="Female"/>
    <s v="Chandigarh"/>
    <s v="Unknown"/>
    <s v="Dr.Unknown"/>
    <d v="2025-08-26T00:00:00"/>
    <d v="2025-09-08T00:00:00"/>
    <s v="Heart Failure"/>
    <s v="Ace Inhibitors &amp; Diuretics"/>
    <n v="293518.03000000003"/>
    <s v="Icici Lombard"/>
    <s v="Disputed"/>
    <x v="5"/>
  </r>
  <r>
    <s v="HOSP-10238"/>
    <s v="Unknown"/>
    <n v="86"/>
    <s v="Female"/>
    <s v="Delhi"/>
    <s v="Oncology"/>
    <s v="Dr.Harit Chaturvedi"/>
    <d v="2025-02-28T00:00:00"/>
    <d v="2025-03-18T00:00:00"/>
    <s v="Lymphoma"/>
    <s v="R-Chop Regimen"/>
    <n v="114030.49"/>
    <s v="Max Bupa"/>
    <s v="Partially Paid"/>
    <x v="3"/>
  </r>
  <r>
    <s v="HOSP-10240"/>
    <s v="Ananya Nair"/>
    <n v="52"/>
    <s v="Female"/>
    <s v="Hyderabad"/>
    <s v="Orthopedics"/>
    <s v="Dr.Ramneek Mahajan"/>
    <d v="2025-08-21T00:00:00"/>
    <d v="2025-08-28T00:00:00"/>
    <s v="Lumbar Spondylosis"/>
    <s v="Spinal Decompression"/>
    <n v="266163.46999999997"/>
    <s v="None / Self Pay"/>
    <s v="Pending"/>
    <x v="4"/>
  </r>
  <r>
    <s v="HOSP-10241"/>
    <s v="Ramesh Bose"/>
    <n v="32"/>
    <s v="Male"/>
    <s v="Chennai"/>
    <s v="Gastroenterology"/>
    <s v="Dr.Subhash Gupta"/>
    <d v="2025-09-12T00:00:00"/>
    <d v="2025-12-23T00:00:00"/>
    <s v="Gallstones / Cholecystitis"/>
    <s v="Laparoscopic Cholecystectomy"/>
    <n v="306146.28999999998"/>
    <s v="Hdfc Ergo"/>
    <s v="Claim_Pending"/>
    <x v="1"/>
  </r>
  <r>
    <s v="HOSP-10242"/>
    <s v="Pooja Gupta"/>
    <n v="38"/>
    <s v="Female"/>
    <s v="Chennai"/>
    <s v="Neurology"/>
    <s v="Dr.Sushil Razdan"/>
    <d v="2025-12-12T00:00:00"/>
    <d v="2025-12-23T00:00:00"/>
    <s v="Migraine Chronic"/>
    <s v="Botox Injection &amp; Triptans"/>
    <n v="165780.85"/>
    <s v="Max Bupa"/>
    <s v="Disputed"/>
    <x v="5"/>
  </r>
  <r>
    <s v="HOSP-126"/>
    <s v="Pooja Gupta"/>
    <n v="45"/>
    <s v="Female"/>
    <s v="Mumbai"/>
    <s v="Neurology"/>
    <s v="Dr.Sushil Razdan"/>
    <d v="2025-03-15T00:00:00"/>
    <d v="2025-03-22T00:00:00"/>
    <s v="Parkinson'S Disease"/>
    <s v="Levodopa Therapy"/>
    <n v="293503.23"/>
    <s v="Hdfc Ergo"/>
    <s v="Partially Paid"/>
    <x v="4"/>
  </r>
  <r>
    <s v="HOSP-10244"/>
    <s v="Aditya Patel"/>
    <n v="49"/>
    <s v="Male"/>
    <s v="Kolkata"/>
    <s v="General Medicine"/>
    <s v="Dr.Anoop Misra"/>
    <d v="2025-04-10T00:00:00"/>
    <d v="2025-11-04T00:00:00"/>
    <s v="Dengue Fever With Thrombocytopenia"/>
    <s v="Platelet Support"/>
    <n v="28693.03"/>
    <s v="Care Health"/>
    <s v="Paid"/>
    <x v="0"/>
  </r>
  <r>
    <s v="HOSP-10245"/>
    <s v="Sneha Kumar"/>
    <n v="60"/>
    <s v="Female"/>
    <s v="Jaipur"/>
    <s v="Cardiology"/>
    <s v="Dr.Ashok Seth"/>
    <d v="2025-03-08T00:00:00"/>
    <d v="2025-03-10T00:00:00"/>
    <s v="Coronary Artery Disease"/>
    <s v="Angioplasty"/>
    <n v="28640.639999999999"/>
    <s v="None / Self Pay"/>
    <s v="Disputed"/>
    <x v="0"/>
  </r>
  <r>
    <s v="HOSP-10248"/>
    <s v="Aditya Singh"/>
    <n v="42"/>
    <s v="Male"/>
    <s v="Ahmedabad"/>
    <s v="Pediatrics"/>
    <s v="Dr.Krishan Chugh"/>
    <d v="2025-08-10T00:00:00"/>
    <d v="2025-12-23T00:00:00"/>
    <s v="Severe Pneumonia"/>
    <s v="Iv Antibiotics"/>
    <n v="218046.64"/>
    <s v="Hdfc Ergo"/>
    <s v="Partially Paid"/>
    <x v="1"/>
  </r>
  <r>
    <s v="HOSP-10249"/>
    <s v="Aditya Mehta"/>
    <n v="69"/>
    <s v="Male"/>
    <s v="Pune"/>
    <s v="General Medicine"/>
    <s v="Dr.Anoop Misra"/>
    <d v="2025-04-20T00:00:00"/>
    <d v="2025-08-05T00:00:00"/>
    <s v="Type 2 Diabetes Uncontrolled"/>
    <s v="Insulin Titration"/>
    <n v="40000"/>
    <s v="Hdfc Ergo"/>
    <s v="Pending"/>
    <x v="4"/>
  </r>
  <r>
    <s v="HOSP-10250"/>
    <s v="Vihaan Joshi"/>
    <n v="8"/>
    <s v="Male"/>
    <s v="Hyderabad"/>
    <s v="Oncology"/>
    <s v="Dr.Harit Chaturvedi"/>
    <d v="2025-02-10T00:00:00"/>
    <d v="2025-02-22T00:00:00"/>
    <s v="Breast Carcinoma"/>
    <s v="Chemotherapy &amp; Lumpectomy"/>
    <n v="213386.28"/>
    <s v="None"/>
    <s v="Partially Paid"/>
    <x v="5"/>
  </r>
  <r>
    <s v="HOSP-10252"/>
    <s v="Diya Verma"/>
    <n v="68"/>
    <s v="Female"/>
    <s v="Pune"/>
    <s v="Oncology"/>
    <s v="Dr.Suresh Advani"/>
    <d v="2025-02-22T00:00:00"/>
    <d v="2025-03-05T00:00:00"/>
    <s v="Breast Carcinoma"/>
    <s v="Chemotherapy &amp; Lumpectomy"/>
    <n v="114914.67"/>
    <s v="Bajaj Allianz"/>
    <s v="Pending"/>
    <x v="3"/>
  </r>
  <r>
    <s v="HOSP-10253"/>
    <s v="Rajesh Mehta"/>
    <n v="2"/>
    <s v="Male"/>
    <s v="Hyderabad"/>
    <s v="Cardiology"/>
    <s v="Dr.Naresh Trehan"/>
    <d v="2025-09-05T00:00:00"/>
    <d v="2025-09-21T00:00:00"/>
    <s v="Coronary Artery Disease"/>
    <s v="Angioplasty"/>
    <n v="167818.16"/>
    <s v="Hdfc Ergo"/>
    <s v="Claim Processing"/>
    <x v="2"/>
  </r>
  <r>
    <s v="HOSP-10254"/>
    <s v="Vihaan Bose"/>
    <n v="31"/>
    <s v="Unspecified"/>
    <s v="Pune"/>
    <s v="General Medicine"/>
    <s v="Dr.Atul Gogia"/>
    <d v="2025-02-02T00:00:00"/>
    <d v="2025-12-23T00:00:00"/>
    <s v="Dengue Fever With Thrombocytopenia"/>
    <s v="Unknown"/>
    <n v="47432.59"/>
    <s v="Care Health"/>
    <s v="Disputed"/>
    <x v="0"/>
  </r>
  <r>
    <s v="HOSP-10256"/>
    <s v="Vihaan Iyer"/>
    <n v="55"/>
    <s v="Male"/>
    <s v="Jaipur"/>
    <s v="Gastroenterology"/>
    <s v="Dr.Govind Makharia"/>
    <d v="2025-07-26T00:00:00"/>
    <d v="2025-07-29T00:00:00"/>
    <s v="Liver Cirrhosis"/>
    <s v="Paracentesis &amp; Diuretics"/>
    <n v="110914.54"/>
    <s v="Star Health"/>
    <s v="Disputed"/>
    <x v="0"/>
  </r>
  <r>
    <s v="HOSP-10258"/>
    <s v="Anita Patel"/>
    <n v="31"/>
    <s v="Female"/>
    <s v="Hyderabad"/>
    <s v="Cardiology"/>
    <s v="Dr.Devi Shetty"/>
    <d v="2025-04-17T00:00:00"/>
    <d v="2025-04-24T00:00:00"/>
    <s v="Coronary Artery Disease"/>
    <s v="Angioplasty"/>
    <n v="161347.78"/>
    <s v="Star Health"/>
    <s v="Disputed"/>
    <x v="4"/>
  </r>
  <r>
    <s v="HOSP-10259"/>
    <s v="Amit Verma"/>
    <n v="57"/>
    <s v="Male"/>
    <s v="Chennai"/>
    <s v="Oncology"/>
    <s v="Dr.Suresh Advani"/>
    <d v="2025-03-01T00:00:00"/>
    <d v="2025-01-05T00:00:00"/>
    <s v="Lung Adenocarcinoma"/>
    <s v="Targeted Therapy"/>
    <n v="138047.97"/>
    <s v="Max Bupa"/>
    <s v="Claim Processing"/>
    <x v="0"/>
  </r>
  <r>
    <s v="HOSP-10260"/>
    <s v="Deepak Nair"/>
    <n v="35"/>
    <s v="Male"/>
    <s v="Chennai"/>
    <s v="Neurology"/>
    <s v="Dr.P. N. Renjen"/>
    <d v="2025-07-15T00:00:00"/>
    <d v="2025-07-25T00:00:00"/>
    <s v="Migraine Chronic"/>
    <s v="Botox Injection &amp; Triptans"/>
    <n v="307451.11"/>
    <s v="None / Self Pay"/>
    <s v="Pending"/>
    <x v="3"/>
  </r>
  <r>
    <s v="HOSP-10264"/>
    <s v="Amit Kumar"/>
    <n v="66"/>
    <s v="Male"/>
    <s v="Chandigarh"/>
    <s v="Neurology"/>
    <s v="Dr.P. N. Renjen"/>
    <d v="2025-12-16T00:00:00"/>
    <d v="2025-12-23T00:00:00"/>
    <s v="Acute Ischemic Stroke"/>
    <s v="Tpa Therapy"/>
    <n v="40000"/>
    <s v="None / Self Pay"/>
    <s v="Paid"/>
    <x v="1"/>
  </r>
  <r>
    <s v="HOSP-140"/>
    <s v="Deepak Singh"/>
    <n v="10"/>
    <s v="Male"/>
    <s v="Bombay"/>
    <s v="Cardiology"/>
    <s v="Dr.Naresh Trehan"/>
    <d v="2025-05-12T00:00:00"/>
    <d v="2025-12-16T00:00:00"/>
    <s v="Unknown"/>
    <s v="Angioplasty"/>
    <n v="337690.34"/>
    <s v="None"/>
    <s v="Pending"/>
    <x v="0"/>
  </r>
  <r>
    <s v="HOSP-10266"/>
    <s v="Priya Sharma"/>
    <n v="64"/>
    <s v="Female"/>
    <s v="Pune"/>
    <s v="Oncology"/>
    <s v="Dr.Vinod Raina"/>
    <d v="2025-12-16T00:00:00"/>
    <d v="2025-12-21T00:00:00"/>
    <s v="Breast Carcinoma"/>
    <s v="Chemotherapy &amp; Lumpectomy"/>
    <n v="81267.360000000001"/>
    <s v="Star Health"/>
    <s v="Unpaid"/>
    <x v="3"/>
  </r>
  <r>
    <s v="HOSP-10267"/>
    <s v="Anita Joshi"/>
    <n v="12"/>
    <s v="Female"/>
    <s v="Jaipur"/>
    <s v="General Medicine"/>
    <s v="Dr.Atul Gogia"/>
    <d v="2025-01-11T00:00:00"/>
    <d v="2025-01-13T00:00:00"/>
    <s v="Urinary Tract Infection"/>
    <s v="Antibiotic Course"/>
    <n v="197038.65"/>
    <s v="Star Health"/>
    <s v="Pending"/>
    <x v="0"/>
  </r>
  <r>
    <s v="HOSP-10268"/>
    <s v="Vikram Joshi"/>
    <n v="72"/>
    <s v="Male"/>
    <s v="Chennai"/>
    <s v="Gastroenterology"/>
    <s v="Dr.Govind Makharia"/>
    <d v="2025-01-02T00:00:00"/>
    <d v="2025-12-23T00:00:00"/>
    <s v="Gallstones / Cholecystitis"/>
    <s v="Laparoscopic Cholecystectomy"/>
    <n v="68996.850000000006"/>
    <s v="Care Health"/>
    <s v="Pending"/>
    <x v="1"/>
  </r>
  <r>
    <s v="HOSP-10269"/>
    <s v="Ramesh Iyer"/>
    <n v="34"/>
    <s v="Male"/>
    <s v="Chandigarh"/>
    <s v="Orthopedics"/>
    <s v="Dr.Sks Marya"/>
    <d v="2025-03-20T00:00:00"/>
    <d v="2025-03-23T00:00:00"/>
    <s v="Rotator Cuff Tear"/>
    <s v="Arthroscopic Repair"/>
    <n v="53213.08"/>
    <s v="Star Health"/>
    <s v="Claim Processing"/>
    <x v="4"/>
  </r>
  <r>
    <s v="HOSP-10270"/>
    <s v="Vihaan Gupta"/>
    <n v="45"/>
    <s v="Male"/>
    <s v="Chennai"/>
    <s v="Neurology"/>
    <s v="Dr.P. N. Renjen"/>
    <d v="2025-04-09T00:00:00"/>
    <d v="2025-09-20T00:00:00"/>
    <s v="Parkinson'S Disease"/>
    <s v="Levodopa Therapy"/>
    <n v="280669.32"/>
    <s v="Hdfc Ergo"/>
    <s v="Paid"/>
    <x v="4"/>
  </r>
  <r>
    <s v="HOSP-10271"/>
    <s v="Ramesh Sharma"/>
    <n v="31"/>
    <s v="Male"/>
    <s v="Delhi"/>
    <s v="Orthopedics"/>
    <s v="Dr.Ramneek Mahajan"/>
    <d v="2025-04-04T00:00:00"/>
    <d v="2025-12-23T00:00:00"/>
    <s v="Rotator Cuff Tear"/>
    <s v="Arthroscopic Repair"/>
    <n v="260700.39"/>
    <s v="Max Bupa"/>
    <s v="Partially Paid"/>
    <x v="5"/>
  </r>
  <r>
    <s v="HOSP-10272"/>
    <s v="Manoj Kumar"/>
    <n v="31"/>
    <s v="Male"/>
    <s v="Kolkata"/>
    <s v="Pediatrics"/>
    <s v="Dr.Arvind Bagga"/>
    <d v="2025-07-11T00:00:00"/>
    <d v="2025-12-23T00:00:00"/>
    <s v="Unknown"/>
    <s v="Iv Antibiotics"/>
    <n v="270122.58"/>
    <s v="Max Bupa"/>
    <s v="Claim Processing"/>
    <x v="4"/>
  </r>
  <r>
    <s v="HOSP-10273"/>
    <s v="Vikram Gupta"/>
    <n v="28"/>
    <s v="Male"/>
    <s v="Delhi"/>
    <s v="Cardiology"/>
    <s v="Dr.Ashok Seth"/>
    <d v="2025-02-24T00:00:00"/>
    <d v="2025-03-10T00:00:00"/>
    <s v="Myocardial Infarction"/>
    <s v="Thrombolysis"/>
    <n v="57284.61"/>
    <s v="Icici Lombard"/>
    <s v="Paid"/>
    <x v="0"/>
  </r>
  <r>
    <s v="HOSP-10275"/>
    <s v="Neha Gupta"/>
    <n v="9"/>
    <s v="Female"/>
    <s v="Ahmedabad"/>
    <s v="Gastroenterology"/>
    <s v="Dr.Subhash Gupta"/>
    <d v="2025-08-13T00:00:00"/>
    <d v="2025-08-21T00:00:00"/>
    <s v="Gallstones / Cholecystitis"/>
    <s v="Laparoscopic Cholecystectomy"/>
    <n v="256236.26"/>
    <s v="Hdfc Ergo"/>
    <s v="Pending"/>
    <x v="5"/>
  </r>
  <r>
    <s v="HOSP-10277"/>
    <s v="Kavita Nair"/>
    <n v="68"/>
    <s v="Female"/>
    <s v="Pune"/>
    <s v="Neurology"/>
    <s v="Dr.Sushil Razdan"/>
    <d v="2025-03-04T00:00:00"/>
    <d v="2025-03-17T00:00:00"/>
    <s v="Epilepsy"/>
    <s v="Anticonvulsant Therapy"/>
    <n v="185996.43"/>
    <s v="Icici Lombard"/>
    <s v="Paid"/>
    <x v="3"/>
  </r>
  <r>
    <s v="HOSP-10278"/>
    <s v="Kabir Patel"/>
    <n v="21"/>
    <s v="Male"/>
    <s v="Jaipur"/>
    <s v="Gastroenterology"/>
    <s v="Dr.Randhir Sud"/>
    <d v="2025-01-11T00:00:00"/>
    <d v="2025-01-18T00:00:00"/>
    <s v="Liver Cirrhosis"/>
    <s v="Paracentesis &amp; Diuretics"/>
    <n v="215957.52"/>
    <s v="Star Health"/>
    <s v="Pending"/>
    <x v="3"/>
  </r>
  <r>
    <s v="HOSP-10279"/>
    <s v="Aditya Verma"/>
    <n v="85"/>
    <s v="Male"/>
    <s v="Ahmedabad"/>
    <s v="Orthopedics"/>
    <s v="Dr.Ramneek Mahajan"/>
    <d v="2025-11-24T00:00:00"/>
    <d v="2025-11-12T00:00:00"/>
    <s v="Osteoarthritis Knee"/>
    <s v="Total Knee Replacement"/>
    <n v="222845.48"/>
    <s v="Star Health"/>
    <s v="Claim Processing"/>
    <x v="3"/>
  </r>
  <r>
    <s v="HOSP-10280"/>
    <s v="Kabir Nair"/>
    <n v="53"/>
    <s v="Male"/>
    <s v="Jaipur"/>
    <s v="Gastroenterology"/>
    <s v="Dr.Subhash Gupta"/>
    <d v="2025-12-11T00:00:00"/>
    <d v="2025-12-24T00:00:00"/>
    <s v="Acute Pancreatitis"/>
    <s v="Conservative Management"/>
    <n v="263822.09000000003"/>
    <s v="Icici Lombard"/>
    <s v="Disputed"/>
    <x v="5"/>
  </r>
  <r>
    <s v="HOSP-10281"/>
    <s v="Kavita Joshi"/>
    <n v="42"/>
    <s v="Female"/>
    <s v="Chandigarh"/>
    <s v="Gastroenterology"/>
    <s v="Dr.Subhash Gupta"/>
    <d v="2025-07-07T00:00:00"/>
    <d v="2025-07-09T00:00:00"/>
    <s v="Unknown"/>
    <s v="Laparoscopic Cholecystectomy"/>
    <n v="104636.58"/>
    <s v="Icici Lombard"/>
    <s v="Paid"/>
    <x v="0"/>
  </r>
  <r>
    <s v="HOSP-10282"/>
    <s v="Meera Mehta"/>
    <n v="43"/>
    <s v="Female"/>
    <s v="Unknown"/>
    <s v="General Medicine"/>
    <s v="Dr.R. K. Singhal"/>
    <d v="2025-08-20T00:00:00"/>
    <d v="2025-08-24T00:00:00"/>
    <s v="Dengue Fever With Thrombocytopenia"/>
    <s v="Platelet Support"/>
    <n v="28616.080000000002"/>
    <s v="None / Self Pay"/>
    <s v="Claim Processing"/>
    <x v="0"/>
  </r>
  <r>
    <s v="HOSP-10283"/>
    <s v="Sunita_Joshi"/>
    <n v="65"/>
    <s v="Female"/>
    <s v="Ahmedabad"/>
    <s v="General Medicine"/>
    <s v="Dr.Atul Gogia"/>
    <d v="2025-10-14T00:00:00"/>
    <d v="2025-10-27T00:00:00"/>
    <s v="Urinary Tract Infection"/>
    <s v="Antibiotic Course"/>
    <n v="213497.15"/>
    <s v="Hdfc Ergo"/>
    <s v="Disputed"/>
    <x v="5"/>
  </r>
  <r>
    <s v="HOSP-10284"/>
    <s v="Priya Reddy"/>
    <n v="59"/>
    <s v="Unspecified"/>
    <s v="Mumbai"/>
    <s v="Neurology"/>
    <s v="Dr.P. N. Renjen"/>
    <d v="2025-01-06T00:00:00"/>
    <d v="2025-06-11T00:00:00"/>
    <s v="Epilepsy"/>
    <s v="Anticonvulsant Therapy"/>
    <n v="40000"/>
    <s v="Care Health"/>
    <s v="Claim Processing"/>
    <x v="5"/>
  </r>
  <r>
    <s v="HOSP-10285"/>
    <s v="Unknown"/>
    <n v="999"/>
    <s v="Female"/>
    <s v="Pune"/>
    <s v="Cardiology"/>
    <s v="Dr.Devi Shetty"/>
    <d v="2025-05-29T00:00:00"/>
    <d v="2025-12-23T00:00:00"/>
    <s v="Coronary Artery Disease"/>
    <s v="Angioplasty"/>
    <n v="300360.06"/>
    <s v="Icici Lombard"/>
    <s v="Partially Paid"/>
    <x v="1"/>
  </r>
  <r>
    <s v="HOSP-10286"/>
    <s v="Priya Mehta"/>
    <n v="8"/>
    <s v="Female"/>
    <s v="Mumbai"/>
    <s v="Orthopedics"/>
    <s v="Dr.Harshavardhan Hegde"/>
    <d v="2025-10-18T00:00:00"/>
    <d v="2025-12-23T00:00:00"/>
    <s v="Osteoarthritis Knee"/>
    <s v="Total Knee Replacement"/>
    <n v="125286.57"/>
    <s v="Icici Lombard"/>
    <s v="Paid"/>
    <x v="1"/>
  </r>
  <r>
    <s v="HOSP-10288"/>
    <s v="Ritu Verma"/>
    <n v="65"/>
    <s v="Female"/>
    <s v="Chandigarh"/>
    <s v="Unknown"/>
    <s v="Dr.Suresh Advani"/>
    <d v="2025-08-03T00:00:00"/>
    <d v="2025-12-23T00:00:00"/>
    <s v="Colorectal Cancer"/>
    <s v="Colectomy"/>
    <n v="-186594.85"/>
    <s v="None / Self Pay"/>
    <s v="Pending"/>
    <x v="1"/>
  </r>
  <r>
    <s v="HOSP-10289"/>
    <s v="Aarav Kumar"/>
    <n v="53"/>
    <s v="Male"/>
    <s v="Mumbai"/>
    <s v="Orthopedics"/>
    <s v="Dr.Harshavardhan Hegde"/>
    <d v="2025-11-22T00:00:00"/>
    <d v="2025-11-28T00:00:00"/>
    <s v="Osteoarthritis Knee"/>
    <s v="Total Knee Replacement"/>
    <n v="150874.89000000001"/>
    <s v="Max Bupa"/>
    <s v="Claim Processing"/>
    <x v="4"/>
  </r>
  <r>
    <s v="HOSP-10290"/>
    <s v="Aditya Patel"/>
    <n v="16"/>
    <s v="Male"/>
    <s v="Mumbai"/>
    <s v="Gastroenterology"/>
    <s v="Dr.Govind Makharia"/>
    <d v="2025-01-07T00:00:00"/>
    <d v="2025-07-07T00:00:00"/>
    <s v="Acute Pancreatitis"/>
    <s v="Conservative Management"/>
    <n v="161842.22"/>
    <s v="N/A"/>
    <s v="Claim_Pending"/>
    <x v="3"/>
  </r>
  <r>
    <s v="HOSP-10291"/>
    <s v="Anjali Iyer"/>
    <n v="53"/>
    <s v="Female"/>
    <s v="Bangalore"/>
    <s v="Orthopedics"/>
    <s v="Dr.Sks Marya"/>
    <d v="2025-07-04T00:00:00"/>
    <d v="2025-12-23T00:00:00"/>
    <s v="Femur Fracture"/>
    <s v="Internal Fixation"/>
    <n v="40000"/>
    <s v="None"/>
    <s v="Pending"/>
    <x v="1"/>
  </r>
  <r>
    <s v="HOSP-10292"/>
    <s v="Anita Mehta"/>
    <n v="3"/>
    <s v="Female"/>
    <s v="Unknown"/>
    <s v="Oncology"/>
    <s v="Dr.Harit Chaturvedi"/>
    <d v="2025-01-11T00:00:00"/>
    <d v="2025-01-21T00:00:00"/>
    <s v="Lymphoma"/>
    <s v="R-Chop Regimen"/>
    <n v="208374.36"/>
    <s v="Hdfc Ergo"/>
    <s v="Disputed"/>
    <x v="5"/>
  </r>
  <r>
    <s v="HOSP-10293"/>
    <s v="Suresh Nair"/>
    <n v="66"/>
    <s v="Male"/>
    <s v="Kolkata"/>
    <s v="Cardiology"/>
    <s v="Dr.Ashok Seth"/>
    <d v="2025-03-14T00:00:00"/>
    <d v="2025-04-01T00:00:00"/>
    <s v="Myocardial Infarction"/>
    <s v="Thrombolysis"/>
    <n v="76422.86"/>
    <s v="Care Health"/>
    <s v="Pending"/>
    <x v="0"/>
  </r>
  <r>
    <s v="HOSP-10294"/>
    <s v="Deepak Joshi"/>
    <n v="88"/>
    <s v="Male"/>
    <s v="Kolkata"/>
    <s v="Oncology"/>
    <s v="Dr.Vinod Raina"/>
    <d v="2025-08-01T00:00:00"/>
    <d v="2025-08-04T00:00:00"/>
    <s v="Breast Carcinoma"/>
    <s v="Unknown"/>
    <n v="215647.84"/>
    <s v="Star Health"/>
    <s v="Disputed"/>
    <x v="0"/>
  </r>
  <r>
    <s v="HOSP-10296"/>
    <s v="Diya Mehta"/>
    <n v="65"/>
    <s v="Female"/>
    <s v="Ahmedabad"/>
    <s v="Orthopedics"/>
    <s v="Dr.Ramneek Mahajan"/>
    <d v="2025-01-17T00:00:00"/>
    <d v="2025-01-22T00:00:00"/>
    <s v="Femur Fracture"/>
    <s v="Internal Fixation"/>
    <n v="92369.02"/>
    <s v="None / Self Pay"/>
    <s v="Disputed"/>
    <x v="3"/>
  </r>
  <r>
    <s v="HOSP-10297"/>
    <s v="Diya Mehta"/>
    <n v="33"/>
    <s v="Female"/>
    <s v="Chennai"/>
    <s v="Neurology"/>
    <s v="Dr.Sushil Razdan"/>
    <d v="2025-04-03T00:00:00"/>
    <d v="2025-08-04T00:00:00"/>
    <s v="Parkinson'S Disease"/>
    <s v="Levodopa Therapy"/>
    <n v="273508.17"/>
    <s v="Star Health"/>
    <s v="Paid"/>
    <x v="0"/>
  </r>
  <r>
    <s v="HOSP-10298"/>
    <s v="Pooja Verma"/>
    <n v="20"/>
    <s v="Female"/>
    <s v="Hyderabad"/>
    <s v="Pediatrics"/>
    <s v="Dr.Krishan Chugh"/>
    <d v="2025-04-10T00:00:00"/>
    <d v="2025-12-23T00:00:00"/>
    <s v="Unknown"/>
    <s v="Iv Fluids &amp; Electrolytes"/>
    <n v="159154.76999999999"/>
    <s v="Bajaj Allianz"/>
    <s v="Disputed"/>
    <x v="1"/>
  </r>
  <r>
    <s v="HOSP-10299"/>
    <s v="Diya Joshi"/>
    <n v="31"/>
    <s v="Female"/>
    <s v="Chandigarh"/>
    <s v="Gastroenterology"/>
    <s v="Dr.Govind Makharia"/>
    <d v="2025-06-22T00:00:00"/>
    <d v="2025-12-23T00:00:00"/>
    <s v="Gallstones / Cholecystitis"/>
    <s v="Laparoscopic Cholecystectomy"/>
    <n v="137168.85999999999"/>
    <s v="Hdfc Ergo"/>
    <s v="Disputed"/>
    <x v="5"/>
  </r>
  <r>
    <s v="HOSP-10300"/>
    <s v="Pooja Gupta"/>
    <n v="88"/>
    <s v="Female"/>
    <s v="Hyderabad"/>
    <s v="Gastroenterology"/>
    <s v="Dr.Subhash Gupta"/>
    <d v="2025-01-14T00:00:00"/>
    <d v="2025-01-27T00:00:00"/>
    <s v="Gallstones / Cholecystitis"/>
    <s v="Laparoscopic Cholecystectomy"/>
    <n v="99999999"/>
    <s v="Icici Lombard"/>
    <s v="Disputed"/>
    <x v="4"/>
  </r>
  <r>
    <s v="HOSP-10301"/>
    <s v="Aarav Gupta"/>
    <n v="160"/>
    <s v="Male"/>
    <s v="Ahmedabad"/>
    <s v="General Medicine"/>
    <s v="Dr.Atul Gogia"/>
    <d v="2025-02-11T00:00:00"/>
    <d v="2025-02-25T00:00:00"/>
    <s v="Dengue Fever With Thrombocytopenia"/>
    <s v="Platelet Support"/>
    <n v="-234724.28"/>
    <s v="Icici Lombard"/>
    <s v="Disputed"/>
    <x v="5"/>
  </r>
  <r>
    <s v="HOSP-10302"/>
    <s v="Diya Patel"/>
    <n v="67"/>
    <s v="Female"/>
    <s v="Pune"/>
    <s v="Orthopedics"/>
    <s v="Dr.Sks Marya"/>
    <d v="2025-03-28T00:00:00"/>
    <d v="2025-04-03T00:00:00"/>
    <s v="Femur Fracture"/>
    <s v="Internal Fixation"/>
    <n v="330025.55"/>
    <s v="Icici Lombard"/>
    <s v="Pending"/>
    <x v="5"/>
  </r>
  <r>
    <s v="HOSP-10304"/>
    <s v="Diya Nair"/>
    <n v="42"/>
    <s v="Female"/>
    <s v="Chandigarh"/>
    <s v="Unknown"/>
    <s v="Dr.Mukul Varma"/>
    <d v="2025-05-29T00:00:00"/>
    <d v="2025-06-16T00:00:00"/>
    <s v="Epilepsy"/>
    <s v="Anticonvulsant Therapy"/>
    <n v="121793.68"/>
    <s v="None"/>
    <s v="Paid"/>
    <x v="0"/>
  </r>
  <r>
    <s v="HOSP-10306"/>
    <s v="Anjali Bose"/>
    <n v="76"/>
    <s v="Female"/>
    <s v="Hyderabad"/>
    <s v="Gastroenterology"/>
    <s v="Dr.Subhash Gupta"/>
    <d v="2025-06-02T00:00:00"/>
    <d v="2025-06-09T00:00:00"/>
    <s v="Gallstones / Cholecystitis"/>
    <s v="Laparoscopic Cholecystectomy"/>
    <n v="35097.68"/>
    <s v="Hdfc Ergo"/>
    <s v="Disputed"/>
    <x v="4"/>
  </r>
  <r>
    <s v="HOSP-10307"/>
    <s v="Pooja Gupta"/>
    <n v="39"/>
    <s v="Female"/>
    <s v="Bangalore"/>
    <s v="General Medicine"/>
    <s v="Dr.R. K. Singhal"/>
    <d v="2025-05-11T00:00:00"/>
    <d v="2025-05-17T00:00:00"/>
    <s v="Urinary Tract Infection"/>
    <s v="Antibiotic Course"/>
    <n v="138020.31"/>
    <s v="Care Health"/>
    <s v="Claim Processing"/>
    <x v="5"/>
  </r>
  <r>
    <s v="HOSP-10308"/>
    <s v="Ananya Iyer"/>
    <n v="45"/>
    <s v="Female"/>
    <s v="Kolkata"/>
    <s v="Oncology"/>
    <s v="Dr.Harit Chaturvedi"/>
    <d v="2025-10-02T00:00:00"/>
    <d v="2025-10-18T00:00:00"/>
    <s v="Lung Adenocarcinoma"/>
    <s v="Targeted Therapy"/>
    <n v="346942.33"/>
    <s v="None"/>
    <s v="Claim Processing"/>
    <x v="3"/>
  </r>
  <r>
    <s v="HOSP-10309"/>
    <s v="Unknown"/>
    <n v="75"/>
    <s v="Male"/>
    <s v="Jaipur"/>
    <s v="Cardiology"/>
    <s v="Dr.Ashok Seth"/>
    <d v="2025-06-06T00:00:00"/>
    <d v="2025-06-02T00:00:00"/>
    <s v="Arrhythmia"/>
    <s v="Pacemaker Implantation"/>
    <n v="-91922.240000000005"/>
    <s v="Hdfc Ergo"/>
    <s v="Disputed"/>
    <x v="5"/>
  </r>
  <r>
    <s v="HOSP-10310"/>
    <s v="Aditya Singh"/>
    <n v="48"/>
    <s v="Male"/>
    <s v="Jaipur"/>
    <s v="Neurology"/>
    <s v="Dr.Sushil Razdan"/>
    <d v="2025-10-23T00:00:00"/>
    <d v="2025-11-04T00:00:00"/>
    <s v="Acute Ischemic Stroke"/>
    <s v="Tpa Therapy"/>
    <n v="40000"/>
    <s v="Hdfc Ergo"/>
    <s v="Partially Paid"/>
    <x v="0"/>
  </r>
  <r>
    <s v="HOSP-10312"/>
    <s v="Pooja Reddy"/>
    <n v="72"/>
    <s v="Female"/>
    <s v="Kolkata"/>
    <s v="Cardiology"/>
    <s v="Dr.Naresh Trehan"/>
    <d v="2025-03-03T00:00:00"/>
    <d v="2025-12-23T00:00:00"/>
    <s v="Heart Failure"/>
    <s v="Ace Inhibitors &amp; Diuretics"/>
    <n v="342444.11"/>
    <s v="None / Self Pay"/>
    <s v="Pending"/>
    <x v="1"/>
  </r>
  <r>
    <s v="HOSP-10314"/>
    <s v="Anita Nair"/>
    <n v="18"/>
    <s v="Female"/>
    <s v="Chennai"/>
    <s v="Neurology"/>
    <s v="Dr.Sushil Razdan"/>
    <d v="2025-11-08T00:00:00"/>
    <d v="2025-12-23T00:00:00"/>
    <s v="Acute Ischemic Stroke"/>
    <s v="Tpa Therapy"/>
    <n v="269352.28000000003"/>
    <s v="Bajaj Allianz"/>
    <s v="Disputed"/>
    <x v="1"/>
  </r>
  <r>
    <s v="HOSP-10315"/>
    <s v="Rajesh Reddy"/>
    <n v="73"/>
    <s v="Male"/>
    <s v="Mumbai"/>
    <s v="Oncology"/>
    <s v="Dr.Suresh Advani"/>
    <d v="2025-06-10T00:00:00"/>
    <d v="2025-06-28T00:00:00"/>
    <s v="Breast Carcinoma"/>
    <s v="Chemotherapy &amp; Lumpectomy"/>
    <n v="197586.65"/>
    <s v="Hdfc Ergo"/>
    <s v="Claim Processing"/>
    <x v="4"/>
  </r>
  <r>
    <s v="HOSP-10316"/>
    <s v="Pooja Verma"/>
    <n v="5"/>
    <s v="Female"/>
    <s v="Delhi"/>
    <s v="Gastroenterology"/>
    <s v="Dr.Unknown"/>
    <d v="2025-07-02T00:00:00"/>
    <d v="2025-07-05T00:00:00"/>
    <s v="Acute Pancreatitis"/>
    <s v="Conservative Management"/>
    <n v="87118.18"/>
    <s v="Care Health"/>
    <s v="Partially Paid"/>
    <x v="3"/>
  </r>
  <r>
    <s v="HOSP-10317"/>
    <s v="Pooja Sharma"/>
    <n v="6"/>
    <s v="Female"/>
    <s v="Pune"/>
    <s v="Cardiology"/>
    <s v="Dr.Devi Shetty"/>
    <d v="2025-11-08T00:00:00"/>
    <d v="2025-11-14T00:00:00"/>
    <s v="Heart Failure"/>
    <s v="Ace Inhibitors &amp; Diuretics"/>
    <n v="173699.35"/>
    <s v="Max Bupa"/>
    <s v="Partially Paid"/>
    <x v="4"/>
  </r>
  <r>
    <s v="HOSP-10318"/>
    <s v="Anjali Gupta"/>
    <n v="70"/>
    <s v="Female"/>
    <s v="Bombay"/>
    <s v="Orthopedics"/>
    <s v="Dr.Ramneek Mahajan"/>
    <d v="2025-12-06T00:00:00"/>
    <d v="2025-06-15T00:00:00"/>
    <s v="Osteoarthritis Knee"/>
    <s v="Total Knee Replacement"/>
    <n v="183816.01"/>
    <s v="Bajaj Allianz"/>
    <s v="Disputed"/>
    <x v="0"/>
  </r>
  <r>
    <s v="HOSP-10319"/>
    <s v="Ananya Iyer"/>
    <n v="13"/>
    <s v="Female"/>
    <s v="Hyderabad"/>
    <s v="Pediatrics"/>
    <s v="Dr.Arvind Bagga"/>
    <d v="2025-08-12T00:00:00"/>
    <d v="2025-08-21T00:00:00"/>
    <s v="Viral Gastroenteritis"/>
    <s v="Iv Fluids &amp; Electrolytes"/>
    <n v="43425.63"/>
    <s v="Star Health"/>
    <s v="Disputed"/>
    <x v="4"/>
  </r>
  <r>
    <s v="HOSP-10320"/>
    <s v="Sneha Gupta"/>
    <n v="49"/>
    <s v="Female"/>
    <s v="Pune"/>
    <s v="General Medicine"/>
    <s v="Dr.R. K. Singhal"/>
    <d v="2025-06-11T00:00:00"/>
    <d v="2025-11-19T00:00:00"/>
    <s v="Hypertensive Crisis"/>
    <s v="Iv Labetalol"/>
    <n v="40000"/>
    <s v="Care Health"/>
    <s v="Disputed"/>
    <x v="5"/>
  </r>
  <r>
    <s v="HOSP-10322"/>
    <s v="Aarav Mehta"/>
    <n v="73"/>
    <s v="Male"/>
    <s v="Delhi"/>
    <s v="Neurology"/>
    <s v="Dr.P. N. Renjen"/>
    <d v="2025-11-02T00:00:00"/>
    <d v="2025-02-12T00:00:00"/>
    <s v="Acute Ischemic Stroke"/>
    <s v="Tpa Therapy"/>
    <n v="270260.96999999997"/>
    <s v="None"/>
    <s v="Unknown"/>
    <x v="5"/>
  </r>
  <r>
    <s v="HOSP-10323"/>
    <s v="Sneha Gupta"/>
    <n v="85"/>
    <s v="Female"/>
    <s v="Chandigarh"/>
    <s v="Oncology"/>
    <s v="Dr.Harit Chaturvedi"/>
    <d v="2025-01-31T00:00:00"/>
    <d v="2025-10-02T00:00:00"/>
    <s v="Lymphoma"/>
    <s v="R-Chop Regimen"/>
    <n v="292075.46000000002"/>
    <s v="N/A"/>
    <s v="Paid"/>
    <x v="3"/>
  </r>
  <r>
    <s v="HOSP-10325"/>
    <s v="Aditya Joshi"/>
    <n v="58"/>
    <s v="Male"/>
    <s v="Mumbai"/>
    <s v="Cardiology"/>
    <s v="Dr.Naresh Trehan"/>
    <d v="2025-09-25T00:00:00"/>
    <d v="2025-09-28T00:00:00"/>
    <s v="Coronary Artery Disease"/>
    <s v="Angioplasty"/>
    <n v="272662.94"/>
    <s v="Bajaj Allianz"/>
    <s v="Disputed"/>
    <x v="3"/>
  </r>
  <r>
    <s v="HOSP-10327"/>
    <s v="Neha Sharma"/>
    <n v="23"/>
    <s v="Female"/>
    <s v="Chandigarh"/>
    <s v="Oncology"/>
    <s v="Dr.Suresh Advani"/>
    <d v="2025-01-23T00:00:00"/>
    <d v="2025-02-05T00:00:00"/>
    <s v="Colorectal Cancer"/>
    <s v="Colectomy"/>
    <n v="73899.320000000007"/>
    <s v="None / Self Pay"/>
    <s v="Pending"/>
    <x v="5"/>
  </r>
  <r>
    <s v="HOSP-10328"/>
    <s v="Pooja Kumar"/>
    <n v="13"/>
    <s v="Female"/>
    <s v="Kolkata"/>
    <s v="Oncology"/>
    <s v="Dr.Suresh Advani"/>
    <d v="2025-09-12T00:00:00"/>
    <d v="2025-09-19T00:00:00"/>
    <s v="Lung Adenocarcinoma"/>
    <s v="Targeted Therapy"/>
    <n v="260952.41"/>
    <s v="Care Health"/>
    <s v="Claim Processing"/>
    <x v="4"/>
  </r>
  <r>
    <s v="HOSP-10331"/>
    <s v="Ritu Mehta"/>
    <n v="160"/>
    <s v="Female"/>
    <s v="Jaipur"/>
    <s v="Orthopedics"/>
    <s v="Dr.Sks Marya"/>
    <d v="2025-06-30T00:00:00"/>
    <d v="2025-07-08T00:00:00"/>
    <s v="Unknown"/>
    <s v="Internal Fixation"/>
    <n v="14889.03"/>
    <s v="Star Health"/>
    <s v="Partially Paid"/>
    <x v="5"/>
  </r>
  <r>
    <s v="HOSP-10334"/>
    <s v="Kabir Bose"/>
    <n v="58"/>
    <s v="Male"/>
    <s v="Delhi"/>
    <s v="Gastroenterology"/>
    <s v="Dr.Randhir Sud"/>
    <d v="2025-03-02T00:00:00"/>
    <d v="2025-03-16T00:00:00"/>
    <s v="Peptic Ulcer Bleeding"/>
    <s v="Endoscopic Banding"/>
    <n v="27887.8"/>
    <s v="None / Self Pay"/>
    <s v="Disputed"/>
    <x v="3"/>
  </r>
  <r>
    <s v="HOSP-10335"/>
    <s v="Ramesh Kumar"/>
    <n v="75"/>
    <s v="Male"/>
    <s v="Chennai"/>
    <s v="Orthopedics"/>
    <s v="Dr.Sks Marya"/>
    <d v="2025-12-10T00:00:00"/>
    <d v="2025-12-24T00:00:00"/>
    <s v="Rotator Cuff Tear"/>
    <s v="Arthroscopic Repair"/>
    <n v="207167.51"/>
    <s v="Bajaj Allianz"/>
    <s v="Paid"/>
    <x v="3"/>
  </r>
  <r>
    <s v="HOSP-10336"/>
    <s v="Ramesh Joshi"/>
    <n v="30"/>
    <s v="Male"/>
    <s v="Chandigarh"/>
    <s v="Orthopedics"/>
    <s v="Dr.Sks Marya"/>
    <d v="2025-06-07T00:00:00"/>
    <d v="2025-07-08T00:00:00"/>
    <s v="Femur Fracture"/>
    <s v="Internal Fixation"/>
    <n v="160039.89000000001"/>
    <s v="Max Bupa"/>
    <s v="Paid"/>
    <x v="0"/>
  </r>
  <r>
    <s v="HOSP-10337"/>
    <s v="Rajesh_Singh"/>
    <n v="76"/>
    <s v="Male"/>
    <s v="Unknown"/>
    <s v="Gastroenterology"/>
    <s v="Dr.Govind Makharia"/>
    <d v="2025-07-17T00:00:00"/>
    <d v="2025-12-23T00:00:00"/>
    <s v="Liver Cirrhosis"/>
    <s v="Paracentesis &amp; Diuretics"/>
    <n v="333754.68"/>
    <s v="Max Bupa"/>
    <s v="Partially Paid"/>
    <x v="1"/>
  </r>
  <r>
    <s v="HOSP-105"/>
    <s v="Diya Gupta"/>
    <n v="18"/>
    <s v="Female"/>
    <s v="Jaipur"/>
    <s v="Orthopedics"/>
    <s v="Dr.Ramneek Mahajan"/>
    <d v="2025-11-06T00:00:00"/>
    <d v="2025-12-23T00:00:00"/>
    <s v="Femur Fracture"/>
    <s v="Internal Fixation"/>
    <n v="65658.62"/>
    <s v="Star Health"/>
    <s v="Disputed"/>
    <x v="1"/>
  </r>
  <r>
    <s v="HOSP-10339"/>
    <s v="Rajesh Kumar"/>
    <n v="47"/>
    <s v="Male"/>
    <s v="Chandigarh"/>
    <s v="Gastroenterology"/>
    <s v="Dr.Subhash Gupta"/>
    <d v="2025-04-12T00:00:00"/>
    <d v="2025-12-23T00:00:00"/>
    <s v="Liver Cirrhosis"/>
    <s v="Paracentesis &amp; Diuretics"/>
    <n v="100093.93"/>
    <s v="Hdfc Ergo"/>
    <s v="Pending"/>
    <x v="3"/>
  </r>
  <r>
    <s v="HOSP-10340"/>
    <s v="Kavita Sharma"/>
    <n v="19"/>
    <s v="Female"/>
    <s v="Chennai"/>
    <s v="Cardiology"/>
    <s v="Dr.Naresh Trehan"/>
    <d v="2025-10-04T00:00:00"/>
    <d v="2025-04-17T00:00:00"/>
    <s v="Heart Failure"/>
    <s v="Ace Inhibitors &amp; Diuretics"/>
    <n v="251416.32000000001"/>
    <s v="Icici Lombard"/>
    <s v="Disputed"/>
    <x v="4"/>
  </r>
  <r>
    <s v="HOSP-10341"/>
    <s v="Pooja Singh"/>
    <n v="7"/>
    <s v="Female"/>
    <s v="Mumbai"/>
    <s v="General Medicine"/>
    <s v="Dr.R. K. Singhal"/>
    <d v="2025-06-10T00:00:00"/>
    <d v="2025-06-27T00:00:00"/>
    <s v="Dengue Fever With Thrombocytopenia"/>
    <s v="Platelet Support"/>
    <n v="267165.83"/>
    <s v="None / Self Pay"/>
    <s v="Partially Paid"/>
    <x v="0"/>
  </r>
  <r>
    <s v="HOSP-10342"/>
    <s v="Aditya Singh"/>
    <n v="62"/>
    <s v="Male"/>
    <s v="Chennai"/>
    <s v="Gastroenterology"/>
    <s v="Dr.Subhash Gupta"/>
    <d v="2025-09-09T00:00:00"/>
    <d v="2025-09-23T00:00:00"/>
    <s v="Acute Pancreatitis"/>
    <s v="Conservative Management"/>
    <n v="288098.34000000003"/>
    <s v="Max Bupa"/>
    <s v="Claim Processing"/>
    <x v="4"/>
  </r>
  <r>
    <s v="HOSP-10344"/>
    <s v="Aditya Joshi"/>
    <n v="70"/>
    <s v="Male"/>
    <s v="Jaipur"/>
    <s v="Orthopedics"/>
    <s v="Dr.Sks Marya"/>
    <d v="2025-02-16T00:00:00"/>
    <d v="2025-02-22T00:00:00"/>
    <s v="Osteoarthritis Knee"/>
    <s v="Total Knee Replacement"/>
    <n v="28856.82"/>
    <s v="Care Health"/>
    <s v="Partially Paid"/>
    <x v="0"/>
  </r>
  <r>
    <s v="HOSP-10346"/>
    <s v="Ritu Singh"/>
    <n v="60"/>
    <s v="Female"/>
    <s v="Mumbai"/>
    <s v="Cardiology"/>
    <s v="Dr.Devi Shetty"/>
    <d v="2025-05-13T00:00:00"/>
    <d v="2025-12-23T00:00:00"/>
    <s v="Heart Failure"/>
    <s v="Ace Inhibitors &amp; Diuretics"/>
    <n v="24847.62"/>
    <s v="Care Health"/>
    <s v="Pending"/>
    <x v="1"/>
  </r>
  <r>
    <s v="HOSP-10347"/>
    <s v="Kabir Gupta"/>
    <n v="24"/>
    <s v="Male"/>
    <s v="Mumbai"/>
    <s v="Oncology"/>
    <s v="Dr.Vinod Raina"/>
    <d v="2025-11-22T00:00:00"/>
    <d v="2025-11-30T00:00:00"/>
    <s v="Colorectal Cancer"/>
    <s v="Colectomy"/>
    <n v="75690.77"/>
    <s v="Care Health"/>
    <s v="Paid"/>
    <x v="5"/>
  </r>
  <r>
    <s v="HOSP-10348"/>
    <s v="Vihaan Gupta"/>
    <n v="18"/>
    <s v="Male"/>
    <s v="Mumbai"/>
    <s v="Unknown"/>
    <s v="Dr.Harit Chaturvedi"/>
    <d v="2025-12-26T00:00:00"/>
    <d v="2026-01-09T00:00:00"/>
    <s v="Colorectal Cancer"/>
    <s v="Colectomy"/>
    <n v="292142.3"/>
    <s v="Icici Lombard"/>
    <s v="Paid"/>
    <x v="0"/>
  </r>
  <r>
    <s v="HOSP-10349"/>
    <s v="Manoj Reddy"/>
    <n v="56"/>
    <s v="Male"/>
    <s v="Unknown"/>
    <s v="Gastroenterology"/>
    <s v="Dr.Randhir Sud"/>
    <d v="2025-11-16T00:00:00"/>
    <d v="2025-12-23T00:00:00"/>
    <s v="Peptic Ulcer Bleeding"/>
    <s v="Endoscopic Banding"/>
    <n v="218516.52"/>
    <s v="Icici Lombard"/>
    <s v="Partially Paid"/>
    <x v="1"/>
  </r>
  <r>
    <s v="HOSP-10350"/>
    <s v="Kabir Reddy"/>
    <n v="10"/>
    <s v="Male"/>
    <s v="Mumbai"/>
    <s v="Neurology"/>
    <s v="Dr.P. N. Renjen"/>
    <d v="2025-05-08T00:00:00"/>
    <d v="2025-05-22T00:00:00"/>
    <s v="Parkinson'S Disease"/>
    <s v="Levodopa Therapy"/>
    <n v="169398.15"/>
    <s v="Hdfc Ergo"/>
    <s v="Disputed"/>
    <x v="4"/>
  </r>
  <r>
    <s v="HOSP-10351"/>
    <s v="Sneha Mehta"/>
    <n v="19"/>
    <s v="Female"/>
    <s v="Chandigarh"/>
    <s v="General Medicine"/>
    <s v="Dr.Anoop Misra"/>
    <d v="2025-10-04T00:00:00"/>
    <d v="2025-12-23T00:00:00"/>
    <s v="Type 2 Diabetes Uncontrolled"/>
    <s v="Insulin Titration"/>
    <n v="267621"/>
    <s v="Bajaj Allianz"/>
    <s v="Disputed"/>
    <x v="1"/>
  </r>
  <r>
    <s v="HOSP-10352"/>
    <s v="Meera Bose"/>
    <n v="61"/>
    <s v="Female"/>
    <s v="Ahmedabad"/>
    <s v="Neurology"/>
    <s v="Dr.Mukul Varma"/>
    <d v="2025-04-10T00:00:00"/>
    <d v="2025-04-29T00:00:00"/>
    <s v="Epilepsy"/>
    <s v="Anticonvulsant Therapy"/>
    <n v="234451"/>
    <s v="Care Health"/>
    <s v="Paid"/>
    <x v="3"/>
  </r>
  <r>
    <s v="HOSP-10353"/>
    <s v="Sunita Nair"/>
    <n v="20"/>
    <s v="Unspecified"/>
    <s v="Kolkata"/>
    <s v="Oncology"/>
    <s v="Dr.Vinod Raina"/>
    <d v="2025-04-10T00:00:00"/>
    <d v="2025-12-23T00:00:00"/>
    <s v="Breast Carcinoma"/>
    <s v="Chemotherapy &amp; Lumpectomy"/>
    <n v="65515.33"/>
    <s v="Max Bupa"/>
    <s v="Claim Processing"/>
    <x v="2"/>
  </r>
  <r>
    <s v="HOSP-10354"/>
    <s v="Aarav Gupta"/>
    <n v="58"/>
    <s v="Male"/>
    <s v="Mumbai"/>
    <s v="Cardiology"/>
    <s v="Dr.Ashok Seth"/>
    <d v="2025-02-20T00:00:00"/>
    <d v="2025-02-24T00:00:00"/>
    <s v="Myocardial Infarction"/>
    <s v="Thrombolysis"/>
    <n v="11310.31"/>
    <s v="Hdfc Ergo"/>
    <s v="Claim Processing"/>
    <x v="3"/>
  </r>
  <r>
    <s v="HOSP-10356"/>
    <s v="Meera Mehta"/>
    <n v="75"/>
    <s v="Female"/>
    <s v="Jaipur"/>
    <s v="General Medicine"/>
    <s v="Dr.R. K. Singhal"/>
    <d v="2025-09-12T00:00:00"/>
    <d v="2025-09-13T00:00:00"/>
    <s v="Hypertensive Crisis"/>
    <s v="Iv Labetalol"/>
    <n v="70627.63"/>
    <s v="Star Health"/>
    <s v="Paid"/>
    <x v="5"/>
  </r>
  <r>
    <s v="HOSP-10357"/>
    <s v="Meera Patel"/>
    <n v="79"/>
    <s v="Female"/>
    <s v="Ahmedabad"/>
    <s v="Cardiology"/>
    <s v="Dr.Naresh Trehan"/>
    <d v="2025-08-18T00:00:00"/>
    <d v="2025-08-26T00:00:00"/>
    <s v="Heart Failure"/>
    <s v="Ace Inhibitors &amp; Diuretics"/>
    <n v="219686.66"/>
    <s v="Icici Lombard"/>
    <s v="Disputed"/>
    <x v="5"/>
  </r>
  <r>
    <s v="HOSP-10358"/>
    <s v="Diya Patel"/>
    <n v="72"/>
    <s v="Female"/>
    <s v="Bangalore"/>
    <s v="Orthopedics"/>
    <s v="Dr.Ramneek Mahajan"/>
    <d v="2025-08-26T00:00:00"/>
    <d v="2025-12-23T00:00:00"/>
    <s v="Lumbar Spondylosis"/>
    <s v="Spinal Decompression"/>
    <n v="40000"/>
    <s v="Bajaj Allianz"/>
    <s v="Claim Processing"/>
    <x v="1"/>
  </r>
  <r>
    <s v="HOSP-10361"/>
    <s v="Vihaan Verma"/>
    <n v="45"/>
    <s v="Male"/>
    <s v="Hyderabad"/>
    <s v="Oncology"/>
    <s v="Dr.Harit Chaturvedi"/>
    <d v="2025-06-27T00:00:00"/>
    <d v="2025-12-23T00:00:00"/>
    <s v="Colorectal Cancer"/>
    <s v="Colectomy"/>
    <n v="328188.99"/>
    <s v="Star Health"/>
    <s v="Disputed"/>
    <x v="1"/>
  </r>
  <r>
    <s v="HOSP-10362"/>
    <s v="Ramesh Iyer"/>
    <n v="2"/>
    <s v="Male"/>
    <s v="Mumbai"/>
    <s v="Cardiology"/>
    <s v="Dr.Naresh Trehan"/>
    <d v="2025-05-29T00:00:00"/>
    <d v="2025-12-23T00:00:00"/>
    <s v="Myocardial Infarction"/>
    <s v="Thrombolysis"/>
    <n v="176910.39"/>
    <s v="Star Health"/>
    <s v="Partially Paid"/>
    <x v="7"/>
  </r>
  <r>
    <s v="HOSP-10363"/>
    <s v="Amit Mehta"/>
    <n v="10"/>
    <s v="Male"/>
    <s v="Bangalore"/>
    <s v="Neurology"/>
    <s v="Dr.P. N. Renjen"/>
    <d v="2025-06-23T00:00:00"/>
    <d v="2025-12-23T00:00:00"/>
    <s v="Parkinson'S Disease"/>
    <s v="Levodopa Therapy"/>
    <n v="142933.82"/>
    <s v="Max Bupa"/>
    <s v="Pending"/>
    <x v="1"/>
  </r>
  <r>
    <s v="HOSP-10364"/>
    <s v="Meera Patel"/>
    <n v="81"/>
    <s v="Female"/>
    <s v="Kolkata"/>
    <s v="Pediatrics"/>
    <s v="Dr.Krishan Chugh"/>
    <d v="2025-09-06T00:00:00"/>
    <d v="2025-06-12T00:00:00"/>
    <s v="Neonatal Jaundice"/>
    <s v="Phototherapy"/>
    <n v="40000"/>
    <s v="None"/>
    <s v="Partially Paid"/>
    <x v="3"/>
  </r>
  <r>
    <s v="HOSP-10365"/>
    <s v="Rajesh Gupta"/>
    <n v="80"/>
    <s v="Male"/>
    <s v="Kolkata"/>
    <s v="Neurology"/>
    <s v="Dr.P. N. Renjen"/>
    <d v="2025-10-24T00:00:00"/>
    <d v="2025-10-26T00:00:00"/>
    <s v="Epilepsy"/>
    <s v="Anticonvulsant Therapy"/>
    <n v="149246.6"/>
    <s v="Bajaj Allianz"/>
    <s v="Partially Paid"/>
    <x v="5"/>
  </r>
  <r>
    <s v="HOSP-10367"/>
    <s v="Vikram Joshi"/>
    <n v="6"/>
    <s v="Male"/>
    <s v="Chandigarh"/>
    <s v="Gastroenterology"/>
    <s v="Dr.Randhir Sud"/>
    <d v="2025-08-22T00:00:00"/>
    <d v="2025-08-25T00:00:00"/>
    <s v="Liver Cirrhosis"/>
    <s v="Paracentesis &amp; Diuretics"/>
    <n v="255209.04"/>
    <s v="Max Bupa"/>
    <s v="Claim Processing"/>
    <x v="4"/>
  </r>
  <r>
    <s v="HOSP-10369"/>
    <s v="Kabir Patel"/>
    <n v="51"/>
    <s v="Male"/>
    <s v="Chandigarh"/>
    <s v="Neurology"/>
    <s v="Dr.Sushil Razdan"/>
    <d v="2025-07-04T00:00:00"/>
    <d v="2025-12-23T00:00:00"/>
    <s v="Parkinson'S Disease"/>
    <s v="Levodopa Therapy"/>
    <n v="100750.51"/>
    <s v="Max Bupa"/>
    <s v="Partially Paid"/>
    <x v="1"/>
  </r>
  <r>
    <s v="HOSP-10370"/>
    <s v="Aarav Verma"/>
    <n v="3"/>
    <s v="Male"/>
    <s v="Mumbai"/>
    <s v="Pediatrics"/>
    <s v="Dr.Krishan Chugh"/>
    <d v="2025-09-20T00:00:00"/>
    <d v="2025-09-26T00:00:00"/>
    <s v="Severe Pneumonia"/>
    <s v="Iv Antibiotics"/>
    <n v="168972.32"/>
    <s v="Bajaj Allianz"/>
    <s v="Disputed"/>
    <x v="4"/>
  </r>
  <r>
    <s v="HOSP-10371"/>
    <s v="Sneha Iyer"/>
    <n v="41"/>
    <s v="Female"/>
    <s v="Mumbai"/>
    <s v="Gastroenterology"/>
    <s v="Dr.Subhash Gupta"/>
    <d v="2025-01-24T00:00:00"/>
    <d v="2025-02-04T00:00:00"/>
    <s v="Acute Pancreatitis"/>
    <s v="Conservative Management"/>
    <n v="153334.01999999999"/>
    <s v="Icici Lombard"/>
    <s v="Disputed"/>
    <x v="3"/>
  </r>
  <r>
    <s v="HOSP-10373"/>
    <s v="Diya Gupta"/>
    <n v="8"/>
    <s v="Female"/>
    <s v="Bangalore"/>
    <s v="General Medicine"/>
    <s v="Dr.Atul Gogia"/>
    <d v="2025-06-14T00:00:00"/>
    <d v="2025-06-20T00:00:00"/>
    <s v="Hypertensive Crisis"/>
    <s v="Iv Labetalol"/>
    <n v="273053.57"/>
    <s v="Icici Lombard"/>
    <s v="Paid"/>
    <x v="4"/>
  </r>
  <r>
    <s v="HOSP-10374"/>
    <s v="Deepak Kumar"/>
    <n v="68"/>
    <s v="Male"/>
    <s v="Unknown"/>
    <s v="Neurology"/>
    <s v="Dr.Mukul Varma"/>
    <d v="2025-05-22T00:00:00"/>
    <d v="2025-06-06T00:00:00"/>
    <s v="Epilepsy"/>
    <s v="Anticonvulsant Therapy"/>
    <n v="42562.48"/>
    <s v="Bajaj Allianz"/>
    <s v="Paid"/>
    <x v="5"/>
  </r>
  <r>
    <s v="HOSP-10375"/>
    <s v="Suresh Verma"/>
    <n v="56"/>
    <s v="Male"/>
    <s v="Jaipur"/>
    <s v="Cardiology"/>
    <s v="Dr.Naresh Trehan"/>
    <d v="2025-01-02T00:00:00"/>
    <d v="2025-01-20T00:00:00"/>
    <s v="Myocardial Infarction"/>
    <s v="Thrombolysis"/>
    <n v="273509.90999999997"/>
    <s v="N/A"/>
    <s v="Pending"/>
    <x v="5"/>
  </r>
  <r>
    <s v="HOSP-10377"/>
    <s v="Kabir Joshi"/>
    <n v="85"/>
    <s v="Male"/>
    <s v="Delhi"/>
    <s v="Cardiology"/>
    <s v="Dr.Devi Shetty"/>
    <d v="2025-07-06T00:00:00"/>
    <d v="2025-12-23T00:00:00"/>
    <s v="Myocardial Infarction"/>
    <s v="Thrombolysis"/>
    <n v="15445.5"/>
    <s v="None"/>
    <s v="Partially Paid"/>
    <x v="1"/>
  </r>
  <r>
    <s v="HOSP-10378"/>
    <s v="Priya Singh"/>
    <n v="38"/>
    <s v="Female"/>
    <s v="Kolkata"/>
    <s v="Neurology"/>
    <s v="Dr.P. N. Renjen"/>
    <d v="2025-01-16T00:00:00"/>
    <d v="2025-12-23T00:00:00"/>
    <s v="Parkinson'S Disease"/>
    <s v="Levodopa Therapy"/>
    <n v="229227.12"/>
    <s v="Care Health"/>
    <s v="Claim Processing"/>
    <x v="1"/>
  </r>
  <r>
    <s v="HOSP-10379"/>
    <s v="Aditya Mehta"/>
    <n v="59"/>
    <s v="Male"/>
    <s v="Kolkata"/>
    <s v="Orthopedics"/>
    <s v="Dr.Harshavardhan Hegde"/>
    <d v="2025-05-26T00:00:00"/>
    <d v="2025-06-08T00:00:00"/>
    <s v="Lumbar Spondylosis"/>
    <s v="Spinal Decompression"/>
    <n v="92715.25"/>
    <s v="Care Health"/>
    <s v="Partially Paid"/>
    <x v="5"/>
  </r>
  <r>
    <s v="HOSP-10380"/>
    <s v="Aditya_Patel"/>
    <n v="18"/>
    <s v="Male"/>
    <s v="Mumbai"/>
    <s v="Unknown"/>
    <s v="Dr.Harit Chaturvedi"/>
    <d v="2025-01-26T00:00:00"/>
    <d v="2025-02-10T00:00:00"/>
    <s v="Lung Adenocarcinoma"/>
    <s v="Targeted Therapy"/>
    <n v="39164.58"/>
    <s v="Star Health"/>
    <s v="Pending"/>
    <x v="5"/>
  </r>
  <r>
    <s v="HOSP-10381"/>
    <s v="Priya Joshi"/>
    <n v="72"/>
    <s v="Female"/>
    <s v="Jaipur"/>
    <s v="Cardiology"/>
    <s v="Dr.Ashok Seth"/>
    <d v="2025-06-10T00:00:00"/>
    <d v="2025-06-24T00:00:00"/>
    <s v="Coronary Artery Disease"/>
    <s v="Angioplasty"/>
    <n v="256933.8"/>
    <s v="Star Health"/>
    <s v="Pending"/>
    <x v="0"/>
  </r>
  <r>
    <s v="HOSP-10384"/>
    <s v="Sneha Patel"/>
    <n v="86"/>
    <s v="Female"/>
    <s v="Mumbai"/>
    <s v="Pediatrics"/>
    <s v="Dr.Krishan Chugh"/>
    <d v="2025-08-29T00:00:00"/>
    <d v="2025-08-28T00:00:00"/>
    <s v="Acute Bronchiolitis"/>
    <s v="Nebulization &amp; O2 Support"/>
    <n v="266992.5"/>
    <s v="Icici Lombard"/>
    <s v="Paid"/>
    <x v="3"/>
  </r>
  <r>
    <s v="HOSP-10385"/>
    <s v="Ritu Reddy"/>
    <n v="77"/>
    <s v="Female"/>
    <s v="Kolkata"/>
    <s v="Orthopedics"/>
    <s v="Dr.Harshavardhan Hegde"/>
    <d v="2025-05-10T00:00:00"/>
    <d v="2025-05-25T00:00:00"/>
    <s v="Femur Fracture"/>
    <s v="Internal Fixation"/>
    <n v="210266.08"/>
    <s v="Hdfc Ergo"/>
    <s v="Paid"/>
    <x v="0"/>
  </r>
  <r>
    <s v="HOSP-10386"/>
    <s v="Aditya Reddy"/>
    <n v="59"/>
    <s v="Male"/>
    <s v="Kolkata"/>
    <s v="Pediatrics"/>
    <s v="Dr.Unknown"/>
    <d v="2025-11-17T00:00:00"/>
    <d v="2025-11-24T00:00:00"/>
    <s v="Severe Pneumonia"/>
    <s v="Iv Antibiotics"/>
    <n v="45237.98"/>
    <s v="Max Bupa"/>
    <s v="Paid"/>
    <x v="3"/>
  </r>
  <r>
    <s v="HOSP-10387"/>
    <s v="Suresh Patel"/>
    <n v="59"/>
    <s v="Male"/>
    <s v="Delhi"/>
    <s v="General Medicine"/>
    <s v="Dr.Atul Gogia"/>
    <d v="2025-12-26T00:00:00"/>
    <d v="2026-12-01T00:00:00"/>
    <s v="Hypertensive Crisis"/>
    <s v="Iv Labetalol"/>
    <n v="286366.02"/>
    <s v="Hdfc Ergo"/>
    <s v="Paid"/>
    <x v="3"/>
  </r>
  <r>
    <s v="HOSP-10388"/>
    <s v="Kavita Verma"/>
    <n v="45"/>
    <s v="Female"/>
    <s v="Jaipur"/>
    <s v="Gastroenterology"/>
    <s v="Dr.Subhash Gupta"/>
    <d v="2025-11-02T00:00:00"/>
    <d v="2025-11-16T00:00:00"/>
    <s v="Peptic Ulcer Bleeding"/>
    <s v="Unknown"/>
    <n v="321069.3"/>
    <s v="Unknown"/>
    <s v="Claim Processing"/>
    <x v="2"/>
  </r>
  <r>
    <s v="HOSP-10390"/>
    <s v="Deepak Iyer"/>
    <n v="25"/>
    <s v="Male"/>
    <s v="Kolkata"/>
    <s v="Cardiology"/>
    <s v="Dr.Ashok Seth"/>
    <d v="2025-11-03T00:00:00"/>
    <d v="2025-11-13T00:00:00"/>
    <s v="Coronary Artery Disease"/>
    <s v="Angioplasty"/>
    <n v="205456.56"/>
    <s v="Care Health"/>
    <s v="Disputed"/>
    <x v="3"/>
  </r>
  <r>
    <s v="HOSP-10391"/>
    <s v="Diya Verma"/>
    <n v="12"/>
    <s v="Female"/>
    <s v="Chennai"/>
    <s v="General Medicine"/>
    <s v="Dr.Anoop Misra"/>
    <d v="2025-01-24T00:00:00"/>
    <d v="2025-02-02T00:00:00"/>
    <s v="Hypertensive Crisis"/>
    <s v="Iv Labetalol"/>
    <n v="220121.52"/>
    <s v="Max Bupa"/>
    <s v="Pending"/>
    <x v="3"/>
  </r>
  <r>
    <s v="HOSP-10393"/>
    <s v="Aarav Verma"/>
    <n v="9"/>
    <s v="Male"/>
    <s v="Chennai"/>
    <s v="General Medicine"/>
    <s v="Dr.Anoop Misra"/>
    <d v="2025-01-12T00:00:00"/>
    <d v="2025-01-26T00:00:00"/>
    <s v="Dengue Fever With Thrombocytopenia"/>
    <s v="Platelet Support"/>
    <n v="274018.15999999997"/>
    <s v="Star Health"/>
    <s v="Paid"/>
    <x v="3"/>
  </r>
  <r>
    <s v="HOSP-10394"/>
    <s v="Ritu Kumar"/>
    <n v="58"/>
    <s v="Female"/>
    <s v="Ahmedabad"/>
    <s v="Cardiology"/>
    <s v="Dr.Devi Shetty"/>
    <d v="2025-02-15T00:00:00"/>
    <d v="2025-02-17T00:00:00"/>
    <s v="Myocardial Infarction"/>
    <s v="Thrombolysis"/>
    <n v="258752.78"/>
    <s v="None / Self Pay"/>
    <s v="Disputed"/>
    <x v="4"/>
  </r>
  <r>
    <s v="HOSP-10395"/>
    <s v="Ramesh Singh"/>
    <n v="62"/>
    <s v="Male"/>
    <s v="Mumbai"/>
    <s v="Pediatrics"/>
    <s v="Dr.Veena Kalra"/>
    <d v="2025-11-27T00:00:00"/>
    <d v="2025-12-23T00:00:00"/>
    <s v="Acute Bronchiolitis"/>
    <s v="Nebulization &amp; O2 Support"/>
    <n v="331071.07"/>
    <s v="Care Health"/>
    <s v="Claim Processing"/>
    <x v="2"/>
  </r>
  <r>
    <s v="HOSP-10396"/>
    <s v="Diya Patel"/>
    <n v="78"/>
    <s v="Female"/>
    <s v="Ahmedabad"/>
    <s v="Cardiology"/>
    <s v="Dr.Ashok Seth"/>
    <d v="2025-08-18T00:00:00"/>
    <d v="2025-08-19T00:00:00"/>
    <s v="Heart Failure"/>
    <s v="Ace Inhibitors &amp; Diuretics"/>
    <n v="98132.13"/>
    <s v="Bajaj Allianz"/>
    <s v="Partially Paid"/>
    <x v="0"/>
  </r>
  <r>
    <s v="HOSP-10397"/>
    <s v="Sunita Verma"/>
    <n v="54"/>
    <s v="Female"/>
    <s v="Jaipur"/>
    <s v="Orthopedics"/>
    <s v="Dr.Harshavardhan Hegde"/>
    <d v="2025-08-23T00:00:00"/>
    <d v="2025-09-01T00:00:00"/>
    <s v="Femur Fracture"/>
    <s v="Internal Fixation"/>
    <n v="-251314.05"/>
    <s v="Icici Lombard"/>
    <s v="Unknown"/>
    <x v="3"/>
  </r>
  <r>
    <s v="HOSP-10399"/>
    <s v="Anita Mehta"/>
    <n v="85"/>
    <s v="Female"/>
    <s v="Chennai"/>
    <s v="Pediatrics"/>
    <s v="Dr.Veena Kalra"/>
    <d v="2025-03-22T00:00:00"/>
    <d v="2025-04-09T00:00:00"/>
    <s v="Neonatal Jaundice"/>
    <s v="Phototherapy"/>
    <n v="269120.03999999998"/>
    <s v="Star Health"/>
    <s v="Unknown"/>
    <x v="4"/>
  </r>
  <r>
    <s v="HOSP-10400"/>
    <s v="Ananya Mehta"/>
    <n v="32"/>
    <s v="Female"/>
    <s v="Pune"/>
    <s v="Cardiology"/>
    <s v="Dr.Naresh Trehan"/>
    <d v="2025-08-25T00:00:00"/>
    <d v="2025-08-27T00:00:00"/>
    <s v="Arrhythmia"/>
    <s v="Pacemaker Implantation"/>
    <n v="147820.29"/>
    <s v="Star Health"/>
    <s v="Partially Paid"/>
    <x v="0"/>
  </r>
  <r>
    <s v="HOSP-144"/>
    <s v="Sunita Verma"/>
    <n v="31"/>
    <s v="Female"/>
    <s v="Delhi"/>
    <s v="Oncology"/>
    <s v="Dr.Harit Chaturvedi"/>
    <d v="2025-09-06T00:00:00"/>
    <d v="2025-08-09T00:00:00"/>
    <s v="Lymphoma"/>
    <s v="R-Chop Regimen"/>
    <n v="310729.95"/>
    <s v="Care Health"/>
    <s v="Partially Paid"/>
    <x v="3"/>
  </r>
  <r>
    <s v="HOSP-10402"/>
    <s v="Aditya Iyer"/>
    <n v="34"/>
    <s v="Male"/>
    <s v="Jaipur"/>
    <s v="General Medicine"/>
    <s v="Dr.Atul Gogia"/>
    <d v="2025-11-01T00:00:00"/>
    <d v="2025-11-10T00:00:00"/>
    <s v="Hypertensive Crisis"/>
    <s v="Iv Labetalol"/>
    <n v="174458.85"/>
    <s v="Icici Lombard"/>
    <s v="Pending"/>
    <x v="0"/>
  </r>
  <r>
    <s v="HOSP-114"/>
    <s v="Neha Bose"/>
    <n v="7"/>
    <s v="Female"/>
    <s v="Jaipur"/>
    <s v="Orthopedics"/>
    <s v="Dr.Ramneek Mahajan"/>
    <d v="2025-11-28T00:00:00"/>
    <d v="2025-12-23T00:00:00"/>
    <s v="Osteoarthritis Knee"/>
    <s v="Total Knee Replacement"/>
    <n v="316907.76"/>
    <s v="Star Health"/>
    <s v="Partially Paid"/>
    <x v="1"/>
  </r>
  <r>
    <s v="HOSP-10404"/>
    <s v="Meera Mehta"/>
    <n v="69"/>
    <s v="Female"/>
    <s v="Pune"/>
    <s v="Gastroenterology"/>
    <s v="Dr.Unknown"/>
    <d v="2025-04-10T00:00:00"/>
    <d v="2025-10-01T00:00:00"/>
    <s v="Peptic Ulcer Bleeding"/>
    <s v="Endoscopic Banding"/>
    <n v="142969.68"/>
    <s v="None"/>
    <s v="Claim Processing"/>
    <x v="5"/>
  </r>
  <r>
    <s v="HOSP-10406"/>
    <s v="Kabir Verma"/>
    <n v="67"/>
    <s v="Male"/>
    <s v="Jaipur"/>
    <s v="Gastroenterology"/>
    <s v="Dr.Randhir Sud"/>
    <d v="2025-01-06T00:00:00"/>
    <d v="2025-01-20T00:00:00"/>
    <s v="Acute Pancreatitis"/>
    <s v="Conservative Management"/>
    <n v="200127.72"/>
    <s v="Icici Lombard"/>
    <s v="Disputed"/>
    <x v="0"/>
  </r>
  <r>
    <s v="HOSP-10407"/>
    <s v="Manoj Sharma"/>
    <n v="40"/>
    <s v="Male"/>
    <s v="Delhi"/>
    <s v="Orthopedics"/>
    <s v="Dr.Ramneek Mahajan"/>
    <d v="2025-04-04T00:00:00"/>
    <d v="2025-12-23T00:00:00"/>
    <s v="Femur Fracture"/>
    <s v="Internal Fixation"/>
    <n v="165777.60000000001"/>
    <s v="Care Health"/>
    <s v="Claim Processing"/>
    <x v="1"/>
  </r>
  <r>
    <s v="HOSP-10410"/>
    <s v="Unknown"/>
    <n v="45"/>
    <s v="Female"/>
    <s v="Ahmedabad"/>
    <s v="Oncology"/>
    <s v="Dr.Suresh Advani"/>
    <d v="2025-07-07T00:00:00"/>
    <d v="2025-12-23T00:00:00"/>
    <s v="Lung Adenocarcinoma"/>
    <s v="Targeted Therapy"/>
    <n v="281407.65999999997"/>
    <s v="Icici Lombard"/>
    <s v="Claim Processing"/>
    <x v="1"/>
  </r>
  <r>
    <s v="HOSP-10411"/>
    <s v="Anjali Patel"/>
    <n v="5"/>
    <s v="Female"/>
    <s v="Kolkata"/>
    <s v="General Medicine"/>
    <s v="Dr.Atul Gogia"/>
    <d v="2025-09-09T00:00:00"/>
    <d v="2025-09-12T00:00:00"/>
    <s v="Hypertensive Crisis"/>
    <s v="Iv Labetalol"/>
    <n v="40000"/>
    <s v="None / Self Pay"/>
    <s v="Unknown"/>
    <x v="4"/>
  </r>
  <r>
    <s v="HOSP-10412"/>
    <s v="Sneha Gupta"/>
    <n v="47"/>
    <s v="Female"/>
    <s v="Chennai"/>
    <s v="Oncology"/>
    <s v="Dr.Suresh Advani"/>
    <d v="2025-04-10T00:00:00"/>
    <d v="2025-12-23T00:00:00"/>
    <s v="Lung Adenocarcinoma"/>
    <s v="Targeted Therapy"/>
    <n v="174532.25"/>
    <s v="Bajaj Allianz"/>
    <s v="Claim Processing"/>
    <x v="1"/>
  </r>
  <r>
    <s v="HOSP-10413"/>
    <s v="Unknown"/>
    <n v="47"/>
    <s v="Female"/>
    <s v="Jaipur"/>
    <s v="Cardiology"/>
    <s v="Dr.Naresh Trehan"/>
    <d v="2025-03-06T00:00:00"/>
    <d v="2025-12-23T00:00:00"/>
    <s v="Coronary Artery Disease"/>
    <s v="Angioplasty"/>
    <n v="72763.16"/>
    <s v="None / Self Pay"/>
    <s v="Partially Paid"/>
    <x v="1"/>
  </r>
  <r>
    <s v="HOSP-10414"/>
    <s v="Manoj Bose"/>
    <n v="62"/>
    <s v="Male"/>
    <s v="Pune"/>
    <s v="General Medicine"/>
    <s v="Dr.Atul Gogia"/>
    <d v="2025-08-05T00:00:00"/>
    <d v="2025-11-08T00:00:00"/>
    <s v="Urinary Tract Infection"/>
    <s v="Antibiotic Course"/>
    <n v="177051.77"/>
    <s v="Icici Lombard"/>
    <s v="Paid"/>
    <x v="4"/>
  </r>
  <r>
    <s v="HOSP-10415"/>
    <s v="Sneha Joshi"/>
    <n v="65"/>
    <s v="Female"/>
    <s v="Chennai"/>
    <s v="Pediatrics"/>
    <s v="Dr.Krishan Chugh"/>
    <d v="2025-10-08T00:00:00"/>
    <d v="2025-10-24T00:00:00"/>
    <s v="Unknown"/>
    <s v="Nebulization &amp; O2 Support"/>
    <n v="51762.55"/>
    <s v="Max Bupa"/>
    <s v="Disputed"/>
    <x v="3"/>
  </r>
  <r>
    <s v="HOSP-10418"/>
    <s v="Ritu Iyer"/>
    <n v="38"/>
    <s v="Female"/>
    <s v="Chandigarh"/>
    <s v="Neurology"/>
    <s v="Dr.P. N. Renjen"/>
    <d v="2025-08-08T00:00:00"/>
    <d v="2025-08-14T00:00:00"/>
    <s v="Migraine Chronic"/>
    <s v="Botox Injection &amp; Triptans"/>
    <n v="144237.31"/>
    <s v="Icici Lombard"/>
    <s v="Partially Paid"/>
    <x v="5"/>
  </r>
  <r>
    <s v="HOSP-10419"/>
    <s v="Amit Kumar"/>
    <n v="17"/>
    <s v="Male"/>
    <s v="Chennai"/>
    <s v="Orthopedics"/>
    <s v="Dr.Harshavardhan Hegde"/>
    <d v="2025-07-12T00:00:00"/>
    <d v="2025-12-23T00:00:00"/>
    <s v="Osteoarthritis Knee"/>
    <s v="Total Knee Replacement"/>
    <n v="154474.9"/>
    <s v="Bajaj Allianz"/>
    <s v="Pending"/>
    <x v="1"/>
  </r>
  <r>
    <s v="HOSP-10420"/>
    <s v="Priya Verma"/>
    <n v="28"/>
    <s v="Female"/>
    <s v="Chandigarh"/>
    <s v="Orthopedics"/>
    <s v="Dr.Sks Marya"/>
    <d v="2025-10-13T00:00:00"/>
    <d v="2025-12-23T00:00:00"/>
    <s v="Osteoarthritis Knee"/>
    <s v="Total Knee Replacement"/>
    <n v="-271072.07"/>
    <s v="Star Health"/>
    <s v="Paid"/>
    <x v="0"/>
  </r>
  <r>
    <s v="HOSP-10421"/>
    <s v="Meera Iyer"/>
    <n v="78"/>
    <s v="Female"/>
    <s v="Unknown"/>
    <s v="Oncology"/>
    <s v="Dr.Suresh Advani"/>
    <d v="2025-04-26T00:00:00"/>
    <d v="2025-05-14T00:00:00"/>
    <s v="Colorectal Cancer"/>
    <s v="Colectomy"/>
    <n v="40000"/>
    <s v="Icici Lombard"/>
    <s v="Pending"/>
    <x v="3"/>
  </r>
  <r>
    <s v="HOSP-10423"/>
    <s v="Aarav Reddy"/>
    <n v="86"/>
    <s v="Male"/>
    <s v="Bangalore"/>
    <s v="Unknown"/>
    <s v="Dr.Devi Shetty"/>
    <d v="2025-08-30T00:00:00"/>
    <d v="2025-09-11T00:00:00"/>
    <s v="Myocardial Infarction"/>
    <s v="Thrombolysis"/>
    <n v="47767.94"/>
    <s v="Hdfc Ergo"/>
    <s v="Partially Paid"/>
    <x v="5"/>
  </r>
  <r>
    <s v="HOSP-10424"/>
    <s v="Ananya Nair"/>
    <n v="78"/>
    <s v="Female"/>
    <s v="Pune"/>
    <s v="General Medicine"/>
    <s v="Dr.Atul Gogia"/>
    <d v="2025-03-29T00:00:00"/>
    <d v="2025-04-04T00:00:00"/>
    <s v="Type 2 Diabetes Uncontrolled"/>
    <s v="Insulin Titration"/>
    <n v="42917.919999999998"/>
    <s v="Bajaj Allianz"/>
    <s v="Paid"/>
    <x v="3"/>
  </r>
  <r>
    <s v="HOSP-10425"/>
    <s v="Rajesh Joshi"/>
    <n v="57"/>
    <s v="Male"/>
    <s v="Mumbai"/>
    <s v="Orthopedics"/>
    <s v="Dr.Sks Marya"/>
    <d v="2025-01-18T00:00:00"/>
    <d v="2025-02-02T00:00:00"/>
    <s v="Rotator Cuff Tear"/>
    <s v="Arthroscopic Repair"/>
    <n v="276405.78000000003"/>
    <s v="None / Self Pay"/>
    <s v="Unknown"/>
    <x v="0"/>
  </r>
  <r>
    <s v="HOSP-10426"/>
    <s v="Diya Gupta"/>
    <n v="32"/>
    <s v="Female"/>
    <s v="Chandigarh"/>
    <s v="Pediatrics"/>
    <s v="Dr.Veena Kalra"/>
    <d v="2025-09-03T00:00:00"/>
    <d v="2025-08-09T00:00:00"/>
    <s v="Severe Pneumonia"/>
    <s v="Iv Antibiotics"/>
    <n v="270242.33"/>
    <s v="Bajaj Allianz"/>
    <s v="Disputed"/>
    <x v="3"/>
  </r>
  <r>
    <s v="HOSP-10427"/>
    <s v="Aarav Iyer"/>
    <n v="83"/>
    <s v="Male"/>
    <s v="Mumbai"/>
    <s v="Neurology"/>
    <s v="Dr.Mukul Varma"/>
    <d v="2025-10-03T00:00:00"/>
    <d v="2025-10-15T00:00:00"/>
    <s v="Epilepsy"/>
    <s v="Anticonvulsant Therapy"/>
    <n v="243996.75"/>
    <s v="Unknown"/>
    <s v="Paid"/>
    <x v="3"/>
  </r>
  <r>
    <s v="HOSP-143"/>
    <s v="Unknown"/>
    <n v="21"/>
    <s v="Male"/>
    <s v="Pune"/>
    <s v="Orthopedics"/>
    <s v="Dr.Sks Marya"/>
    <d v="2025-02-10T00:00:00"/>
    <d v="2025-12-23T00:00:00"/>
    <s v="Osteoarthritis Knee"/>
    <s v="Total Knee Replacement"/>
    <n v="27887.200000000001"/>
    <s v="Unknown"/>
    <s v="Disputed"/>
    <x v="1"/>
  </r>
  <r>
    <s v="HOSP-10429"/>
    <s v="Suresh Gupta"/>
    <n v="48"/>
    <s v="Male"/>
    <s v="Hyderabad"/>
    <s v="Oncology"/>
    <s v="Dr.Harit Chaturvedi"/>
    <d v="2025-08-23T00:00:00"/>
    <d v="2025-09-06T00:00:00"/>
    <s v="Lung Adenocarcinoma"/>
    <s v="Targeted Therapy"/>
    <n v="94685.56"/>
    <s v="Max Bupa"/>
    <s v="Pending"/>
    <x v="3"/>
  </r>
  <r>
    <s v="HOSP-10430"/>
    <s v="Priya Verma"/>
    <n v="28"/>
    <s v="Female"/>
    <s v="Pune"/>
    <s v="Gastroenterology"/>
    <s v="Dr.Govind Makharia"/>
    <d v="2025-03-02T00:00:00"/>
    <d v="2025-03-05T00:00:00"/>
    <s v="Peptic Ulcer Bleeding"/>
    <s v="Endoscopic Banding"/>
    <n v="297160.62"/>
    <s v="None"/>
    <s v="Disputed"/>
    <x v="7"/>
  </r>
  <r>
    <s v="HOSP-10431"/>
    <s v="Vihaan Nair"/>
    <n v="2"/>
    <s v="Male"/>
    <s v="Pune"/>
    <s v="Unknown"/>
    <s v="Dr.Sks Marya"/>
    <d v="2025-07-28T00:00:00"/>
    <d v="2025-08-12T00:00:00"/>
    <s v="Rotator Cuff Tear"/>
    <s v="Arthroscopic Repair"/>
    <n v="226360.94"/>
    <s v="Max Bupa"/>
    <s v="Claim Processing"/>
    <x v="5"/>
  </r>
  <r>
    <s v="HOSP-10432"/>
    <s v="Vihaan Verma"/>
    <n v="19"/>
    <s v="Male"/>
    <s v="Pune"/>
    <s v="Oncology"/>
    <s v="Dr.Suresh Advani"/>
    <d v="2025-11-09T00:00:00"/>
    <d v="2025-12-23T00:00:00"/>
    <s v="Breast Carcinoma"/>
    <s v="Chemotherapy &amp; Lumpectomy"/>
    <n v="67171.45"/>
    <s v="Star Health"/>
    <s v="Paid"/>
    <x v="1"/>
  </r>
  <r>
    <s v="HOSP-10433"/>
    <s v="Aarav Joshi"/>
    <n v="6"/>
    <s v="Male"/>
    <s v="Mumbai"/>
    <s v="Gastroenterology"/>
    <s v="Dr.Govind Makharia"/>
    <d v="2025-06-23T00:00:00"/>
    <d v="2025-06-29T00:00:00"/>
    <s v="Liver Cirrhosis"/>
    <s v="Paracentesis &amp; Diuretics"/>
    <n v="269392.61"/>
    <s v="Max Bupa"/>
    <s v="Partially Paid"/>
    <x v="3"/>
  </r>
  <r>
    <s v="HOSP-123"/>
    <s v="Deepak Mehta"/>
    <n v="19"/>
    <s v="Male"/>
    <s v="Hyderabad"/>
    <s v="Orthopedics"/>
    <s v="Dr.Ramneek Mahajan"/>
    <d v="2025-11-12T00:00:00"/>
    <d v="2025-11-16T00:00:00"/>
    <s v="Femur Fracture"/>
    <s v="Internal Fixation"/>
    <n v="58427.63"/>
    <s v="Icici Lombard"/>
    <s v="Paid"/>
    <x v="4"/>
  </r>
  <r>
    <s v="HOSP-10435"/>
    <s v="Rajesh Verma"/>
    <n v="82"/>
    <s v="Male"/>
    <s v="Mumbai"/>
    <s v="Neurology"/>
    <s v="Dr.Unknown"/>
    <d v="2025-12-09T00:00:00"/>
    <d v="2025-12-17T00:00:00"/>
    <s v="Epilepsy"/>
    <s v="Anticonvulsant Therapy"/>
    <n v="231726.06"/>
    <s v="None / Self Pay"/>
    <s v="Paid"/>
    <x v="3"/>
  </r>
  <r>
    <s v="HOSP-10436"/>
    <s v="Aditya Iyer"/>
    <n v="8"/>
    <s v="Male"/>
    <s v="Chandigarh"/>
    <s v="General Medicine"/>
    <s v="Dr.Anoop Misra"/>
    <d v="2025-03-30T00:00:00"/>
    <d v="2025-04-15T00:00:00"/>
    <s v="Hypertensive Crisis"/>
    <s v="Iv Labetalol"/>
    <n v="40000"/>
    <s v="Care Health"/>
    <s v="Disputed"/>
    <x v="4"/>
  </r>
  <r>
    <s v="HOSP-10437"/>
    <s v="Amit Joshi"/>
    <n v="17"/>
    <s v="Male"/>
    <s v="Jaipur"/>
    <s v="Oncology"/>
    <s v="Dr.Vinod Raina"/>
    <d v="2025-09-29T00:00:00"/>
    <d v="2025-03-10T00:00:00"/>
    <s v="Unknown"/>
    <s v="R-Chop Regimen"/>
    <n v="-32263.040000000001"/>
    <s v="Care Health"/>
    <s v="Disputed"/>
    <x v="5"/>
  </r>
  <r>
    <s v="HOSP-10438"/>
    <s v="Anjali Nair"/>
    <n v="12"/>
    <s v="Female"/>
    <s v="Delhi"/>
    <s v="Cardiology"/>
    <s v="Dr.Naresh Trehan"/>
    <d v="2025-04-10T00:00:00"/>
    <d v="2025-02-23T00:00:00"/>
    <s v="Myocardial Infarction"/>
    <s v="Thrombolysis"/>
    <n v="330944.7"/>
    <s v="Bajaj Allianz"/>
    <s v="Pending"/>
    <x v="0"/>
  </r>
  <r>
    <s v="HOSP-10440"/>
    <s v="Sneha Joshi"/>
    <n v="52"/>
    <s v="Female"/>
    <s v="Bangalore"/>
    <s v="Oncology"/>
    <s v="Dr.Suresh Advani"/>
    <d v="2025-06-18T00:00:00"/>
    <d v="2025-06-19T00:00:00"/>
    <s v="Lung Adenocarcinoma"/>
    <s v="Targeted Therapy"/>
    <n v="15338.44"/>
    <s v="Care Health"/>
    <s v="Disputed"/>
    <x v="5"/>
  </r>
  <r>
    <s v="HOSP-10441"/>
    <s v="Ritu Mehta"/>
    <n v="73"/>
    <s v="Female"/>
    <s v="Hyderabad"/>
    <s v="Oncology"/>
    <s v="Dr.Suresh Advani"/>
    <d v="2025-02-08T00:00:00"/>
    <d v="2025-02-21T00:00:00"/>
    <s v="Lymphoma"/>
    <s v="R-Chop Regimen"/>
    <n v="301563.46000000002"/>
    <s v="Max Bupa"/>
    <s v="Disputed"/>
    <x v="4"/>
  </r>
  <r>
    <s v="HOSP-10442"/>
    <s v="Meera Kumar"/>
    <n v="38"/>
    <s v="Female"/>
    <s v="Unknown"/>
    <s v="Cardiology"/>
    <s v="Dr.Naresh Trehan"/>
    <d v="2025-10-03T00:00:00"/>
    <d v="2025-10-16T00:00:00"/>
    <s v="Coronary Artery Disease"/>
    <s v="Angioplasty"/>
    <n v="266848.95"/>
    <s v="Bajaj Allianz"/>
    <s v="Pending"/>
    <x v="0"/>
  </r>
  <r>
    <s v="HOSP-141"/>
    <s v="Aarav Iyer"/>
    <n v="56"/>
    <s v="Male"/>
    <s v="Ahmedabad"/>
    <s v="Cardiology"/>
    <s v="Dr.Ashok Seth"/>
    <d v="2025-04-10T00:00:00"/>
    <d v="2025-12-23T00:00:00"/>
    <s v="Arrhythmia"/>
    <s v="Pacemaker Implantation"/>
    <n v="-349245.8"/>
    <s v="N/A"/>
    <s v="Paid"/>
    <x v="1"/>
  </r>
  <r>
    <s v="HOSP-10445"/>
    <s v="Manoj Verma"/>
    <n v="62"/>
    <s v="Male"/>
    <s v="Kolkata"/>
    <s v="Pediatrics"/>
    <s v="Dr.Veena Kalra"/>
    <d v="2025-08-27T00:00:00"/>
    <d v="2025-12-23T00:00:00"/>
    <s v="Unknown"/>
    <s v="Iv Fluids &amp; Electrolytes"/>
    <n v="257045.17"/>
    <s v="Bajaj Allianz"/>
    <s v="Pending"/>
    <x v="1"/>
  </r>
  <r>
    <s v="HOSP-10446"/>
    <s v="Vihaan Singh"/>
    <n v="80"/>
    <s v="Male"/>
    <s v="Chennai"/>
    <s v="Oncology"/>
    <s v="Dr.Suresh Advani"/>
    <d v="2025-04-10T00:00:00"/>
    <d v="2025-10-21T00:00:00"/>
    <s v="Colorectal Cancer"/>
    <s v="Colectomy"/>
    <n v="113667.33"/>
    <s v="Care Health"/>
    <s v="Paid"/>
    <x v="5"/>
  </r>
  <r>
    <s v="HOSP-10447"/>
    <s v="Rajesh Mehta"/>
    <n v="33"/>
    <s v="Male"/>
    <s v="Pune"/>
    <s v="Oncology"/>
    <s v="Dr.Suresh Advani"/>
    <d v="2025-05-26T00:00:00"/>
    <d v="2025-12-23T00:00:00"/>
    <s v="Lung Adenocarcinoma"/>
    <s v="Targeted Therapy"/>
    <n v="327664.96000000002"/>
    <s v="Care Health"/>
    <s v="Disputed"/>
    <x v="1"/>
  </r>
  <r>
    <s v="HOSP-10448"/>
    <s v="Sunita Joshi"/>
    <n v="77"/>
    <s v="Female"/>
    <s v="Ahmedabad"/>
    <s v="Orthopedics"/>
    <s v="Dr.Ramneek Mahajan"/>
    <d v="2025-03-19T00:00:00"/>
    <d v="2025-03-31T00:00:00"/>
    <s v="Rotator Cuff Tear"/>
    <s v="Arthroscopic Repair"/>
    <n v="14412.2"/>
    <s v="Star Health"/>
    <s v="Paid"/>
    <x v="3"/>
  </r>
  <r>
    <s v="HOSP-10449"/>
    <s v="Pooja Mehta"/>
    <n v="69"/>
    <s v="Female"/>
    <s v="Hyderabad"/>
    <s v="Pediatrics"/>
    <s v="Dr.Arvind Bagga"/>
    <d v="2025-10-27T00:00:00"/>
    <d v="2025-11-02T00:00:00"/>
    <s v="Acute Bronchiolitis"/>
    <s v="Nebulization &amp; O2 Support"/>
    <n v="206432.71"/>
    <s v="Icici Lombard"/>
    <s v="Pending"/>
    <x v="4"/>
  </r>
  <r>
    <s v="HOSP-10450"/>
    <s v="Ramesh Patel"/>
    <n v="17"/>
    <s v="Male"/>
    <s v="Chennai"/>
    <s v="Neurology"/>
    <s v="Dr.Mukul Varma"/>
    <d v="2025-05-04T00:00:00"/>
    <d v="2025-05-15T00:00:00"/>
    <s v="Unknown"/>
    <s v="Tpa Therapy"/>
    <n v="-115728.64"/>
    <s v="Hdfc Ergo"/>
    <s v="Pending"/>
    <x v="5"/>
  </r>
  <r>
    <s v="HOSP-10452"/>
    <s v="Vihaan Singh"/>
    <n v="85"/>
    <s v="Male"/>
    <s v="Chandigarh"/>
    <s v="Gastroenterology"/>
    <s v="Dr.Govind Makharia"/>
    <d v="2025-02-16T00:00:00"/>
    <d v="2025-12-23T00:00:00"/>
    <s v="Acute Pancreatitis"/>
    <s v="Conservative Management"/>
    <n v="68567.039999999994"/>
    <s v="None / Self Pay"/>
    <s v="Paid"/>
    <x v="1"/>
  </r>
  <r>
    <s v="HOSP-10453"/>
    <s v="Manoj Patel"/>
    <n v="18"/>
    <s v="Male"/>
    <s v="Chandigarh"/>
    <s v="Gastroenterology"/>
    <s v="Dr.Randhir Sud"/>
    <d v="2025-02-21T00:00:00"/>
    <d v="2025-02-23T00:00:00"/>
    <s v="Gallstones / Cholecystitis"/>
    <s v="Laparoscopic Cholecystectomy"/>
    <n v="245988.96"/>
    <s v="Unknown"/>
    <s v="Disputed"/>
    <x v="0"/>
  </r>
  <r>
    <s v="HOSP-10454"/>
    <s v="Rajesh Singh"/>
    <n v="50"/>
    <s v="Male"/>
    <s v="Kolkata"/>
    <s v="Oncology"/>
    <s v="Dr.Unknown"/>
    <d v="2025-06-17T00:00:00"/>
    <d v="2025-06-26T00:00:00"/>
    <s v="Breast Carcinoma"/>
    <s v="Chemotherapy &amp; Lumpectomy"/>
    <n v="75111.69"/>
    <s v="Hdfc Ergo"/>
    <s v="Paid"/>
    <x v="4"/>
  </r>
  <r>
    <s v="HOSP-10455"/>
    <s v="Deepak Verma"/>
    <n v="65"/>
    <s v="Male"/>
    <s v="Hyderabad"/>
    <s v="Pediatrics"/>
    <s v="Dr.Veena Kalra"/>
    <d v="2025-04-16T00:00:00"/>
    <d v="2025-04-19T00:00:00"/>
    <s v="Acute Bronchiolitis"/>
    <s v="Nebulization &amp; O2 Support"/>
    <n v="180878.3"/>
    <s v="Star Health"/>
    <s v="Paid"/>
    <x v="0"/>
  </r>
  <r>
    <s v="HOSP-10456"/>
    <s v="Aarav Mehta"/>
    <n v="25"/>
    <s v="Male"/>
    <s v="Hyderabad"/>
    <s v="Neurology"/>
    <s v="Dr.P. N. Renjen"/>
    <d v="2025-03-22T00:00:00"/>
    <d v="2025-04-06T00:00:00"/>
    <s v="Epilepsy"/>
    <s v="Anticonvulsant Therapy"/>
    <n v="68817.2"/>
    <s v="Icici Lombard"/>
    <s v="Partially Paid"/>
    <x v="3"/>
  </r>
  <r>
    <s v="HOSP-10458"/>
    <s v="Sneha Gupta"/>
    <n v="58"/>
    <s v="Unspecified"/>
    <s v="Delhi"/>
    <s v="Neurology"/>
    <s v="Dr.Unknown"/>
    <d v="2025-04-05T00:00:00"/>
    <d v="2025-04-14T00:00:00"/>
    <s v="Migraine Chronic"/>
    <s v="Botox Injection &amp; Triptans"/>
    <n v="229226.77"/>
    <s v="Icici Lombard"/>
    <s v="Pending"/>
    <x v="4"/>
  </r>
  <r>
    <s v="HOSP-10459"/>
    <s v="Vikram Mehta"/>
    <n v="29"/>
    <s v="Male"/>
    <s v="Jaipur"/>
    <s v="Oncology"/>
    <s v="Dr.Suresh Advani"/>
    <d v="2025-02-01T00:00:00"/>
    <d v="2025-12-23T00:00:00"/>
    <s v="Lung Adenocarcinoma"/>
    <s v="Targeted Therapy"/>
    <n v="183161.99"/>
    <s v="Bajaj Allianz"/>
    <s v="Paid"/>
    <x v="1"/>
  </r>
  <r>
    <s v="HOSP-10460"/>
    <s v="Amit Singh"/>
    <n v="14"/>
    <s v="Unspecified"/>
    <s v="Delhi"/>
    <s v="Pediatrics"/>
    <s v="Dr.Krishan Chugh"/>
    <d v="2025-04-08T00:00:00"/>
    <d v="2025-04-24T00:00:00"/>
    <s v="Acute Bronchiolitis"/>
    <s v="Nebulization &amp; O2 Support"/>
    <n v="129525.51"/>
    <s v="Care Health"/>
    <s v="Partially Paid"/>
    <x v="0"/>
  </r>
  <r>
    <s v="HOSP-10461"/>
    <s v="Vikram Verma"/>
    <n v="3"/>
    <s v="Male"/>
    <s v="Hyderabad"/>
    <s v="Neurology"/>
    <s v="Dr.Mukul Varma"/>
    <d v="2025-02-10T00:00:00"/>
    <d v="2025-02-08T00:00:00"/>
    <s v="Acute Ischemic Stroke"/>
    <s v="Tpa Therapy"/>
    <n v="174036.3"/>
    <s v="Bajaj Allianz"/>
    <s v="Partially Paid"/>
    <x v="0"/>
  </r>
  <r>
    <s v="HOSP-10462"/>
    <s v="Rajesh Singh"/>
    <n v="83"/>
    <s v="Male"/>
    <s v="Delhi"/>
    <s v="General Medicine"/>
    <s v="Dr.Anoop Misra"/>
    <d v="2025-12-10T00:00:00"/>
    <d v="2025-12-11T00:00:00"/>
    <s v="Unknown"/>
    <s v="Platelet Support"/>
    <n v="21364.73"/>
    <s v="Bajaj Allianz"/>
    <s v="Claim Processing"/>
    <x v="0"/>
  </r>
  <r>
    <s v="HOSP-10464"/>
    <s v="Diya Reddy"/>
    <n v="22"/>
    <s v="Female"/>
    <s v="Hyderabad"/>
    <s v="Pediatrics"/>
    <s v="Dr.Arvind Bagga"/>
    <d v="2025-02-01T00:00:00"/>
    <d v="2025-02-18T00:00:00"/>
    <s v="Acute Bronchiolitis"/>
    <s v="Nebulization &amp; O2 Support"/>
    <n v="344496.24"/>
    <s v="Icici Lombard"/>
    <s v="Disputed"/>
    <x v="3"/>
  </r>
  <r>
    <s v="HOSP-10466"/>
    <s v="Vikram Iyer"/>
    <n v="26"/>
    <s v="Unspecified"/>
    <s v="Pune"/>
    <s v="Pediatrics"/>
    <s v="Dr.Arvind Bagga"/>
    <d v="2025-06-26T00:00:00"/>
    <d v="2025-08-07T00:00:00"/>
    <s v="Severe Pneumonia"/>
    <s v="Iv Antibiotics"/>
    <n v="346234.73"/>
    <s v="None"/>
    <s v="Partially Paid"/>
    <x v="0"/>
  </r>
  <r>
    <s v="HOSP-1467"/>
    <s v="Vihaan Verma"/>
    <n v="3"/>
    <s v="Male"/>
    <s v="Ahmedabad"/>
    <s v="Gastroenterology"/>
    <s v="Dr.Randhir Sud"/>
    <d v="2025-08-18T00:00:00"/>
    <d v="2025-12-23T00:00:00"/>
    <s v="Peptic Ulcer Bleeding"/>
    <s v="Endoscopic Banding"/>
    <n v="-228488.28"/>
    <s v="Care Health"/>
    <s v="Paid"/>
    <x v="1"/>
  </r>
  <r>
    <s v="HOSP-10468"/>
    <s v="Deepak Verma"/>
    <n v="58"/>
    <s v="Male"/>
    <s v="Hyderabad"/>
    <s v="Cardiology"/>
    <s v="Dr.Naresh Trehan"/>
    <d v="2025-01-29T00:00:00"/>
    <d v="2025-05-02T00:00:00"/>
    <s v="Coronary Artery Disease"/>
    <s v="Angioplasty"/>
    <n v="284470.31"/>
    <s v="Bajaj Allianz"/>
    <s v="Partially Paid"/>
    <x v="5"/>
  </r>
  <r>
    <s v="HOSP-10469"/>
    <s v="Manoj Nair"/>
    <n v="47"/>
    <s v="Male"/>
    <s v="Delhi"/>
    <s v="Orthopedics"/>
    <s v="Dr.Ramneek Mahajan"/>
    <d v="2025-12-07T00:00:00"/>
    <d v="2025-12-23T00:00:00"/>
    <s v="Rotator Cuff Tear"/>
    <s v="Arthroscopic Repair"/>
    <n v="291337.67"/>
    <s v="Icici Lombard"/>
    <s v="Paid"/>
    <x v="1"/>
  </r>
  <r>
    <s v="HOSP-10470"/>
    <s v="Aditya Mehta"/>
    <n v="53"/>
    <s v="Male"/>
    <s v="Delhi"/>
    <s v="Neurology"/>
    <s v="Dr.Sushil Razdan"/>
    <d v="2025-09-19T00:00:00"/>
    <d v="2025-12-23T00:00:00"/>
    <s v="Acute Ischemic Stroke"/>
    <s v="Tpa Therapy"/>
    <n v="315860.09999999998"/>
    <s v="None / Self Pay"/>
    <s v="Partially Paid"/>
    <x v="1"/>
  </r>
  <r>
    <s v="HOSP-10472"/>
    <s v="Sunita Kumar"/>
    <n v="61"/>
    <s v="Female"/>
    <s v="Chandigarh"/>
    <s v="Unknown"/>
    <s v="Dr.Govind Makharia"/>
    <d v="2025-01-11T00:00:00"/>
    <d v="2025-01-15T00:00:00"/>
    <s v="Peptic Ulcer Bleeding"/>
    <s v="Endoscopic Banding"/>
    <n v="12286.13"/>
    <s v="None"/>
    <s v="Paid"/>
    <x v="0"/>
  </r>
  <r>
    <s v="HOSP-10473"/>
    <s v="Priya Verma"/>
    <n v="83"/>
    <s v="Female"/>
    <s v="Kolkata"/>
    <s v="Gastroenterology"/>
    <s v="Dr.Randhir Sud"/>
    <d v="2025-03-05T00:00:00"/>
    <d v="2025-06-05T00:00:00"/>
    <s v="Liver Cirrhosis"/>
    <s v="Paracentesis &amp; Diuretics"/>
    <n v="81893.210000000006"/>
    <s v="None / Self Pay"/>
    <s v="Pending"/>
    <x v="5"/>
  </r>
  <r>
    <s v="HOSP-10475"/>
    <s v="Meera Bose"/>
    <n v="10"/>
    <s v="Female"/>
    <s v="Ahmedabad"/>
    <s v="Orthopedics"/>
    <s v="Dr.Harshavardhan Hegde"/>
    <d v="2025-02-06T00:00:00"/>
    <d v="2025-12-23T00:00:00"/>
    <s v="Lumbar Spondylosis"/>
    <s v="Spinal Decompression"/>
    <n v="15667.1"/>
    <s v="Star Health"/>
    <s v="Disputed"/>
    <x v="1"/>
  </r>
  <r>
    <s v="HOSP-10477"/>
    <s v="Rohan Bose"/>
    <n v="88"/>
    <s v="Male"/>
    <s v="Bangalore"/>
    <s v="Pediatrics"/>
    <s v="Dr.Veena Kalra"/>
    <d v="2025-06-09T00:00:00"/>
    <d v="2025-12-23T00:00:00"/>
    <s v="Severe Pneumonia"/>
    <s v="Iv Antibiotics"/>
    <n v="328190.71000000002"/>
    <s v="Bajaj Allianz"/>
    <s v="Pending"/>
    <x v="1"/>
  </r>
  <r>
    <s v="HOSP-10478"/>
    <s v="Vihaan Verma"/>
    <n v="16"/>
    <s v="Male"/>
    <s v="Pune"/>
    <s v="Cardiology"/>
    <s v="Dr.Ashok Seth"/>
    <d v="2025-10-18T00:00:00"/>
    <d v="2025-01-11T00:00:00"/>
    <s v="Heart Failure"/>
    <s v="Ace Inhibitors &amp; Diuretics"/>
    <n v="102588.38"/>
    <s v="Icici Lombard"/>
    <s v="Disputed"/>
    <x v="3"/>
  </r>
  <r>
    <s v="HOSP-10479"/>
    <s v="Anita Joshi"/>
    <n v="18"/>
    <s v="Female"/>
    <s v="Mumbai"/>
    <s v="Pediatrics"/>
    <s v="Dr.Unknown"/>
    <d v="2025-06-23T00:00:00"/>
    <d v="2025-06-24T00:00:00"/>
    <s v="Severe Pneumonia"/>
    <s v="Iv Antibiotics"/>
    <n v="243594.27"/>
    <s v="None / Self Pay"/>
    <s v="Pending"/>
    <x v="3"/>
  </r>
  <r>
    <s v="HOSP-10480"/>
    <s v="Neha Iyer"/>
    <n v="88"/>
    <s v="Female"/>
    <s v="Unknown"/>
    <s v="Oncology"/>
    <s v="Dr.Harit Chaturvedi"/>
    <d v="2025-08-02T00:00:00"/>
    <d v="2025-12-23T00:00:00"/>
    <s v="Breast Carcinoma"/>
    <s v="Chemotherapy &amp; Lumpectomy"/>
    <n v="261994.94"/>
    <s v="Unknown"/>
    <s v="Paid"/>
    <x v="1"/>
  </r>
  <r>
    <s v="HOSP-10481"/>
    <s v="Neha Reddy"/>
    <n v="79"/>
    <s v="Female"/>
    <s v="Kolkata"/>
    <s v="Gastroenterology"/>
    <s v="Dr.Govind Makharia"/>
    <d v="2025-07-02T00:00:00"/>
    <d v="2025-07-15T00:00:00"/>
    <s v="Acute Pancreatitis"/>
    <s v="Conservative Management"/>
    <n v="80052.56"/>
    <s v="Icici Lombard"/>
    <s v="Paid"/>
    <x v="3"/>
  </r>
  <r>
    <s v="HOSP-10483"/>
    <s v="Vihaan Sharma"/>
    <n v="15"/>
    <s v="Male"/>
    <s v="Ahmedabad"/>
    <s v="Orthopedics"/>
    <s v="Dr.Sks Marya"/>
    <d v="2025-11-28T00:00:00"/>
    <d v="2025-12-23T00:00:00"/>
    <s v="Lumbar Spondylosis"/>
    <s v="Spinal Decompression"/>
    <n v="285895.32"/>
    <s v="Bajaj Allianz"/>
    <s v="Pending"/>
    <x v="1"/>
  </r>
  <r>
    <s v="HOSP-10485"/>
    <s v="Unknown"/>
    <n v="18"/>
    <s v="Female"/>
    <s v="Kolkata"/>
    <s v="Gastroenterology"/>
    <s v="Dr.Randhir Sud"/>
    <d v="2025-11-20T00:00:00"/>
    <d v="2025-11-28T00:00:00"/>
    <s v="Liver Cirrhosis"/>
    <s v="Paracentesis &amp; Diuretics"/>
    <n v="118716.9"/>
    <s v="None / Self Pay"/>
    <s v="Pending"/>
    <x v="4"/>
  </r>
  <r>
    <s v="HOSP-10487"/>
    <s v="Rohan Kumar"/>
    <n v="38"/>
    <s v="Male"/>
    <s v="Chennai"/>
    <s v="Oncology"/>
    <s v="Dr.Vinod Raina"/>
    <d v="2025-01-18T00:00:00"/>
    <d v="2025-01-25T00:00:00"/>
    <s v="Breast Carcinoma"/>
    <s v="Chemotherapy &amp; Lumpectomy"/>
    <n v="316292.25"/>
    <s v="Max Bupa"/>
    <s v="Partially Paid"/>
    <x v="5"/>
  </r>
  <r>
    <s v="HOSP-10488"/>
    <s v="Kabir Reddy"/>
    <n v="64"/>
    <s v="Male"/>
    <s v="Unknown"/>
    <s v="General Medicine"/>
    <s v="Dr.R. K. Singhal"/>
    <d v="2025-01-19T00:00:00"/>
    <d v="2025-01-20T00:00:00"/>
    <s v="Dengue Fever With Thrombocytopenia"/>
    <s v="Unknown"/>
    <n v="138512.87"/>
    <s v="Max Bupa"/>
    <s v="Partially Paid"/>
    <x v="3"/>
  </r>
  <r>
    <s v="HOSP-132"/>
    <s v="Anita Gupta"/>
    <n v="81"/>
    <s v="Female"/>
    <s v="Mumbai"/>
    <s v="Cardiology"/>
    <s v="Dr.Devi Shetty"/>
    <d v="2025-06-20T00:00:00"/>
    <d v="2025-07-06T00:00:00"/>
    <s v="Arrhythmia"/>
    <s v="Pacemaker Implantation"/>
    <n v="164538.67000000001"/>
    <s v="Star Health"/>
    <s v="Paid"/>
    <x v="4"/>
  </r>
  <r>
    <s v="HOSP-10491"/>
    <s v="Priya Sharma"/>
    <n v="31"/>
    <s v="Female"/>
    <s v="Chandigarh"/>
    <s v="Pediatrics"/>
    <s v="Dr.Veena Kalra"/>
    <d v="2025-07-06T00:00:00"/>
    <d v="2025-07-16T00:00:00"/>
    <s v="Severe Pneumonia"/>
    <s v="Iv Antibiotics"/>
    <n v="265719.40000000002"/>
    <s v="Hdfc Ergo"/>
    <s v="Disputed"/>
    <x v="3"/>
  </r>
  <r>
    <s v="HOSP-10493"/>
    <s v="Amit Patel"/>
    <n v="41"/>
    <s v="Male"/>
    <s v="Jaipur"/>
    <s v="Pediatrics"/>
    <s v="Dr.Veena Kalra"/>
    <d v="2025-02-18T00:00:00"/>
    <d v="2025-02-24T00:00:00"/>
    <s v="Neonatal Jaundice"/>
    <s v="Phototherapy"/>
    <n v="5470.34"/>
    <s v="Unknown"/>
    <s v="Pending"/>
    <x v="0"/>
  </r>
  <r>
    <s v="HOSP-10494"/>
    <s v="Priya Verma"/>
    <n v="14"/>
    <s v="Female"/>
    <s v="Chandigarh"/>
    <s v="Oncology"/>
    <s v="Dr.Suresh Advani"/>
    <d v="2025-02-28T00:00:00"/>
    <d v="2025-03-05T00:00:00"/>
    <s v="Breast Carcinoma"/>
    <s v="Chemotherapy &amp; Lumpectomy"/>
    <n v="-153231.04999999999"/>
    <s v="Icici Lombard"/>
    <s v="Partially Paid"/>
    <x v="4"/>
  </r>
  <r>
    <s v="HOSP-10495"/>
    <s v="Neha Gupta"/>
    <n v="64"/>
    <s v="Female"/>
    <s v="Jaipur"/>
    <s v="Pediatrics"/>
    <s v="Dr.Krishan Chugh"/>
    <d v="2025-05-08T00:00:00"/>
    <d v="2025-05-17T00:00:00"/>
    <s v="Severe Pneumonia"/>
    <s v="Unknown"/>
    <n v="298327.53999999998"/>
    <s v="Icici Lombard"/>
    <s v="Unknown"/>
    <x v="0"/>
  </r>
  <r>
    <s v="HOSP-10498"/>
    <s v="Aditya Iyer"/>
    <n v="12"/>
    <s v="Male"/>
    <s v="Chandigarh"/>
    <s v="Oncology"/>
    <s v="Dr.Suresh Advani"/>
    <d v="2025-04-10T00:00:00"/>
    <d v="2025-10-28T00:00:00"/>
    <s v="Breast Carcinoma"/>
    <s v="Chemotherapy &amp; Lumpectomy"/>
    <n v="314197.02"/>
    <s v="Care Health"/>
    <s v="Pending"/>
    <x v="4"/>
  </r>
  <r>
    <s v="HOSP-10499"/>
    <s v="Rohan Nair"/>
    <n v="35"/>
    <s v="Male"/>
    <s v="Hyderabad"/>
    <s v="Oncology"/>
    <s v="Dr.Vinod Raina"/>
    <d v="2025-09-04T00:00:00"/>
    <d v="2025-12-23T00:00:00"/>
    <s v="Breast Carcinoma"/>
    <s v="Chemotherapy &amp; Lumpectomy"/>
    <n v="308766.90999999997"/>
    <s v="Icici Lombard"/>
    <s v="Partially Paid"/>
    <x v="1"/>
  </r>
  <r>
    <s v="Unknown"/>
    <s v="Ananya Patel"/>
    <n v="2"/>
    <s v="Female"/>
    <s v="Ahmedabad"/>
    <s v="Unknown"/>
    <s v="Dr.Govind Makharia"/>
    <d v="2025-08-09T00:00:00"/>
    <d v="2025-08-20T00:00:00"/>
    <s v="Acute Pancreatitis"/>
    <s v="Conservative Management"/>
    <n v="99999999"/>
    <s v="Care Health"/>
    <s v="Claim Processing"/>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21733-6493-45D4-95CD-0DA866F88D63}"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9:F28" firstHeaderRow="1" firstDataRow="1" firstDataCol="1"/>
  <pivotFields count="15">
    <pivotField axis="axisRow" showAll="0">
      <items count="371">
        <item x="0"/>
        <item x="1"/>
        <item x="3"/>
        <item x="4"/>
        <item x="5"/>
        <item x="6"/>
        <item x="7"/>
        <item x="8"/>
        <item x="10"/>
        <item x="12"/>
        <item x="13"/>
        <item x="14"/>
        <item x="15"/>
        <item x="16"/>
        <item x="17"/>
        <item x="18"/>
        <item x="19"/>
        <item x="20"/>
        <item x="21"/>
        <item x="22"/>
        <item x="23"/>
        <item x="24"/>
        <item x="25"/>
        <item x="26"/>
        <item x="27"/>
        <item x="28"/>
        <item x="29"/>
        <item x="30"/>
        <item x="31"/>
        <item x="34"/>
        <item x="35"/>
        <item x="36"/>
        <item x="37"/>
        <item x="38"/>
        <item x="39"/>
        <item x="40"/>
        <item x="4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4"/>
        <item x="115"/>
        <item x="116"/>
        <item x="117"/>
        <item x="118"/>
        <item x="120"/>
        <item x="121"/>
        <item x="123"/>
        <item x="124"/>
        <item x="125"/>
        <item x="126"/>
        <item x="127"/>
        <item x="128"/>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9"/>
        <item x="180"/>
        <item x="181"/>
        <item x="182"/>
        <item x="183"/>
        <item x="184"/>
        <item x="185"/>
        <item x="186"/>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5"/>
        <item x="297"/>
        <item x="298"/>
        <item x="299"/>
        <item x="300"/>
        <item x="301"/>
        <item x="302"/>
        <item x="303"/>
        <item x="304"/>
        <item x="305"/>
        <item x="306"/>
        <item x="307"/>
        <item x="308"/>
        <item x="309"/>
        <item x="310"/>
        <item x="311"/>
        <item x="312"/>
        <item x="313"/>
        <item x="314"/>
        <item x="316"/>
        <item x="317"/>
        <item x="318"/>
        <item x="319"/>
        <item x="320"/>
        <item x="321"/>
        <item x="322"/>
        <item x="323"/>
        <item x="324"/>
        <item x="325"/>
        <item x="326"/>
        <item x="327"/>
        <item x="329"/>
        <item x="330"/>
        <item x="331"/>
        <item x="332"/>
        <item x="333"/>
        <item x="334"/>
        <item x="335"/>
        <item x="336"/>
        <item x="337"/>
        <item x="338"/>
        <item x="339"/>
        <item x="340"/>
        <item x="341"/>
        <item x="342"/>
        <item x="343"/>
        <item x="344"/>
        <item x="345"/>
        <item x="346"/>
        <item x="348"/>
        <item x="349"/>
        <item x="350"/>
        <item x="351"/>
        <item x="352"/>
        <item x="353"/>
        <item x="354"/>
        <item x="355"/>
        <item x="356"/>
        <item x="357"/>
        <item x="358"/>
        <item x="359"/>
        <item x="360"/>
        <item x="361"/>
        <item x="362"/>
        <item x="364"/>
        <item x="365"/>
        <item x="366"/>
        <item x="367"/>
        <item x="368"/>
        <item x="369"/>
        <item x="245"/>
        <item x="42"/>
        <item x="33"/>
        <item x="296"/>
        <item x="113"/>
        <item x="129"/>
        <item x="119"/>
        <item x="122"/>
        <item x="11"/>
        <item x="173"/>
        <item x="32"/>
        <item x="363"/>
        <item x="2"/>
        <item x="187"/>
        <item x="328"/>
        <item x="315"/>
        <item x="294"/>
        <item x="347"/>
        <item x="9"/>
        <item t="default"/>
      </items>
    </pivotField>
    <pivotField showAll="0"/>
    <pivotField dataField="1" showAll="0"/>
    <pivotField showAll="0"/>
    <pivotField showAll="0"/>
    <pivotField axis="axisRow" showAll="0">
      <items count="9">
        <item sd="0" x="4"/>
        <item sd="0" x="5"/>
        <item sd="0" x="1"/>
        <item sd="0" x="2"/>
        <item sd="0" x="0"/>
        <item sd="0" x="6"/>
        <item sd="0" x="3"/>
        <item sd="0" x="7"/>
        <item t="default" sd="0"/>
      </items>
    </pivotField>
    <pivotField showAll="0"/>
    <pivotField numFmtId="14" showAll="0"/>
    <pivotField numFmtId="14" showAll="0"/>
    <pivotField showAll="0"/>
    <pivotField showAll="0"/>
    <pivotField showAll="0"/>
    <pivotField showAll="0"/>
    <pivotField showAll="0"/>
    <pivotField showAll="0"/>
  </pivotFields>
  <rowFields count="2">
    <field x="5"/>
    <field x="0"/>
  </rowFields>
  <rowItems count="9">
    <i>
      <x/>
    </i>
    <i>
      <x v="1"/>
    </i>
    <i>
      <x v="2"/>
    </i>
    <i>
      <x v="3"/>
    </i>
    <i>
      <x v="4"/>
    </i>
    <i>
      <x v="5"/>
    </i>
    <i>
      <x v="6"/>
    </i>
    <i>
      <x v="7"/>
    </i>
    <i t="grand">
      <x/>
    </i>
  </rowItems>
  <colItems count="1">
    <i/>
  </colItems>
  <dataFields count="1">
    <dataField name="Sum of Age.1" fld="2" baseField="0" baseItem="0"/>
  </dataFields>
  <chartFormats count="2">
    <chartFormat chart="3"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133A96-2CCE-4F06-B309-CA0B4A3496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octor">
  <location ref="L4:M27" firstHeaderRow="1" firstDataRow="1" firstDataCol="1"/>
  <pivotFields count="15">
    <pivotField dataField="1" showAll="0"/>
    <pivotField showAll="0">
      <items count="218">
        <item x="44"/>
        <item x="109"/>
        <item x="195"/>
        <item x="119"/>
        <item x="152"/>
        <item x="167"/>
        <item x="111"/>
        <item x="114"/>
        <item x="59"/>
        <item x="190"/>
        <item x="168"/>
        <item x="133"/>
        <item x="100"/>
        <item x="132"/>
        <item x="186"/>
        <item x="130"/>
        <item x="149"/>
        <item x="183"/>
        <item x="120"/>
        <item x="72"/>
        <item x="199"/>
        <item x="142"/>
        <item x="85"/>
        <item x="50"/>
        <item x="214"/>
        <item x="204"/>
        <item x="140"/>
        <item x="12"/>
        <item x="3"/>
        <item x="161"/>
        <item x="97"/>
        <item x="70"/>
        <item x="92"/>
        <item x="104"/>
        <item x="216"/>
        <item x="38"/>
        <item x="123"/>
        <item x="213"/>
        <item x="16"/>
        <item x="143"/>
        <item x="154"/>
        <item x="162"/>
        <item x="139"/>
        <item x="125"/>
        <item x="87"/>
        <item x="160"/>
        <item x="165"/>
        <item x="153"/>
        <item x="118"/>
        <item x="71"/>
        <item x="27"/>
        <item x="193"/>
        <item x="127"/>
        <item x="46"/>
        <item x="10"/>
        <item x="62"/>
        <item x="156"/>
        <item x="54"/>
        <item x="67"/>
        <item x="141"/>
        <item x="102"/>
        <item x="68"/>
        <item x="203"/>
        <item x="33"/>
        <item x="173"/>
        <item x="117"/>
        <item x="64"/>
        <item x="126"/>
        <item x="159"/>
        <item x="158"/>
        <item x="15"/>
        <item x="112"/>
        <item x="135"/>
        <item x="76"/>
        <item x="170"/>
        <item x="174"/>
        <item x="88"/>
        <item x="108"/>
        <item x="31"/>
        <item x="103"/>
        <item x="9"/>
        <item x="176"/>
        <item x="22"/>
        <item x="49"/>
        <item x="74"/>
        <item x="83"/>
        <item x="61"/>
        <item x="94"/>
        <item x="106"/>
        <item x="148"/>
        <item x="93"/>
        <item x="99"/>
        <item x="90"/>
        <item x="20"/>
        <item x="78"/>
        <item x="37"/>
        <item x="32"/>
        <item x="13"/>
        <item x="207"/>
        <item x="75"/>
        <item x="175"/>
        <item x="192"/>
        <item x="5"/>
        <item x="178"/>
        <item x="8"/>
        <item x="128"/>
        <item x="28"/>
        <item x="48"/>
        <item x="36"/>
        <item x="11"/>
        <item x="191"/>
        <item x="147"/>
        <item x="7"/>
        <item x="96"/>
        <item x="121"/>
        <item x="30"/>
        <item x="210"/>
        <item x="2"/>
        <item x="40"/>
        <item x="1"/>
        <item x="131"/>
        <item x="57"/>
        <item x="169"/>
        <item x="201"/>
        <item x="129"/>
        <item x="63"/>
        <item x="164"/>
        <item x="95"/>
        <item x="157"/>
        <item x="69"/>
        <item x="79"/>
        <item x="116"/>
        <item x="115"/>
        <item x="4"/>
        <item x="47"/>
        <item x="65"/>
        <item x="51"/>
        <item x="182"/>
        <item x="29"/>
        <item x="180"/>
        <item x="58"/>
        <item x="80"/>
        <item x="91"/>
        <item x="136"/>
        <item x="163"/>
        <item x="25"/>
        <item x="89"/>
        <item x="198"/>
        <item x="172"/>
        <item x="35"/>
        <item x="52"/>
        <item x="145"/>
        <item x="110"/>
        <item x="171"/>
        <item x="66"/>
        <item x="19"/>
        <item x="202"/>
        <item x="98"/>
        <item x="107"/>
        <item x="39"/>
        <item x="60"/>
        <item x="194"/>
        <item x="188"/>
        <item x="56"/>
        <item x="6"/>
        <item x="24"/>
        <item x="185"/>
        <item x="26"/>
        <item x="0"/>
        <item x="151"/>
        <item x="209"/>
        <item x="101"/>
        <item x="212"/>
        <item x="215"/>
        <item x="41"/>
        <item x="84"/>
        <item x="113"/>
        <item x="105"/>
        <item x="166"/>
        <item x="23"/>
        <item x="45"/>
        <item x="17"/>
        <item x="177"/>
        <item x="184"/>
        <item x="34"/>
        <item x="200"/>
        <item x="208"/>
        <item x="42"/>
        <item x="189"/>
        <item x="150"/>
        <item x="196"/>
        <item x="21"/>
        <item x="124"/>
        <item x="53"/>
        <item x="155"/>
        <item x="187"/>
        <item x="55"/>
        <item x="181"/>
        <item x="43"/>
        <item x="137"/>
        <item x="73"/>
        <item x="138"/>
        <item x="134"/>
        <item x="197"/>
        <item x="82"/>
        <item x="211"/>
        <item x="77"/>
        <item x="179"/>
        <item x="146"/>
        <item x="206"/>
        <item x="144"/>
        <item x="14"/>
        <item x="81"/>
        <item x="18"/>
        <item x="86"/>
        <item x="205"/>
        <item x="122"/>
        <item t="default"/>
      </items>
    </pivotField>
    <pivotField showAll="0"/>
    <pivotField showAll="0"/>
    <pivotField showAll="0"/>
    <pivotField showAll="0"/>
    <pivotField axis="axisRow" showAll="0">
      <items count="23">
        <item x="1"/>
        <item x="3"/>
        <item x="15"/>
        <item x="16"/>
        <item x="6"/>
        <item x="21"/>
        <item x="17"/>
        <item x="18"/>
        <item x="20"/>
        <item x="14"/>
        <item x="10"/>
        <item x="2"/>
        <item x="5"/>
        <item x="13"/>
        <item x="7"/>
        <item x="11"/>
        <item x="9"/>
        <item x="0"/>
        <item x="19"/>
        <item x="4"/>
        <item x="12"/>
        <item x="8"/>
        <item t="default"/>
      </items>
    </pivotField>
    <pivotField numFmtId="14" showAll="0"/>
    <pivotField numFmtId="14" showAll="0"/>
    <pivotField showAll="0"/>
    <pivotField showAll="0"/>
    <pivotField showAll="0"/>
    <pivotField showAll="0"/>
    <pivotField showAll="0">
      <items count="9">
        <item h="1" x="4"/>
        <item h="1" x="5"/>
        <item h="1" x="0"/>
        <item x="3"/>
        <item h="1" x="1"/>
        <item h="1" x="2"/>
        <item h="1" x="6"/>
        <item h="1" x="7"/>
        <item t="default"/>
      </items>
    </pivotField>
    <pivotField showAll="0"/>
  </pivotFields>
  <rowFields count="1">
    <field x="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Patient" fld="0" subtotal="count" baseField="6"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F11F8-4E1E-425B-8781-76FF57C83CA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B28" firstHeaderRow="1" firstDataRow="1" firstDataCol="1"/>
  <pivotFields count="15">
    <pivotField dataField="1"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axis="axisRow" showAll="0">
      <items count="9">
        <item x="1"/>
        <item x="6"/>
        <item x="0"/>
        <item x="3"/>
        <item x="4"/>
        <item x="7"/>
        <item x="5"/>
        <item x="2"/>
        <item t="default"/>
      </items>
    </pivotField>
  </pivotFields>
  <rowFields count="1">
    <field x="14"/>
  </rowFields>
  <rowItems count="9">
    <i>
      <x/>
    </i>
    <i>
      <x v="1"/>
    </i>
    <i>
      <x v="2"/>
    </i>
    <i>
      <x v="3"/>
    </i>
    <i>
      <x v="4"/>
    </i>
    <i>
      <x v="5"/>
    </i>
    <i>
      <x v="6"/>
    </i>
    <i>
      <x v="7"/>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E982D9-C1ED-4F37-A04C-348D84029DF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
  <location ref="E4:F8" firstHeaderRow="1" firstDataRow="1" firstDataCol="1"/>
  <pivotFields count="15">
    <pivotField showAll="0"/>
    <pivotField showAll="0"/>
    <pivotField showAll="0"/>
    <pivotField axis="axisRow" showAll="0" sortType="ascending">
      <items count="4">
        <item x="0"/>
        <item x="1"/>
        <item x="2"/>
        <item t="default"/>
      </items>
    </pivotField>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3"/>
  </rowFields>
  <rowItems count="4">
    <i>
      <x/>
    </i>
    <i>
      <x v="1"/>
    </i>
    <i>
      <x v="2"/>
    </i>
    <i t="grand">
      <x/>
    </i>
  </rowItems>
  <colItems count="1">
    <i/>
  </colItems>
  <dataFields count="1">
    <dataField name="Sum of Bill_Amount" fld="11"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AECA4-E13B-4730-A8EE-2A901F4B44E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Payment Status">
  <location ref="P4:Q6" firstHeaderRow="1" firstDataRow="1" firstDataCol="1"/>
  <pivotFields count="15">
    <pivotField showAll="0"/>
    <pivotField dataField="1" showAll="0">
      <items count="218">
        <item x="44"/>
        <item x="109"/>
        <item x="195"/>
        <item x="119"/>
        <item x="152"/>
        <item x="167"/>
        <item x="111"/>
        <item x="114"/>
        <item x="59"/>
        <item x="190"/>
        <item x="168"/>
        <item x="133"/>
        <item x="100"/>
        <item x="132"/>
        <item x="186"/>
        <item x="130"/>
        <item x="149"/>
        <item x="183"/>
        <item x="120"/>
        <item x="72"/>
        <item x="199"/>
        <item x="142"/>
        <item x="85"/>
        <item x="50"/>
        <item x="214"/>
        <item x="204"/>
        <item x="140"/>
        <item x="12"/>
        <item x="3"/>
        <item x="161"/>
        <item x="97"/>
        <item x="70"/>
        <item x="92"/>
        <item x="104"/>
        <item x="216"/>
        <item x="38"/>
        <item x="123"/>
        <item x="213"/>
        <item x="16"/>
        <item x="143"/>
        <item x="154"/>
        <item x="162"/>
        <item x="139"/>
        <item x="125"/>
        <item x="87"/>
        <item x="160"/>
        <item x="165"/>
        <item x="153"/>
        <item x="118"/>
        <item x="71"/>
        <item x="27"/>
        <item x="193"/>
        <item x="127"/>
        <item x="46"/>
        <item x="10"/>
        <item x="62"/>
        <item x="156"/>
        <item x="54"/>
        <item x="67"/>
        <item x="141"/>
        <item x="102"/>
        <item x="68"/>
        <item x="203"/>
        <item x="33"/>
        <item x="173"/>
        <item x="117"/>
        <item x="64"/>
        <item x="126"/>
        <item x="159"/>
        <item x="158"/>
        <item x="15"/>
        <item x="112"/>
        <item x="135"/>
        <item x="76"/>
        <item x="170"/>
        <item x="174"/>
        <item x="88"/>
        <item x="108"/>
        <item x="31"/>
        <item x="103"/>
        <item x="9"/>
        <item x="176"/>
        <item x="22"/>
        <item x="49"/>
        <item x="74"/>
        <item x="83"/>
        <item x="61"/>
        <item x="94"/>
        <item x="106"/>
        <item x="148"/>
        <item x="93"/>
        <item x="99"/>
        <item x="90"/>
        <item x="20"/>
        <item x="78"/>
        <item x="37"/>
        <item x="32"/>
        <item x="13"/>
        <item x="207"/>
        <item x="75"/>
        <item x="175"/>
        <item x="192"/>
        <item x="5"/>
        <item x="178"/>
        <item x="8"/>
        <item x="128"/>
        <item x="28"/>
        <item x="48"/>
        <item x="36"/>
        <item x="11"/>
        <item x="191"/>
        <item x="147"/>
        <item x="7"/>
        <item x="96"/>
        <item x="121"/>
        <item x="30"/>
        <item x="210"/>
        <item x="2"/>
        <item x="40"/>
        <item x="1"/>
        <item x="131"/>
        <item x="57"/>
        <item x="169"/>
        <item x="201"/>
        <item x="129"/>
        <item x="63"/>
        <item x="164"/>
        <item x="95"/>
        <item x="157"/>
        <item x="69"/>
        <item x="79"/>
        <item x="116"/>
        <item x="115"/>
        <item x="4"/>
        <item x="47"/>
        <item x="65"/>
        <item x="51"/>
        <item x="182"/>
        <item x="29"/>
        <item x="180"/>
        <item x="58"/>
        <item x="80"/>
        <item x="91"/>
        <item x="136"/>
        <item x="163"/>
        <item x="25"/>
        <item x="89"/>
        <item x="198"/>
        <item x="172"/>
        <item x="35"/>
        <item x="52"/>
        <item x="145"/>
        <item x="110"/>
        <item x="171"/>
        <item x="66"/>
        <item x="19"/>
        <item x="202"/>
        <item x="98"/>
        <item x="107"/>
        <item x="39"/>
        <item x="60"/>
        <item x="194"/>
        <item x="188"/>
        <item x="56"/>
        <item x="6"/>
        <item x="24"/>
        <item x="185"/>
        <item x="26"/>
        <item x="0"/>
        <item x="151"/>
        <item x="209"/>
        <item x="101"/>
        <item x="212"/>
        <item x="215"/>
        <item x="41"/>
        <item x="84"/>
        <item x="113"/>
        <item x="105"/>
        <item x="166"/>
        <item x="23"/>
        <item x="45"/>
        <item x="17"/>
        <item x="177"/>
        <item x="184"/>
        <item x="34"/>
        <item x="200"/>
        <item x="208"/>
        <item x="42"/>
        <item x="189"/>
        <item x="150"/>
        <item x="196"/>
        <item x="21"/>
        <item x="124"/>
        <item x="53"/>
        <item x="155"/>
        <item x="187"/>
        <item x="55"/>
        <item x="181"/>
        <item x="43"/>
        <item x="137"/>
        <item x="73"/>
        <item x="138"/>
        <item x="134"/>
        <item x="197"/>
        <item x="82"/>
        <item x="211"/>
        <item x="77"/>
        <item x="179"/>
        <item x="146"/>
        <item x="206"/>
        <item x="144"/>
        <item x="14"/>
        <item x="81"/>
        <item x="18"/>
        <item x="86"/>
        <item x="205"/>
        <item x="122"/>
        <item t="default"/>
      </items>
    </pivotField>
    <pivotField showAll="0"/>
    <pivotField showAll="0"/>
    <pivotField showAll="0"/>
    <pivotField showAll="0">
      <items count="9">
        <item h="1" x="4"/>
        <item h="1" x="5"/>
        <item h="1" x="1"/>
        <item h="1" x="2"/>
        <item x="0"/>
        <item h="1" x="6"/>
        <item h="1" x="3"/>
        <item h="1" x="7"/>
        <item t="default"/>
      </items>
    </pivotField>
    <pivotField showAll="0"/>
    <pivotField numFmtId="14" showAll="0"/>
    <pivotField numFmtId="14" showAll="0"/>
    <pivotField showAll="0"/>
    <pivotField showAll="0"/>
    <pivotField showAll="0"/>
    <pivotField showAll="0"/>
    <pivotField axis="axisRow" showAll="0">
      <items count="9">
        <item h="1" x="4"/>
        <item h="1" x="5"/>
        <item h="1" x="0"/>
        <item x="3"/>
        <item h="1" x="1"/>
        <item h="1" x="2"/>
        <item h="1" x="6"/>
        <item h="1" x="7"/>
        <item t="default"/>
      </items>
    </pivotField>
    <pivotField showAll="0"/>
  </pivotFields>
  <rowFields count="1">
    <field x="13"/>
  </rowFields>
  <rowItems count="2">
    <i>
      <x v="3"/>
    </i>
    <i t="grand">
      <x/>
    </i>
  </rowItems>
  <colItems count="1">
    <i/>
  </colItems>
  <dataFields count="1">
    <dataField name="Count of Patient" fld="1"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A1C06-339F-4C00-8B01-357F467C41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
  <location ref="A4:B13" firstHeaderRow="1" firstDataRow="1" firstDataCol="1"/>
  <pivotFields count="15">
    <pivotField dataField="1" showAll="0"/>
    <pivotField showAll="0">
      <items count="218">
        <item x="44"/>
        <item x="109"/>
        <item x="195"/>
        <item x="119"/>
        <item x="152"/>
        <item x="167"/>
        <item x="111"/>
        <item x="114"/>
        <item x="59"/>
        <item x="190"/>
        <item x="168"/>
        <item x="133"/>
        <item x="100"/>
        <item x="132"/>
        <item x="186"/>
        <item x="130"/>
        <item x="149"/>
        <item x="183"/>
        <item x="120"/>
        <item x="72"/>
        <item x="199"/>
        <item x="142"/>
        <item x="85"/>
        <item x="50"/>
        <item x="214"/>
        <item x="204"/>
        <item x="140"/>
        <item x="12"/>
        <item x="3"/>
        <item x="161"/>
        <item x="97"/>
        <item x="70"/>
        <item x="92"/>
        <item x="104"/>
        <item x="216"/>
        <item x="38"/>
        <item x="123"/>
        <item x="213"/>
        <item x="16"/>
        <item x="143"/>
        <item x="154"/>
        <item x="162"/>
        <item x="139"/>
        <item x="125"/>
        <item x="87"/>
        <item x="160"/>
        <item x="165"/>
        <item x="153"/>
        <item x="118"/>
        <item x="71"/>
        <item x="27"/>
        <item x="193"/>
        <item x="127"/>
        <item x="46"/>
        <item x="10"/>
        <item x="62"/>
        <item x="156"/>
        <item x="54"/>
        <item x="67"/>
        <item x="141"/>
        <item x="102"/>
        <item x="68"/>
        <item x="203"/>
        <item x="33"/>
        <item x="173"/>
        <item x="117"/>
        <item x="64"/>
        <item x="126"/>
        <item x="159"/>
        <item x="158"/>
        <item x="15"/>
        <item x="112"/>
        <item x="135"/>
        <item x="76"/>
        <item x="170"/>
        <item x="174"/>
        <item x="88"/>
        <item x="108"/>
        <item x="31"/>
        <item x="103"/>
        <item x="9"/>
        <item x="176"/>
        <item x="22"/>
        <item x="49"/>
        <item x="74"/>
        <item x="83"/>
        <item x="61"/>
        <item x="94"/>
        <item x="106"/>
        <item x="148"/>
        <item x="93"/>
        <item x="99"/>
        <item x="90"/>
        <item x="20"/>
        <item x="78"/>
        <item x="37"/>
        <item x="32"/>
        <item x="13"/>
        <item x="207"/>
        <item x="75"/>
        <item x="175"/>
        <item x="192"/>
        <item x="5"/>
        <item x="178"/>
        <item x="8"/>
        <item x="128"/>
        <item x="28"/>
        <item x="48"/>
        <item x="36"/>
        <item x="11"/>
        <item x="191"/>
        <item x="147"/>
        <item x="7"/>
        <item x="96"/>
        <item x="121"/>
        <item x="30"/>
        <item x="210"/>
        <item x="2"/>
        <item x="40"/>
        <item x="1"/>
        <item x="131"/>
        <item x="57"/>
        <item x="169"/>
        <item x="201"/>
        <item x="129"/>
        <item x="63"/>
        <item x="164"/>
        <item x="95"/>
        <item x="157"/>
        <item x="69"/>
        <item x="79"/>
        <item x="116"/>
        <item x="115"/>
        <item x="4"/>
        <item x="47"/>
        <item x="65"/>
        <item x="51"/>
        <item x="182"/>
        <item x="29"/>
        <item x="180"/>
        <item x="58"/>
        <item x="80"/>
        <item x="91"/>
        <item x="136"/>
        <item x="163"/>
        <item x="25"/>
        <item x="89"/>
        <item x="198"/>
        <item x="172"/>
        <item x="35"/>
        <item x="52"/>
        <item x="145"/>
        <item x="110"/>
        <item x="171"/>
        <item x="66"/>
        <item x="19"/>
        <item x="202"/>
        <item x="98"/>
        <item x="107"/>
        <item x="39"/>
        <item x="60"/>
        <item x="194"/>
        <item x="188"/>
        <item x="56"/>
        <item x="6"/>
        <item x="24"/>
        <item x="185"/>
        <item x="26"/>
        <item x="0"/>
        <item x="151"/>
        <item x="209"/>
        <item x="101"/>
        <item x="212"/>
        <item x="215"/>
        <item x="41"/>
        <item x="84"/>
        <item x="113"/>
        <item x="105"/>
        <item x="166"/>
        <item x="23"/>
        <item x="45"/>
        <item x="17"/>
        <item x="177"/>
        <item x="184"/>
        <item x="34"/>
        <item x="200"/>
        <item x="208"/>
        <item x="42"/>
        <item x="189"/>
        <item x="150"/>
        <item x="196"/>
        <item x="21"/>
        <item x="124"/>
        <item x="53"/>
        <item x="155"/>
        <item x="187"/>
        <item x="55"/>
        <item x="181"/>
        <item x="43"/>
        <item x="137"/>
        <item x="73"/>
        <item x="138"/>
        <item x="134"/>
        <item x="197"/>
        <item x="82"/>
        <item x="211"/>
        <item x="77"/>
        <item x="179"/>
        <item x="146"/>
        <item x="206"/>
        <item x="144"/>
        <item x="14"/>
        <item x="81"/>
        <item x="18"/>
        <item x="86"/>
        <item x="205"/>
        <item x="122"/>
        <item t="default"/>
      </items>
    </pivotField>
    <pivotField showAll="0"/>
    <pivotField showAll="0"/>
    <pivotField showAll="0"/>
    <pivotField axis="axisRow" showAll="0">
      <items count="9">
        <item x="4"/>
        <item x="5"/>
        <item x="1"/>
        <item x="2"/>
        <item x="0"/>
        <item x="6"/>
        <item x="3"/>
        <item x="7"/>
        <item t="default"/>
      </items>
    </pivotField>
    <pivotField showAll="0">
      <items count="23">
        <item x="1"/>
        <item x="3"/>
        <item x="15"/>
        <item x="16"/>
        <item x="6"/>
        <item x="21"/>
        <item x="17"/>
        <item x="18"/>
        <item x="20"/>
        <item x="14"/>
        <item x="10"/>
        <item x="2"/>
        <item x="5"/>
        <item x="13"/>
        <item x="7"/>
        <item x="11"/>
        <item x="9"/>
        <item x="0"/>
        <item x="19"/>
        <item x="4"/>
        <item x="12"/>
        <item x="8"/>
        <item t="default"/>
      </items>
    </pivotField>
    <pivotField numFmtId="14" showAll="0"/>
    <pivotField numFmtId="14" showAll="0"/>
    <pivotField showAll="0"/>
    <pivotField showAll="0"/>
    <pivotField showAll="0"/>
    <pivotField showAll="0"/>
    <pivotField showAll="0">
      <items count="9">
        <item x="4"/>
        <item x="5"/>
        <item x="0"/>
        <item x="3"/>
        <item x="1"/>
        <item x="2"/>
        <item x="6"/>
        <item x="7"/>
        <item t="default"/>
      </items>
    </pivotField>
    <pivotField showAll="0"/>
  </pivotFields>
  <rowFields count="1">
    <field x="5"/>
  </rowFields>
  <rowItems count="9">
    <i>
      <x/>
    </i>
    <i>
      <x v="1"/>
    </i>
    <i>
      <x v="2"/>
    </i>
    <i>
      <x v="3"/>
    </i>
    <i>
      <x v="4"/>
    </i>
    <i>
      <x v="5"/>
    </i>
    <i>
      <x v="6"/>
    </i>
    <i>
      <x v="7"/>
    </i>
    <i t="grand">
      <x/>
    </i>
  </rowItems>
  <colItems count="1">
    <i/>
  </colItems>
  <dataFields count="1">
    <dataField name="Count of Patient" fld="0" subtotal="count" baseField="5"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B486D7-A381-4601-897B-49CA04546C2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I13" firstHeaderRow="1" firstDataRow="1" firstDataCol="1"/>
  <pivotFields count="15">
    <pivotField showAll="0"/>
    <pivotField showAll="0"/>
    <pivotField showAll="0"/>
    <pivotField showAll="0"/>
    <pivotField showAll="0"/>
    <pivotField axis="axisRow" showAll="0">
      <items count="9">
        <item x="4"/>
        <item x="5"/>
        <item x="1"/>
        <item x="2"/>
        <item x="0"/>
        <item x="6"/>
        <item x="3"/>
        <item x="7"/>
        <item t="default"/>
      </items>
    </pivotField>
    <pivotField showAll="0"/>
    <pivotField numFmtId="14" showAll="0"/>
    <pivotField numFmtId="14" showAll="0"/>
    <pivotField showAll="0"/>
    <pivotField showAll="0"/>
    <pivotField dataField="1"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Sum of Bill_Amount" fld="1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37C5B9-F5E7-4FA1-B65A-E224CF795A05}" autoFormatId="16" applyNumberFormats="0" applyBorderFormats="0" applyFontFormats="0" applyPatternFormats="0" applyAlignmentFormats="0" applyWidthHeightFormats="0">
  <queryTableRefresh nextId="16">
    <queryTableFields count="15">
      <queryTableField id="1" name="Patient_ID" tableColumnId="1"/>
      <queryTableField id="2" name="Patient_Name" tableColumnId="2"/>
      <queryTableField id="3" name="Age.1" tableColumnId="3"/>
      <queryTableField id="4" name="Gender" tableColumnId="4"/>
      <queryTableField id="5" name="City" tableColumnId="5"/>
      <queryTableField id="6" name="Department" tableColumnId="6"/>
      <queryTableField id="7" name="Doctor" tableColumnId="7"/>
      <queryTableField id="8" name="Admission_Date" tableColumnId="8"/>
      <queryTableField id="9" name="Discharge_Date" tableColumnId="9"/>
      <queryTableField id="10" name="Diagnosis" tableColumnId="10"/>
      <queryTableField id="11" name="Treatment" tableColumnId="11"/>
      <queryTableField id="12" name="Bill_Amount" tableColumnId="12"/>
      <queryTableField id="13" name="Insurance" tableColumnId="13"/>
      <queryTableField id="14" name="Payment_Status" tableColumnId="14"/>
      <queryTableField id="15" name="Patient_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Name" xr10:uid="{2F997332-E986-411F-8BB4-A92F5416E339}" sourceName="Patient_Name">
  <pivotTables>
    <pivotTable tabId="3" name="PivotTable1"/>
    <pivotTable tabId="3" name="PivotTable3"/>
    <pivotTable tabId="3" name="PivotTable4"/>
  </pivotTables>
  <data>
    <tabular pivotCacheId="671415299">
      <items count="217">
        <i x="44" s="1"/>
        <i x="109" s="1"/>
        <i x="195" s="1"/>
        <i x="119" s="1"/>
        <i x="152" s="1"/>
        <i x="167" s="1"/>
        <i x="111" s="1"/>
        <i x="114" s="1"/>
        <i x="59" s="1"/>
        <i x="190" s="1"/>
        <i x="168" s="1"/>
        <i x="133" s="1"/>
        <i x="100" s="1"/>
        <i x="132" s="1"/>
        <i x="186" s="1"/>
        <i x="130" s="1"/>
        <i x="149" s="1"/>
        <i x="183" s="1"/>
        <i x="120" s="1"/>
        <i x="72" s="1"/>
        <i x="199" s="1"/>
        <i x="142" s="1"/>
        <i x="85" s="1"/>
        <i x="50" s="1"/>
        <i x="214" s="1"/>
        <i x="204" s="1"/>
        <i x="140" s="1"/>
        <i x="12" s="1"/>
        <i x="3" s="1"/>
        <i x="161" s="1"/>
        <i x="97" s="1"/>
        <i x="70" s="1"/>
        <i x="92" s="1"/>
        <i x="104" s="1"/>
        <i x="216" s="1"/>
        <i x="38" s="1"/>
        <i x="123" s="1"/>
        <i x="213" s="1"/>
        <i x="16" s="1"/>
        <i x="143" s="1"/>
        <i x="154" s="1"/>
        <i x="162" s="1"/>
        <i x="139" s="1"/>
        <i x="125" s="1"/>
        <i x="87" s="1"/>
        <i x="160" s="1"/>
        <i x="165" s="1"/>
        <i x="153" s="1"/>
        <i x="118" s="1"/>
        <i x="71" s="1"/>
        <i x="27" s="1"/>
        <i x="193" s="1"/>
        <i x="127" s="1"/>
        <i x="46" s="1"/>
        <i x="10" s="1"/>
        <i x="62" s="1"/>
        <i x="156" s="1"/>
        <i x="54" s="1"/>
        <i x="67" s="1"/>
        <i x="141" s="1"/>
        <i x="102" s="1"/>
        <i x="68" s="1"/>
        <i x="203" s="1"/>
        <i x="33" s="1"/>
        <i x="173" s="1"/>
        <i x="117" s="1"/>
        <i x="64" s="1"/>
        <i x="126" s="1"/>
        <i x="159" s="1"/>
        <i x="158" s="1"/>
        <i x="15" s="1"/>
        <i x="112" s="1"/>
        <i x="135" s="1"/>
        <i x="76" s="1"/>
        <i x="170" s="1"/>
        <i x="174" s="1"/>
        <i x="88" s="1"/>
        <i x="108" s="1"/>
        <i x="31" s="1"/>
        <i x="103" s="1"/>
        <i x="9" s="1"/>
        <i x="176" s="1"/>
        <i x="22" s="1"/>
        <i x="49" s="1"/>
        <i x="74" s="1"/>
        <i x="83" s="1"/>
        <i x="61" s="1"/>
        <i x="94" s="1"/>
        <i x="106" s="1"/>
        <i x="148" s="1"/>
        <i x="93" s="1"/>
        <i x="99" s="1"/>
        <i x="90" s="1"/>
        <i x="20" s="1"/>
        <i x="78" s="1"/>
        <i x="37" s="1"/>
        <i x="32" s="1"/>
        <i x="13" s="1"/>
        <i x="207" s="1"/>
        <i x="75" s="1"/>
        <i x="175" s="1"/>
        <i x="192" s="1"/>
        <i x="5" s="1"/>
        <i x="178" s="1"/>
        <i x="8" s="1"/>
        <i x="128" s="1"/>
        <i x="28" s="1"/>
        <i x="48" s="1"/>
        <i x="36" s="1"/>
        <i x="11" s="1"/>
        <i x="191" s="1"/>
        <i x="147" s="1"/>
        <i x="7" s="1"/>
        <i x="96" s="1"/>
        <i x="121" s="1"/>
        <i x="30" s="1"/>
        <i x="210" s="1"/>
        <i x="2" s="1"/>
        <i x="40" s="1"/>
        <i x="1" s="1"/>
        <i x="131" s="1"/>
        <i x="57" s="1"/>
        <i x="169" s="1"/>
        <i x="201" s="1"/>
        <i x="129" s="1"/>
        <i x="63" s="1"/>
        <i x="164" s="1"/>
        <i x="95" s="1"/>
        <i x="157" s="1"/>
        <i x="69" s="1"/>
        <i x="79" s="1"/>
        <i x="116" s="1"/>
        <i x="115" s="1"/>
        <i x="4" s="1"/>
        <i x="47" s="1"/>
        <i x="65" s="1"/>
        <i x="51" s="1"/>
        <i x="182" s="1"/>
        <i x="29" s="1"/>
        <i x="180" s="1"/>
        <i x="58" s="1"/>
        <i x="80" s="1"/>
        <i x="91" s="1"/>
        <i x="136" s="1"/>
        <i x="163" s="1"/>
        <i x="25" s="1"/>
        <i x="89" s="1"/>
        <i x="198" s="1"/>
        <i x="172" s="1"/>
        <i x="35" s="1"/>
        <i x="52" s="1"/>
        <i x="145" s="1"/>
        <i x="110" s="1"/>
        <i x="171" s="1"/>
        <i x="66" s="1"/>
        <i x="19" s="1"/>
        <i x="202" s="1"/>
        <i x="98" s="1"/>
        <i x="107" s="1"/>
        <i x="39" s="1"/>
        <i x="60" s="1"/>
        <i x="194" s="1"/>
        <i x="188" s="1"/>
        <i x="56" s="1"/>
        <i x="6" s="1"/>
        <i x="24" s="1"/>
        <i x="185" s="1"/>
        <i x="26" s="1"/>
        <i x="0" s="1"/>
        <i x="151" s="1"/>
        <i x="209" s="1"/>
        <i x="101" s="1"/>
        <i x="212" s="1"/>
        <i x="215" s="1"/>
        <i x="41" s="1"/>
        <i x="84" s="1"/>
        <i x="113" s="1"/>
        <i x="105" s="1"/>
        <i x="166" s="1"/>
        <i x="23" s="1"/>
        <i x="45" s="1"/>
        <i x="17" s="1"/>
        <i x="177" s="1"/>
        <i x="184" s="1"/>
        <i x="34" s="1"/>
        <i x="200" s="1"/>
        <i x="208" s="1"/>
        <i x="42" s="1"/>
        <i x="189" s="1"/>
        <i x="150" s="1"/>
        <i x="196" s="1"/>
        <i x="21" s="1"/>
        <i x="124" s="1"/>
        <i x="53" s="1"/>
        <i x="155" s="1"/>
        <i x="187" s="1"/>
        <i x="55" s="1"/>
        <i x="181" s="1"/>
        <i x="43" s="1"/>
        <i x="137" s="1"/>
        <i x="73" s="1"/>
        <i x="138" s="1"/>
        <i x="134" s="1"/>
        <i x="197" s="1"/>
        <i x="82" s="1"/>
        <i x="211" s="1"/>
        <i x="77" s="1"/>
        <i x="179" s="1"/>
        <i x="146" s="1"/>
        <i x="206" s="1"/>
        <i x="144" s="1"/>
        <i x="14" s="1"/>
        <i x="81" s="1"/>
        <i x="18" s="1"/>
        <i x="86" s="1"/>
        <i x="205" s="1"/>
        <i x="1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C6840D-E522-4425-A239-2C17E5426C9C}" sourceName="Department">
  <pivotTables>
    <pivotTable tabId="3" name="PivotTable1"/>
  </pivotTables>
  <data>
    <tabular pivotCacheId="671415299">
      <items count="8">
        <i x="4" s="1"/>
        <i x="5" s="1"/>
        <i x="1" s="1"/>
        <i x="2" s="1"/>
        <i x="0" s="1"/>
        <i x="6"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6BFDCA7E-2722-4628-A9BA-E070486F766D}" sourceName="Doctor">
  <pivotTables>
    <pivotTable tabId="3" name="PivotTable1"/>
  </pivotTables>
  <data>
    <tabular pivotCacheId="671415299">
      <items count="22">
        <i x="1" s="1"/>
        <i x="3" s="1"/>
        <i x="15" s="1"/>
        <i x="16" s="1"/>
        <i x="6" s="1"/>
        <i x="21" s="1"/>
        <i x="17" s="1"/>
        <i x="18" s="1"/>
        <i x="20" s="1"/>
        <i x="14" s="1"/>
        <i x="10" s="1"/>
        <i x="2" s="1"/>
        <i x="5" s="1"/>
        <i x="13" s="1"/>
        <i x="7" s="1"/>
        <i x="11" s="1"/>
        <i x="9" s="1"/>
        <i x="0" s="1"/>
        <i x="19" s="1"/>
        <i x="4" s="1"/>
        <i x="1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F3BCDF4D-D68A-4218-8BE6-13DBF1FF19E0}" sourceName="Payment_Status">
  <pivotTables>
    <pivotTable tabId="3" name="PivotTable1"/>
  </pivotTables>
  <data>
    <tabular pivotCacheId="671415299">
      <items count="8">
        <i x="4" s="1"/>
        <i x="5" s="1"/>
        <i x="0" s="1"/>
        <i x="3" s="1"/>
        <i x="1" s="1"/>
        <i x="2"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Name" xr10:uid="{DD26EBA9-3185-4421-A6D8-E445C7C5B8C3}" cache="Slicer_Patient_Name" caption="Patient_Name" rowHeight="273050"/>
  <slicer name="Department" xr10:uid="{93568570-7AD6-4B38-B97D-5F5201B1F5D5}" cache="Slicer_Department" caption="Department" rowHeight="273050"/>
  <slicer name="Doctor" xr10:uid="{663EAD3F-4BDF-4221-A040-F1016E037794}" cache="Slicer_Doctor" caption="Doctor" rowHeight="273050"/>
  <slicer name="Payment_Status" xr10:uid="{AB348178-AE03-49FB-8F32-8BA583721B12}" cache="Slicer_Payment_Status" caption="Payment_Status" rowHeight="2730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65FFE3-1CB4-46A9-97A8-83056116F00E}" name="Table2" displayName="Table2" ref="A1:O501" totalsRowShown="0">
  <autoFilter ref="A1:O501" xr:uid="{5A65FFE3-1CB4-46A9-97A8-83056116F00E}"/>
  <tableColumns count="15">
    <tableColumn id="1" xr3:uid="{5EA2CD5C-844F-4E6A-AF6A-C474C8B917E9}" name="Patient_ID"/>
    <tableColumn id="2" xr3:uid="{3EA2C131-2BC0-4C83-8F19-F0BD9B03E459}" name="Patient_Name"/>
    <tableColumn id="3" xr3:uid="{ECBB9BFB-CE2D-4F21-A9F2-7915F8F7D343}" name="Age"/>
    <tableColumn id="4" xr3:uid="{FB4A54ED-B376-47BA-A9FB-38CB2F0DA859}" name="Gender"/>
    <tableColumn id="5" xr3:uid="{9A7A6DE7-8339-4052-96A0-AA0608934BE8}" name="City"/>
    <tableColumn id="6" xr3:uid="{179C7B7C-65CD-43B5-8286-0BD00B10B9BA}" name="Department"/>
    <tableColumn id="7" xr3:uid="{12C0BCC4-BA96-4743-973E-CC142C313CC7}" name="Doctor"/>
    <tableColumn id="8" xr3:uid="{3B461F92-105F-4256-B6C7-33925EC26555}" name="Admission_Date"/>
    <tableColumn id="9" xr3:uid="{8D7F8CDF-CE1E-4610-AFAE-7488E1612D5B}" name="Discharge_Date"/>
    <tableColumn id="10" xr3:uid="{155091AA-D940-408D-B591-565D66ECC749}" name="Diagnosis"/>
    <tableColumn id="11" xr3:uid="{4EA9C3DA-0649-4E9B-A0EE-B5EB2A43209F}" name="Treatment"/>
    <tableColumn id="12" xr3:uid="{A030A5A1-7964-4128-915B-D8F6D93FCB25}" name="Bill_Amount"/>
    <tableColumn id="13" xr3:uid="{D1AC3237-75E2-4720-8AFD-66F25F427B59}" name="Insurance"/>
    <tableColumn id="14" xr3:uid="{0970E653-9F9B-4428-AB99-23CAAAF7DBDA}" name="Payment_Status"/>
    <tableColumn id="15" xr3:uid="{5B863879-5F6D-4B2B-B17D-23306398E1CC}" name="Patient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DBEDF8-A4D7-46FC-9CB4-AE49504D1DD5}" name="Table2_1" displayName="Table2_1" ref="A1:O376" tableType="queryTable" totalsRowShown="0">
  <autoFilter ref="A1:O376" xr:uid="{C8DBEDF8-A4D7-46FC-9CB4-AE49504D1DD5}"/>
  <tableColumns count="15">
    <tableColumn id="1" xr3:uid="{E1905C0C-CD80-489A-8A53-9BAE1C5E6AF5}" uniqueName="1" name="Patient_ID" queryTableFieldId="1" dataDxfId="12"/>
    <tableColumn id="2" xr3:uid="{5942B356-21EC-441E-BABB-586ADEC448F6}" uniqueName="2" name="Patient_Name" queryTableFieldId="2" dataDxfId="11"/>
    <tableColumn id="3" xr3:uid="{312E5D1B-01D2-49C0-B982-5DA18435E1A2}" uniqueName="3" name="Age.1" queryTableFieldId="3"/>
    <tableColumn id="4" xr3:uid="{68998748-F4AD-41C5-959B-75C3DEBE270B}" uniqueName="4" name="Gender" queryTableFieldId="4" dataDxfId="10"/>
    <tableColumn id="5" xr3:uid="{B86D5AA1-D0FF-4277-BC37-CA0706B0FD71}" uniqueName="5" name="City" queryTableFieldId="5" dataDxfId="9"/>
    <tableColumn id="6" xr3:uid="{3A4F6E02-6784-47CD-B779-A91184A3988E}" uniqueName="6" name="Department" queryTableFieldId="6" dataDxfId="8"/>
    <tableColumn id="7" xr3:uid="{CC6AF2DA-1540-4EB4-A35E-EBD086C57183}" uniqueName="7" name="Doctor" queryTableFieldId="7" dataDxfId="7"/>
    <tableColumn id="8" xr3:uid="{55D045B7-7B30-4121-8D83-853924EFDB3F}" uniqueName="8" name="Admission_Date" queryTableFieldId="8" dataDxfId="6"/>
    <tableColumn id="9" xr3:uid="{D58AFA6B-B293-4FB1-A0F0-377630A53F35}" uniqueName="9" name="Discharge_Date" queryTableFieldId="9" dataDxfId="5"/>
    <tableColumn id="10" xr3:uid="{1E844B6E-195A-4175-AF07-72DDCD79140C}" uniqueName="10" name="Diagnosis" queryTableFieldId="10" dataDxfId="4"/>
    <tableColumn id="11" xr3:uid="{60621816-B7B5-464E-817A-6DBF70AB960E}" uniqueName="11" name="Treatment" queryTableFieldId="11" dataDxfId="3"/>
    <tableColumn id="12" xr3:uid="{96FA7C79-E094-4BC1-A91B-E98E007AB42E}" uniqueName="12" name="Bill_Amount" queryTableFieldId="12"/>
    <tableColumn id="13" xr3:uid="{B1CBF7C8-02C5-4AA4-8655-7EDAB4613E1E}" uniqueName="13" name="Insurance" queryTableFieldId="13" dataDxfId="2"/>
    <tableColumn id="14" xr3:uid="{B574D7A3-B07C-4ACC-8F6B-B9C7C2E3445D}" uniqueName="14" name="Payment_Status" queryTableFieldId="14" dataDxfId="1"/>
    <tableColumn id="15" xr3:uid="{326B2C5C-1EBC-4A79-88D5-DCA54E903755}" uniqueName="15" name="Patient_Status" queryTableFieldId="15"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53BB4A0-E365-4967-9A4D-1675E1CFB858}">
  <we:reference id="wa200005502" version="1.0.0.13" store="en-US" storeType="OMEX"/>
  <we:alternateReferences>
    <we:reference id="wa200005502" version="1.0.0.13" store="" storeType="OMEX"/>
  </we:alternateReferences>
  <we:properties>
    <we:property name="docId" value="&quot;RTJYkKeC_e-zDm-dPFYeZ&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4BDFB-45FA-4AF9-AD22-B6DFF961FF35}">
  <dimension ref="A1:O501"/>
  <sheetViews>
    <sheetView topLeftCell="A51" zoomScale="138" zoomScaleNormal="138" workbookViewId="0">
      <selection activeCell="C2" sqref="C2:C501"/>
    </sheetView>
  </sheetViews>
  <sheetFormatPr defaultRowHeight="18" x14ac:dyDescent="0.25"/>
  <cols>
    <col min="1" max="15" width="22.69921875" customWidth="1"/>
  </cols>
  <sheetData>
    <row r="1" spans="1:15" ht="13.8" x14ac:dyDescent="0.25">
      <c r="A1" t="s">
        <v>0</v>
      </c>
      <c r="B1" t="s">
        <v>1</v>
      </c>
      <c r="C1" t="s">
        <v>2</v>
      </c>
      <c r="D1" t="s">
        <v>3</v>
      </c>
      <c r="E1" t="s">
        <v>4</v>
      </c>
      <c r="F1" t="s">
        <v>5</v>
      </c>
      <c r="G1" t="s">
        <v>6</v>
      </c>
      <c r="H1" t="s">
        <v>7</v>
      </c>
      <c r="I1" t="s">
        <v>8</v>
      </c>
      <c r="J1" t="s">
        <v>9</v>
      </c>
      <c r="K1" t="s">
        <v>10</v>
      </c>
      <c r="L1" t="s">
        <v>11</v>
      </c>
      <c r="M1" t="s">
        <v>12</v>
      </c>
      <c r="N1" t="s">
        <v>13</v>
      </c>
      <c r="O1" t="s">
        <v>14</v>
      </c>
    </row>
    <row r="2" spans="1:15" ht="13.8" x14ac:dyDescent="0.25">
      <c r="A2" t="s">
        <v>15</v>
      </c>
      <c r="B2" t="s">
        <v>16</v>
      </c>
      <c r="C2">
        <v>28</v>
      </c>
      <c r="D2" t="s">
        <v>17</v>
      </c>
      <c r="E2" t="s">
        <v>18</v>
      </c>
      <c r="F2" t="s">
        <v>19</v>
      </c>
      <c r="G2" t="s">
        <v>20</v>
      </c>
      <c r="H2" s="1">
        <v>45788</v>
      </c>
      <c r="I2" t="s">
        <v>21</v>
      </c>
      <c r="J2" t="s">
        <v>22</v>
      </c>
      <c r="K2" t="s">
        <v>23</v>
      </c>
      <c r="L2">
        <v>87393.01</v>
      </c>
      <c r="M2" t="s">
        <v>24</v>
      </c>
      <c r="N2" t="s">
        <v>25</v>
      </c>
      <c r="O2" t="s">
        <v>26</v>
      </c>
    </row>
    <row r="3" spans="1:15" ht="13.8" x14ac:dyDescent="0.25">
      <c r="A3" t="s">
        <v>27</v>
      </c>
      <c r="B3" t="s">
        <v>28</v>
      </c>
      <c r="C3">
        <v>55</v>
      </c>
      <c r="D3" t="s">
        <v>29</v>
      </c>
      <c r="F3" t="s">
        <v>30</v>
      </c>
      <c r="G3" t="s">
        <v>31</v>
      </c>
      <c r="H3" s="2">
        <v>45992</v>
      </c>
      <c r="I3" s="1">
        <v>45681</v>
      </c>
      <c r="J3" t="s">
        <v>32</v>
      </c>
      <c r="K3" t="s">
        <v>33</v>
      </c>
      <c r="L3">
        <v>100821.63</v>
      </c>
      <c r="M3" t="s">
        <v>34</v>
      </c>
      <c r="N3" t="s">
        <v>35</v>
      </c>
      <c r="O3" t="s">
        <v>36</v>
      </c>
    </row>
    <row r="4" spans="1:15" ht="13.8" x14ac:dyDescent="0.25">
      <c r="A4" t="s">
        <v>37</v>
      </c>
      <c r="B4" t="s">
        <v>38</v>
      </c>
      <c r="C4">
        <v>11</v>
      </c>
      <c r="D4" t="s">
        <v>29</v>
      </c>
      <c r="E4" t="s">
        <v>39</v>
      </c>
      <c r="F4" t="s">
        <v>40</v>
      </c>
      <c r="G4" t="s">
        <v>41</v>
      </c>
      <c r="H4" s="2">
        <v>45911</v>
      </c>
      <c r="J4" t="s">
        <v>42</v>
      </c>
      <c r="K4" t="s">
        <v>43</v>
      </c>
      <c r="L4">
        <v>159034.31</v>
      </c>
      <c r="M4" t="s">
        <v>44</v>
      </c>
      <c r="N4" t="s">
        <v>25</v>
      </c>
      <c r="O4" t="s">
        <v>45</v>
      </c>
    </row>
    <row r="5" spans="1:15" ht="13.8" x14ac:dyDescent="0.25">
      <c r="A5" t="s">
        <v>46</v>
      </c>
      <c r="B5" t="s">
        <v>47</v>
      </c>
      <c r="C5">
        <v>42</v>
      </c>
      <c r="D5" t="s">
        <v>48</v>
      </c>
      <c r="E5" t="s">
        <v>49</v>
      </c>
      <c r="F5" t="s">
        <v>50</v>
      </c>
      <c r="G5" t="s">
        <v>51</v>
      </c>
      <c r="H5" s="1">
        <v>45821</v>
      </c>
      <c r="J5" t="s">
        <v>52</v>
      </c>
      <c r="K5" t="s">
        <v>53</v>
      </c>
      <c r="L5">
        <v>201434.4</v>
      </c>
      <c r="M5" t="s">
        <v>54</v>
      </c>
      <c r="N5" t="s">
        <v>55</v>
      </c>
      <c r="O5" t="s">
        <v>45</v>
      </c>
    </row>
    <row r="6" spans="1:15" ht="13.8" x14ac:dyDescent="0.25">
      <c r="A6" t="s">
        <v>56</v>
      </c>
      <c r="B6" t="s">
        <v>57</v>
      </c>
      <c r="C6">
        <v>52</v>
      </c>
      <c r="D6" t="s">
        <v>58</v>
      </c>
      <c r="E6" t="s">
        <v>59</v>
      </c>
      <c r="F6" t="s">
        <v>60</v>
      </c>
      <c r="G6" t="s">
        <v>61</v>
      </c>
      <c r="H6" s="1">
        <v>45732</v>
      </c>
      <c r="I6" s="1">
        <v>45743</v>
      </c>
      <c r="J6" t="s">
        <v>62</v>
      </c>
      <c r="K6" t="s">
        <v>63</v>
      </c>
      <c r="L6">
        <v>130701.41</v>
      </c>
      <c r="M6" t="s">
        <v>44</v>
      </c>
      <c r="N6" t="s">
        <v>35</v>
      </c>
      <c r="O6" t="s">
        <v>36</v>
      </c>
    </row>
    <row r="7" spans="1:15" ht="13.8" x14ac:dyDescent="0.25">
      <c r="A7" t="s">
        <v>64</v>
      </c>
      <c r="B7" t="s">
        <v>65</v>
      </c>
      <c r="C7">
        <v>6</v>
      </c>
      <c r="D7" t="s">
        <v>58</v>
      </c>
      <c r="E7" t="s">
        <v>39</v>
      </c>
      <c r="F7" t="s">
        <v>40</v>
      </c>
      <c r="G7" t="s">
        <v>66</v>
      </c>
      <c r="H7" s="3">
        <v>45941</v>
      </c>
      <c r="I7" s="3">
        <v>45948</v>
      </c>
      <c r="K7" t="s">
        <v>67</v>
      </c>
      <c r="L7">
        <v>235214.45</v>
      </c>
      <c r="M7" t="s">
        <v>68</v>
      </c>
      <c r="N7" t="s">
        <v>69</v>
      </c>
    </row>
    <row r="8" spans="1:15" ht="13.8" x14ac:dyDescent="0.25">
      <c r="A8" t="s">
        <v>70</v>
      </c>
      <c r="B8" t="s">
        <v>71</v>
      </c>
      <c r="C8">
        <v>44</v>
      </c>
      <c r="D8" t="s">
        <v>17</v>
      </c>
      <c r="E8" t="s">
        <v>72</v>
      </c>
      <c r="F8" t="s">
        <v>73</v>
      </c>
      <c r="H8" s="2">
        <v>45695</v>
      </c>
      <c r="I8" s="1">
        <v>45847</v>
      </c>
      <c r="J8" t="s">
        <v>42</v>
      </c>
      <c r="K8" t="s">
        <v>43</v>
      </c>
      <c r="L8">
        <v>64345.01</v>
      </c>
      <c r="M8" t="s">
        <v>34</v>
      </c>
      <c r="N8" t="s">
        <v>74</v>
      </c>
      <c r="O8" t="s">
        <v>75</v>
      </c>
    </row>
    <row r="9" spans="1:15" ht="13.8" x14ac:dyDescent="0.25">
      <c r="A9" t="s">
        <v>76</v>
      </c>
      <c r="B9" t="s">
        <v>77</v>
      </c>
      <c r="D9" t="s">
        <v>17</v>
      </c>
      <c r="E9" t="s">
        <v>78</v>
      </c>
      <c r="F9" t="s">
        <v>60</v>
      </c>
      <c r="G9" t="s">
        <v>79</v>
      </c>
      <c r="H9" s="1">
        <v>45714</v>
      </c>
      <c r="I9" t="s">
        <v>80</v>
      </c>
      <c r="J9" t="s">
        <v>81</v>
      </c>
      <c r="K9" t="s">
        <v>82</v>
      </c>
      <c r="L9" t="s">
        <v>83</v>
      </c>
      <c r="M9" t="s">
        <v>84</v>
      </c>
      <c r="N9" t="s">
        <v>85</v>
      </c>
      <c r="O9" t="s">
        <v>75</v>
      </c>
    </row>
    <row r="10" spans="1:15" ht="13.8" x14ac:dyDescent="0.25">
      <c r="A10" t="s">
        <v>86</v>
      </c>
      <c r="B10" t="s">
        <v>87</v>
      </c>
      <c r="C10">
        <v>82</v>
      </c>
      <c r="D10" t="s">
        <v>58</v>
      </c>
      <c r="E10" t="s">
        <v>59</v>
      </c>
      <c r="F10" t="s">
        <v>30</v>
      </c>
      <c r="G10" t="s">
        <v>31</v>
      </c>
      <c r="H10" s="1">
        <v>45735</v>
      </c>
      <c r="I10" s="3">
        <v>45741</v>
      </c>
      <c r="J10" t="s">
        <v>88</v>
      </c>
      <c r="K10" t="s">
        <v>89</v>
      </c>
      <c r="L10">
        <v>70846.91</v>
      </c>
      <c r="M10" t="s">
        <v>84</v>
      </c>
      <c r="N10" t="s">
        <v>74</v>
      </c>
      <c r="O10" t="s">
        <v>26</v>
      </c>
    </row>
    <row r="11" spans="1:15" ht="13.8" x14ac:dyDescent="0.25">
      <c r="A11" t="s">
        <v>90</v>
      </c>
      <c r="B11" t="s">
        <v>91</v>
      </c>
      <c r="C11">
        <v>8</v>
      </c>
      <c r="D11" t="s">
        <v>58</v>
      </c>
      <c r="E11" t="s">
        <v>18</v>
      </c>
      <c r="F11" t="s">
        <v>40</v>
      </c>
      <c r="G11" t="s">
        <v>92</v>
      </c>
      <c r="H11" s="1">
        <v>45680</v>
      </c>
      <c r="I11" s="1">
        <v>45693</v>
      </c>
      <c r="J11" t="s">
        <v>93</v>
      </c>
      <c r="K11" t="s">
        <v>94</v>
      </c>
      <c r="L11">
        <v>293150.34999999998</v>
      </c>
      <c r="M11" t="s">
        <v>34</v>
      </c>
      <c r="N11" t="s">
        <v>74</v>
      </c>
      <c r="O11" t="s">
        <v>36</v>
      </c>
    </row>
    <row r="12" spans="1:15" ht="13.8" x14ac:dyDescent="0.25">
      <c r="A12" t="s">
        <v>95</v>
      </c>
      <c r="B12" t="s">
        <v>96</v>
      </c>
      <c r="C12">
        <v>22</v>
      </c>
      <c r="D12" t="s">
        <v>17</v>
      </c>
      <c r="E12" t="s">
        <v>97</v>
      </c>
      <c r="F12" t="s">
        <v>50</v>
      </c>
      <c r="G12" t="s">
        <v>51</v>
      </c>
      <c r="H12" s="1">
        <v>45685</v>
      </c>
      <c r="I12" t="s">
        <v>98</v>
      </c>
      <c r="J12" t="s">
        <v>52</v>
      </c>
      <c r="K12" t="s">
        <v>53</v>
      </c>
      <c r="L12" t="s">
        <v>99</v>
      </c>
      <c r="M12" t="s">
        <v>44</v>
      </c>
      <c r="N12" t="s">
        <v>74</v>
      </c>
      <c r="O12" t="s">
        <v>36</v>
      </c>
    </row>
    <row r="13" spans="1:15" ht="13.8" x14ac:dyDescent="0.25">
      <c r="A13" t="s">
        <v>100</v>
      </c>
      <c r="B13" t="s">
        <v>101</v>
      </c>
      <c r="C13">
        <v>35</v>
      </c>
      <c r="D13" t="s">
        <v>58</v>
      </c>
      <c r="E13" t="s">
        <v>102</v>
      </c>
      <c r="F13" t="s">
        <v>103</v>
      </c>
      <c r="G13" t="s">
        <v>104</v>
      </c>
      <c r="H13" s="2">
        <v>45726</v>
      </c>
      <c r="I13" t="s">
        <v>105</v>
      </c>
      <c r="J13" t="s">
        <v>106</v>
      </c>
      <c r="K13" t="s">
        <v>107</v>
      </c>
      <c r="L13">
        <v>260712.15</v>
      </c>
      <c r="N13" t="s">
        <v>55</v>
      </c>
      <c r="O13" t="s">
        <v>26</v>
      </c>
    </row>
    <row r="14" spans="1:15" ht="13.8" x14ac:dyDescent="0.25">
      <c r="A14" t="s">
        <v>108</v>
      </c>
      <c r="B14" t="s">
        <v>109</v>
      </c>
      <c r="C14">
        <v>32</v>
      </c>
      <c r="D14" t="s">
        <v>58</v>
      </c>
      <c r="E14" t="s">
        <v>72</v>
      </c>
      <c r="F14" t="s">
        <v>103</v>
      </c>
      <c r="G14" t="s">
        <v>104</v>
      </c>
      <c r="H14" s="1">
        <v>45968</v>
      </c>
      <c r="I14" s="1">
        <v>45973</v>
      </c>
      <c r="J14" t="s">
        <v>106</v>
      </c>
      <c r="K14" t="s">
        <v>110</v>
      </c>
      <c r="L14" t="s">
        <v>111</v>
      </c>
      <c r="M14" t="s">
        <v>24</v>
      </c>
      <c r="N14" t="s">
        <v>55</v>
      </c>
      <c r="O14" t="s">
        <v>112</v>
      </c>
    </row>
    <row r="15" spans="1:15" ht="13.8" x14ac:dyDescent="0.25">
      <c r="B15" t="s">
        <v>57</v>
      </c>
      <c r="C15">
        <v>82</v>
      </c>
      <c r="D15" t="s">
        <v>58</v>
      </c>
      <c r="E15" t="s">
        <v>102</v>
      </c>
      <c r="F15" t="s">
        <v>19</v>
      </c>
      <c r="G15" t="s">
        <v>20</v>
      </c>
      <c r="H15" s="1">
        <v>45955</v>
      </c>
      <c r="I15" s="1">
        <v>45966</v>
      </c>
      <c r="J15" t="s">
        <v>22</v>
      </c>
      <c r="K15" t="s">
        <v>23</v>
      </c>
      <c r="L15">
        <v>328729.7</v>
      </c>
      <c r="M15" t="s">
        <v>44</v>
      </c>
      <c r="N15" t="s">
        <v>69</v>
      </c>
      <c r="O15" t="s">
        <v>26</v>
      </c>
    </row>
    <row r="16" spans="1:15" ht="13.8" x14ac:dyDescent="0.25">
      <c r="A16" t="s">
        <v>113</v>
      </c>
      <c r="B16" t="s">
        <v>114</v>
      </c>
      <c r="C16">
        <v>27</v>
      </c>
      <c r="D16" t="s">
        <v>115</v>
      </c>
      <c r="E16" t="s">
        <v>72</v>
      </c>
      <c r="F16" t="s">
        <v>40</v>
      </c>
      <c r="H16" s="1">
        <v>45747</v>
      </c>
      <c r="I16" s="1">
        <v>45742</v>
      </c>
      <c r="J16" t="s">
        <v>116</v>
      </c>
      <c r="K16" t="s">
        <v>117</v>
      </c>
      <c r="L16">
        <v>75685.5</v>
      </c>
      <c r="M16" t="s">
        <v>118</v>
      </c>
      <c r="N16" t="s">
        <v>69</v>
      </c>
      <c r="O16" t="s">
        <v>26</v>
      </c>
    </row>
    <row r="17" spans="1:15" ht="13.8" x14ac:dyDescent="0.25">
      <c r="A17" t="s">
        <v>119</v>
      </c>
      <c r="B17" t="s">
        <v>120</v>
      </c>
      <c r="C17">
        <v>30</v>
      </c>
      <c r="D17" t="s">
        <v>17</v>
      </c>
      <c r="F17" t="s">
        <v>30</v>
      </c>
      <c r="G17" t="s">
        <v>121</v>
      </c>
      <c r="H17" s="1">
        <v>45883</v>
      </c>
      <c r="I17" s="1">
        <v>45894</v>
      </c>
      <c r="J17" t="s">
        <v>122</v>
      </c>
      <c r="K17" t="s">
        <v>123</v>
      </c>
      <c r="L17" t="s">
        <v>124</v>
      </c>
      <c r="M17" t="s">
        <v>54</v>
      </c>
      <c r="N17" t="s">
        <v>69</v>
      </c>
      <c r="O17" t="s">
        <v>125</v>
      </c>
    </row>
    <row r="18" spans="1:15" ht="13.8" x14ac:dyDescent="0.25">
      <c r="A18" t="s">
        <v>126</v>
      </c>
      <c r="B18" t="s">
        <v>114</v>
      </c>
      <c r="C18">
        <v>18</v>
      </c>
      <c r="D18" t="s">
        <v>17</v>
      </c>
      <c r="E18" t="s">
        <v>18</v>
      </c>
      <c r="F18" t="s">
        <v>19</v>
      </c>
      <c r="G18" t="s">
        <v>127</v>
      </c>
      <c r="H18" s="3">
        <v>45840</v>
      </c>
      <c r="I18" s="1">
        <v>45841</v>
      </c>
      <c r="J18" t="s">
        <v>22</v>
      </c>
      <c r="K18" t="s">
        <v>23</v>
      </c>
      <c r="L18" t="s">
        <v>128</v>
      </c>
      <c r="M18" t="s">
        <v>84</v>
      </c>
      <c r="N18" t="s">
        <v>55</v>
      </c>
      <c r="O18" t="s">
        <v>75</v>
      </c>
    </row>
    <row r="19" spans="1:15" ht="13.8" x14ac:dyDescent="0.25">
      <c r="A19" t="s">
        <v>129</v>
      </c>
      <c r="B19" t="s">
        <v>130</v>
      </c>
      <c r="C19">
        <v>22</v>
      </c>
      <c r="D19" t="s">
        <v>29</v>
      </c>
      <c r="E19" t="s">
        <v>18</v>
      </c>
      <c r="F19" t="s">
        <v>60</v>
      </c>
      <c r="H19" t="s">
        <v>131</v>
      </c>
      <c r="J19" t="s">
        <v>132</v>
      </c>
      <c r="K19" t="s">
        <v>133</v>
      </c>
      <c r="L19">
        <v>38856.69</v>
      </c>
      <c r="M19" t="s">
        <v>34</v>
      </c>
      <c r="N19" t="s">
        <v>74</v>
      </c>
      <c r="O19" t="s">
        <v>134</v>
      </c>
    </row>
    <row r="20" spans="1:15" ht="13.8" x14ac:dyDescent="0.25">
      <c r="A20" t="s">
        <v>135</v>
      </c>
      <c r="B20" t="s">
        <v>136</v>
      </c>
      <c r="C20">
        <v>0</v>
      </c>
      <c r="D20" t="s">
        <v>58</v>
      </c>
      <c r="E20" t="s">
        <v>137</v>
      </c>
      <c r="F20" t="s">
        <v>103</v>
      </c>
      <c r="G20" t="s">
        <v>138</v>
      </c>
      <c r="H20" s="1">
        <v>45927</v>
      </c>
      <c r="I20" s="2">
        <v>45848</v>
      </c>
      <c r="J20" t="s">
        <v>139</v>
      </c>
      <c r="K20" t="s">
        <v>140</v>
      </c>
      <c r="L20">
        <v>102930.63</v>
      </c>
      <c r="M20" t="s">
        <v>44</v>
      </c>
      <c r="N20" t="s">
        <v>141</v>
      </c>
      <c r="O20" t="s">
        <v>26</v>
      </c>
    </row>
    <row r="21" spans="1:15" ht="13.8" x14ac:dyDescent="0.25">
      <c r="A21" t="s">
        <v>142</v>
      </c>
      <c r="B21" t="s">
        <v>143</v>
      </c>
      <c r="C21">
        <v>78</v>
      </c>
      <c r="D21" t="s">
        <v>58</v>
      </c>
      <c r="E21" t="s">
        <v>59</v>
      </c>
      <c r="F21" t="s">
        <v>40</v>
      </c>
      <c r="G21" t="s">
        <v>92</v>
      </c>
      <c r="H21" s="1">
        <v>45680</v>
      </c>
      <c r="J21" t="s">
        <v>93</v>
      </c>
      <c r="K21" t="s">
        <v>94</v>
      </c>
      <c r="L21">
        <v>296127.5</v>
      </c>
      <c r="M21" t="s">
        <v>84</v>
      </c>
      <c r="N21" t="s">
        <v>69</v>
      </c>
      <c r="O21" t="s">
        <v>45</v>
      </c>
    </row>
    <row r="22" spans="1:15" ht="13.8" x14ac:dyDescent="0.25">
      <c r="A22" t="s">
        <v>144</v>
      </c>
      <c r="B22" t="s">
        <v>145</v>
      </c>
      <c r="C22">
        <v>33</v>
      </c>
      <c r="D22" t="s">
        <v>58</v>
      </c>
      <c r="E22" t="s">
        <v>78</v>
      </c>
      <c r="F22" t="s">
        <v>146</v>
      </c>
      <c r="G22" t="s">
        <v>138</v>
      </c>
      <c r="H22" s="1">
        <v>45760</v>
      </c>
      <c r="I22" t="s">
        <v>147</v>
      </c>
      <c r="J22" t="s">
        <v>106</v>
      </c>
      <c r="K22" t="s">
        <v>110</v>
      </c>
      <c r="L22" t="s">
        <v>148</v>
      </c>
      <c r="M22" t="s">
        <v>84</v>
      </c>
      <c r="N22" t="s">
        <v>55</v>
      </c>
      <c r="O22" t="s">
        <v>75</v>
      </c>
    </row>
    <row r="23" spans="1:15" ht="13.8" x14ac:dyDescent="0.25">
      <c r="A23" t="s">
        <v>149</v>
      </c>
      <c r="B23" t="s">
        <v>150</v>
      </c>
      <c r="C23">
        <v>38</v>
      </c>
      <c r="D23" t="s">
        <v>17</v>
      </c>
      <c r="E23" t="s">
        <v>39</v>
      </c>
      <c r="F23" t="s">
        <v>19</v>
      </c>
      <c r="G23" t="s">
        <v>20</v>
      </c>
      <c r="H23" s="1">
        <v>45663</v>
      </c>
      <c r="I23" s="1">
        <v>45665</v>
      </c>
      <c r="J23" t="s">
        <v>151</v>
      </c>
      <c r="K23" t="s">
        <v>152</v>
      </c>
      <c r="L23">
        <v>218725.35</v>
      </c>
      <c r="M23" t="s">
        <v>54</v>
      </c>
      <c r="N23" t="s">
        <v>69</v>
      </c>
      <c r="O23" t="s">
        <v>36</v>
      </c>
    </row>
    <row r="24" spans="1:15" ht="13.8" x14ac:dyDescent="0.25">
      <c r="A24" t="s">
        <v>153</v>
      </c>
      <c r="B24" t="s">
        <v>154</v>
      </c>
      <c r="C24">
        <v>15</v>
      </c>
      <c r="D24" t="s">
        <v>17</v>
      </c>
      <c r="E24" t="s">
        <v>155</v>
      </c>
      <c r="F24" t="s">
        <v>40</v>
      </c>
      <c r="G24" t="s">
        <v>156</v>
      </c>
      <c r="H24" s="1">
        <v>45779</v>
      </c>
      <c r="J24" t="s">
        <v>93</v>
      </c>
      <c r="K24" t="s">
        <v>94</v>
      </c>
      <c r="L24">
        <v>17679.5</v>
      </c>
      <c r="M24" t="s">
        <v>118</v>
      </c>
      <c r="N24" t="s">
        <v>55</v>
      </c>
      <c r="O24" t="s">
        <v>45</v>
      </c>
    </row>
    <row r="25" spans="1:15" ht="13.8" x14ac:dyDescent="0.25">
      <c r="A25" t="s">
        <v>157</v>
      </c>
      <c r="B25" t="s">
        <v>158</v>
      </c>
      <c r="C25">
        <v>33</v>
      </c>
      <c r="D25" t="s">
        <v>58</v>
      </c>
      <c r="E25" t="s">
        <v>102</v>
      </c>
      <c r="F25" t="s">
        <v>60</v>
      </c>
      <c r="H25" s="1">
        <v>45926</v>
      </c>
      <c r="I25" s="1">
        <v>45932</v>
      </c>
      <c r="J25" t="s">
        <v>132</v>
      </c>
      <c r="K25" t="s">
        <v>133</v>
      </c>
      <c r="L25">
        <v>345599.6</v>
      </c>
      <c r="M25" t="s">
        <v>84</v>
      </c>
      <c r="O25" t="s">
        <v>36</v>
      </c>
    </row>
    <row r="26" spans="1:15" ht="13.8" x14ac:dyDescent="0.25">
      <c r="A26" t="s">
        <v>159</v>
      </c>
      <c r="B26" t="s">
        <v>160</v>
      </c>
      <c r="C26">
        <v>23</v>
      </c>
      <c r="D26" t="s">
        <v>17</v>
      </c>
      <c r="E26" t="s">
        <v>18</v>
      </c>
      <c r="F26" t="s">
        <v>19</v>
      </c>
      <c r="G26" t="s">
        <v>127</v>
      </c>
      <c r="H26" s="1">
        <v>45804</v>
      </c>
      <c r="I26" t="s">
        <v>161</v>
      </c>
      <c r="J26" t="s">
        <v>151</v>
      </c>
      <c r="K26" t="s">
        <v>152</v>
      </c>
      <c r="L26">
        <v>6379.01</v>
      </c>
      <c r="M26" t="s">
        <v>162</v>
      </c>
      <c r="N26" t="s">
        <v>25</v>
      </c>
      <c r="O26" t="s">
        <v>36</v>
      </c>
    </row>
    <row r="27" spans="1:15" ht="13.8" x14ac:dyDescent="0.25">
      <c r="A27" t="s">
        <v>163</v>
      </c>
      <c r="B27" t="s">
        <v>164</v>
      </c>
      <c r="C27">
        <v>81</v>
      </c>
      <c r="D27" t="s">
        <v>58</v>
      </c>
      <c r="E27" t="s">
        <v>137</v>
      </c>
      <c r="F27" t="s">
        <v>165</v>
      </c>
      <c r="G27" t="s">
        <v>166</v>
      </c>
      <c r="H27" t="s">
        <v>167</v>
      </c>
      <c r="J27" t="s">
        <v>168</v>
      </c>
      <c r="K27" t="s">
        <v>169</v>
      </c>
      <c r="L27">
        <v>345147.17</v>
      </c>
      <c r="M27" t="s">
        <v>118</v>
      </c>
      <c r="N27" t="s">
        <v>69</v>
      </c>
      <c r="O27" t="s">
        <v>45</v>
      </c>
    </row>
    <row r="28" spans="1:15" ht="13.8" x14ac:dyDescent="0.25">
      <c r="A28" t="s">
        <v>170</v>
      </c>
      <c r="B28" t="s">
        <v>171</v>
      </c>
      <c r="C28">
        <v>42</v>
      </c>
      <c r="D28" t="s">
        <v>115</v>
      </c>
      <c r="E28" t="s">
        <v>39</v>
      </c>
      <c r="F28" t="s">
        <v>165</v>
      </c>
      <c r="G28" t="s">
        <v>172</v>
      </c>
      <c r="H28" s="1">
        <v>45944</v>
      </c>
      <c r="I28" s="3">
        <v>45962</v>
      </c>
      <c r="J28" t="s">
        <v>173</v>
      </c>
      <c r="K28" t="s">
        <v>174</v>
      </c>
      <c r="L28">
        <v>192645.57</v>
      </c>
      <c r="M28" t="s">
        <v>54</v>
      </c>
      <c r="N28" t="s">
        <v>55</v>
      </c>
      <c r="O28" t="s">
        <v>26</v>
      </c>
    </row>
    <row r="29" spans="1:15" ht="13.8" x14ac:dyDescent="0.25">
      <c r="A29" t="s">
        <v>175</v>
      </c>
      <c r="B29" t="s">
        <v>176</v>
      </c>
      <c r="C29">
        <v>60</v>
      </c>
      <c r="D29" t="s">
        <v>58</v>
      </c>
      <c r="E29" t="s">
        <v>78</v>
      </c>
      <c r="F29" t="s">
        <v>60</v>
      </c>
      <c r="G29" t="s">
        <v>177</v>
      </c>
      <c r="H29" s="1">
        <v>45803</v>
      </c>
      <c r="I29" s="1">
        <v>45815</v>
      </c>
      <c r="J29" t="s">
        <v>132</v>
      </c>
      <c r="K29" t="s">
        <v>133</v>
      </c>
      <c r="L29">
        <v>264892.76</v>
      </c>
      <c r="M29" t="s">
        <v>68</v>
      </c>
      <c r="N29" t="s">
        <v>85</v>
      </c>
    </row>
    <row r="30" spans="1:15" ht="13.8" x14ac:dyDescent="0.25">
      <c r="A30" t="s">
        <v>178</v>
      </c>
      <c r="B30" t="s">
        <v>179</v>
      </c>
      <c r="C30">
        <v>1</v>
      </c>
      <c r="D30" t="s">
        <v>17</v>
      </c>
      <c r="E30" t="s">
        <v>180</v>
      </c>
      <c r="F30" t="s">
        <v>40</v>
      </c>
      <c r="G30" t="s">
        <v>156</v>
      </c>
      <c r="H30" s="3">
        <v>45959</v>
      </c>
      <c r="I30" s="1">
        <v>45968</v>
      </c>
      <c r="K30" t="s">
        <v>117</v>
      </c>
      <c r="L30">
        <v>273333.11</v>
      </c>
      <c r="M30" t="s">
        <v>24</v>
      </c>
      <c r="N30" t="s">
        <v>74</v>
      </c>
      <c r="O30" t="s">
        <v>26</v>
      </c>
    </row>
    <row r="31" spans="1:15" ht="13.8" x14ac:dyDescent="0.25">
      <c r="A31" t="s">
        <v>181</v>
      </c>
      <c r="B31" t="s">
        <v>182</v>
      </c>
      <c r="C31">
        <v>79</v>
      </c>
      <c r="D31" t="s">
        <v>17</v>
      </c>
      <c r="E31" t="s">
        <v>49</v>
      </c>
      <c r="F31" t="s">
        <v>165</v>
      </c>
      <c r="G31" t="s">
        <v>166</v>
      </c>
      <c r="H31" s="2">
        <v>45663</v>
      </c>
      <c r="J31" t="s">
        <v>183</v>
      </c>
      <c r="K31" t="s">
        <v>184</v>
      </c>
      <c r="L31">
        <v>222932.36</v>
      </c>
      <c r="M31" t="s">
        <v>54</v>
      </c>
      <c r="N31" t="s">
        <v>25</v>
      </c>
      <c r="O31" t="s">
        <v>45</v>
      </c>
    </row>
    <row r="32" spans="1:15" ht="13.8" x14ac:dyDescent="0.25">
      <c r="A32" t="s">
        <v>185</v>
      </c>
      <c r="B32" t="s">
        <v>186</v>
      </c>
      <c r="C32">
        <v>65</v>
      </c>
      <c r="D32" t="s">
        <v>58</v>
      </c>
      <c r="E32" t="s">
        <v>78</v>
      </c>
      <c r="F32" t="s">
        <v>30</v>
      </c>
      <c r="G32" t="s">
        <v>187</v>
      </c>
      <c r="H32" s="3">
        <v>45699</v>
      </c>
      <c r="I32" s="1">
        <v>45700</v>
      </c>
      <c r="J32" t="s">
        <v>32</v>
      </c>
      <c r="L32">
        <v>83463</v>
      </c>
      <c r="M32" t="s">
        <v>44</v>
      </c>
      <c r="N32" t="s">
        <v>74</v>
      </c>
      <c r="O32" t="s">
        <v>26</v>
      </c>
    </row>
    <row r="33" spans="1:15" ht="13.8" x14ac:dyDescent="0.25">
      <c r="A33" t="s">
        <v>188</v>
      </c>
      <c r="B33" t="s">
        <v>189</v>
      </c>
      <c r="C33">
        <v>65</v>
      </c>
      <c r="D33" t="s">
        <v>17</v>
      </c>
      <c r="E33" t="s">
        <v>137</v>
      </c>
      <c r="F33" t="s">
        <v>50</v>
      </c>
      <c r="G33" t="s">
        <v>190</v>
      </c>
      <c r="H33" s="1">
        <v>45681</v>
      </c>
      <c r="I33" s="3">
        <v>45698</v>
      </c>
      <c r="J33" t="s">
        <v>191</v>
      </c>
      <c r="K33" t="s">
        <v>192</v>
      </c>
      <c r="L33" t="s">
        <v>193</v>
      </c>
      <c r="M33" t="s">
        <v>68</v>
      </c>
      <c r="N33" t="s">
        <v>69</v>
      </c>
      <c r="O33" t="s">
        <v>112</v>
      </c>
    </row>
    <row r="34" spans="1:15" ht="13.8" x14ac:dyDescent="0.25">
      <c r="A34" t="s">
        <v>194</v>
      </c>
      <c r="B34" t="s">
        <v>195</v>
      </c>
      <c r="C34">
        <v>73</v>
      </c>
      <c r="D34" t="s">
        <v>58</v>
      </c>
      <c r="E34" t="s">
        <v>97</v>
      </c>
      <c r="F34" t="s">
        <v>19</v>
      </c>
      <c r="G34" t="s">
        <v>196</v>
      </c>
      <c r="H34" s="1">
        <v>45708</v>
      </c>
      <c r="I34" t="s">
        <v>197</v>
      </c>
      <c r="J34" t="s">
        <v>22</v>
      </c>
      <c r="K34" t="s">
        <v>23</v>
      </c>
      <c r="L34">
        <v>117030.29</v>
      </c>
      <c r="M34" t="s">
        <v>84</v>
      </c>
      <c r="N34" t="s">
        <v>35</v>
      </c>
      <c r="O34" t="s">
        <v>198</v>
      </c>
    </row>
    <row r="35" spans="1:15" ht="13.8" x14ac:dyDescent="0.25">
      <c r="A35" t="s">
        <v>199</v>
      </c>
      <c r="B35" t="s">
        <v>200</v>
      </c>
      <c r="C35">
        <v>9</v>
      </c>
      <c r="D35" t="s">
        <v>17</v>
      </c>
      <c r="E35" t="s">
        <v>72</v>
      </c>
      <c r="F35" t="s">
        <v>50</v>
      </c>
      <c r="G35" t="s">
        <v>201</v>
      </c>
      <c r="H35" t="s">
        <v>202</v>
      </c>
      <c r="I35" s="2">
        <v>45907</v>
      </c>
      <c r="J35" t="s">
        <v>203</v>
      </c>
      <c r="K35" t="s">
        <v>204</v>
      </c>
      <c r="L35">
        <v>17481.34</v>
      </c>
      <c r="M35" t="s">
        <v>84</v>
      </c>
      <c r="N35" t="s">
        <v>74</v>
      </c>
      <c r="O35" t="s">
        <v>112</v>
      </c>
    </row>
    <row r="36" spans="1:15" ht="13.8" x14ac:dyDescent="0.25">
      <c r="A36" t="s">
        <v>205</v>
      </c>
      <c r="B36" t="s">
        <v>206</v>
      </c>
      <c r="C36">
        <v>14</v>
      </c>
      <c r="D36" t="s">
        <v>17</v>
      </c>
      <c r="E36" t="s">
        <v>137</v>
      </c>
      <c r="F36" t="s">
        <v>60</v>
      </c>
      <c r="G36" t="s">
        <v>177</v>
      </c>
      <c r="H36" s="1">
        <v>45784</v>
      </c>
      <c r="I36" s="2">
        <v>45996</v>
      </c>
      <c r="J36" t="s">
        <v>81</v>
      </c>
      <c r="K36" t="s">
        <v>82</v>
      </c>
      <c r="L36">
        <v>42926.97</v>
      </c>
      <c r="M36" t="s">
        <v>68</v>
      </c>
      <c r="N36" t="s">
        <v>69</v>
      </c>
      <c r="O36" t="s">
        <v>75</v>
      </c>
    </row>
    <row r="37" spans="1:15" ht="13.8" x14ac:dyDescent="0.25">
      <c r="A37" t="s">
        <v>207</v>
      </c>
      <c r="B37" t="s">
        <v>208</v>
      </c>
      <c r="C37">
        <v>38</v>
      </c>
      <c r="D37" t="s">
        <v>58</v>
      </c>
      <c r="E37" t="s">
        <v>78</v>
      </c>
      <c r="F37" t="s">
        <v>103</v>
      </c>
      <c r="G37" t="s">
        <v>209</v>
      </c>
      <c r="I37" s="1">
        <v>45739</v>
      </c>
      <c r="J37" t="s">
        <v>106</v>
      </c>
      <c r="K37" t="s">
        <v>110</v>
      </c>
      <c r="L37">
        <v>136077.35999999999</v>
      </c>
      <c r="M37" t="s">
        <v>84</v>
      </c>
      <c r="N37" t="s">
        <v>69</v>
      </c>
      <c r="O37" t="s">
        <v>112</v>
      </c>
    </row>
    <row r="38" spans="1:15" ht="13.8" x14ac:dyDescent="0.25">
      <c r="A38" t="s">
        <v>210</v>
      </c>
      <c r="B38" t="s">
        <v>211</v>
      </c>
      <c r="D38" t="s">
        <v>58</v>
      </c>
      <c r="E38" t="s">
        <v>18</v>
      </c>
      <c r="F38" t="s">
        <v>40</v>
      </c>
      <c r="G38" t="s">
        <v>212</v>
      </c>
      <c r="H38" s="1">
        <v>45935</v>
      </c>
      <c r="I38" s="1">
        <v>45948</v>
      </c>
      <c r="K38" t="s">
        <v>94</v>
      </c>
      <c r="L38">
        <v>305300.05</v>
      </c>
      <c r="M38" t="s">
        <v>213</v>
      </c>
      <c r="N38" t="s">
        <v>25</v>
      </c>
      <c r="O38" t="s">
        <v>75</v>
      </c>
    </row>
    <row r="39" spans="1:15" ht="13.8" x14ac:dyDescent="0.25">
      <c r="A39" t="s">
        <v>214</v>
      </c>
      <c r="B39" t="s">
        <v>215</v>
      </c>
      <c r="C39">
        <v>27</v>
      </c>
      <c r="D39" t="s">
        <v>17</v>
      </c>
      <c r="E39" t="s">
        <v>59</v>
      </c>
      <c r="F39" t="s">
        <v>50</v>
      </c>
      <c r="G39" t="s">
        <v>190</v>
      </c>
      <c r="H39" t="s">
        <v>216</v>
      </c>
      <c r="I39" s="2">
        <v>45726</v>
      </c>
      <c r="J39" t="s">
        <v>191</v>
      </c>
      <c r="K39" t="s">
        <v>192</v>
      </c>
      <c r="L39">
        <v>317162.14</v>
      </c>
      <c r="M39" t="s">
        <v>118</v>
      </c>
      <c r="N39" t="s">
        <v>55</v>
      </c>
      <c r="O39" t="s">
        <v>112</v>
      </c>
    </row>
    <row r="40" spans="1:15" ht="13.8" x14ac:dyDescent="0.25">
      <c r="A40" t="s">
        <v>217</v>
      </c>
      <c r="B40" t="s">
        <v>109</v>
      </c>
      <c r="C40">
        <v>66</v>
      </c>
      <c r="D40" t="s">
        <v>58</v>
      </c>
      <c r="E40" t="s">
        <v>155</v>
      </c>
      <c r="F40" t="s">
        <v>103</v>
      </c>
      <c r="G40" t="s">
        <v>138</v>
      </c>
      <c r="H40" t="s">
        <v>218</v>
      </c>
      <c r="I40" s="3">
        <v>45819</v>
      </c>
      <c r="J40" t="s">
        <v>219</v>
      </c>
      <c r="K40" t="s">
        <v>140</v>
      </c>
      <c r="L40">
        <v>-127749.22</v>
      </c>
      <c r="M40" t="s">
        <v>118</v>
      </c>
      <c r="N40" t="s">
        <v>55</v>
      </c>
      <c r="O40" t="s">
        <v>75</v>
      </c>
    </row>
    <row r="41" spans="1:15" ht="13.8" x14ac:dyDescent="0.25">
      <c r="A41" t="s">
        <v>220</v>
      </c>
      <c r="B41" t="s">
        <v>47</v>
      </c>
      <c r="C41">
        <v>23</v>
      </c>
      <c r="D41" t="s">
        <v>58</v>
      </c>
      <c r="E41" t="s">
        <v>102</v>
      </c>
      <c r="F41" t="s">
        <v>221</v>
      </c>
      <c r="G41" t="s">
        <v>172</v>
      </c>
      <c r="H41" s="3">
        <v>45671</v>
      </c>
      <c r="I41" s="1">
        <v>45689</v>
      </c>
      <c r="J41" t="s">
        <v>222</v>
      </c>
      <c r="K41" t="s">
        <v>223</v>
      </c>
      <c r="L41" t="s">
        <v>224</v>
      </c>
      <c r="M41" t="s">
        <v>24</v>
      </c>
      <c r="N41" t="s">
        <v>35</v>
      </c>
      <c r="O41" t="s">
        <v>75</v>
      </c>
    </row>
    <row r="42" spans="1:15" ht="13.8" x14ac:dyDescent="0.25">
      <c r="A42" t="s">
        <v>225</v>
      </c>
      <c r="B42" t="s">
        <v>226</v>
      </c>
      <c r="C42">
        <v>63</v>
      </c>
      <c r="D42" t="s">
        <v>17</v>
      </c>
      <c r="E42" t="s">
        <v>227</v>
      </c>
      <c r="F42" t="s">
        <v>228</v>
      </c>
      <c r="G42" t="s">
        <v>121</v>
      </c>
      <c r="H42" s="3">
        <v>45836</v>
      </c>
      <c r="K42" t="s">
        <v>229</v>
      </c>
      <c r="L42" t="s">
        <v>230</v>
      </c>
      <c r="M42" t="s">
        <v>44</v>
      </c>
      <c r="N42" t="s">
        <v>74</v>
      </c>
      <c r="O42" t="s">
        <v>45</v>
      </c>
    </row>
    <row r="43" spans="1:15" ht="13.8" x14ac:dyDescent="0.25">
      <c r="A43" t="s">
        <v>231</v>
      </c>
      <c r="B43" t="s">
        <v>232</v>
      </c>
      <c r="C43">
        <v>54</v>
      </c>
      <c r="D43" t="s">
        <v>58</v>
      </c>
      <c r="E43" t="s">
        <v>97</v>
      </c>
      <c r="F43" t="s">
        <v>19</v>
      </c>
      <c r="G43" t="s">
        <v>20</v>
      </c>
      <c r="H43" s="1">
        <v>45822</v>
      </c>
      <c r="I43" s="3">
        <v>45840</v>
      </c>
      <c r="J43" t="s">
        <v>233</v>
      </c>
      <c r="K43" t="s">
        <v>234</v>
      </c>
      <c r="L43">
        <v>121026.07</v>
      </c>
      <c r="M43" t="s">
        <v>24</v>
      </c>
      <c r="N43" t="s">
        <v>69</v>
      </c>
      <c r="O43" t="s">
        <v>75</v>
      </c>
    </row>
    <row r="44" spans="1:15" ht="13.8" x14ac:dyDescent="0.25">
      <c r="A44" t="s">
        <v>235</v>
      </c>
      <c r="B44" t="s">
        <v>236</v>
      </c>
      <c r="C44">
        <v>19</v>
      </c>
      <c r="D44" t="s">
        <v>17</v>
      </c>
      <c r="E44" t="s">
        <v>97</v>
      </c>
      <c r="F44" t="s">
        <v>73</v>
      </c>
      <c r="H44" t="s">
        <v>237</v>
      </c>
      <c r="J44" t="s">
        <v>238</v>
      </c>
      <c r="K44" t="s">
        <v>67</v>
      </c>
      <c r="L44">
        <v>272661.81</v>
      </c>
      <c r="M44" t="s">
        <v>84</v>
      </c>
      <c r="N44" t="s">
        <v>35</v>
      </c>
      <c r="O44" t="s">
        <v>45</v>
      </c>
    </row>
    <row r="45" spans="1:15" ht="13.8" x14ac:dyDescent="0.25">
      <c r="A45" t="s">
        <v>239</v>
      </c>
      <c r="B45" t="s">
        <v>240</v>
      </c>
      <c r="C45">
        <v>17</v>
      </c>
      <c r="D45" t="s">
        <v>17</v>
      </c>
      <c r="E45" t="s">
        <v>97</v>
      </c>
      <c r="F45" t="s">
        <v>50</v>
      </c>
      <c r="H45" t="s">
        <v>105</v>
      </c>
      <c r="J45" t="s">
        <v>191</v>
      </c>
      <c r="K45" t="s">
        <v>192</v>
      </c>
      <c r="L45">
        <v>305369.69</v>
      </c>
      <c r="M45" t="s">
        <v>54</v>
      </c>
      <c r="N45" t="s">
        <v>141</v>
      </c>
      <c r="O45" t="s">
        <v>45</v>
      </c>
    </row>
    <row r="46" spans="1:15" ht="13.8" x14ac:dyDescent="0.25">
      <c r="A46" t="s">
        <v>241</v>
      </c>
      <c r="B46" t="s">
        <v>242</v>
      </c>
      <c r="C46">
        <v>23</v>
      </c>
      <c r="D46" t="s">
        <v>58</v>
      </c>
      <c r="E46" t="s">
        <v>102</v>
      </c>
      <c r="F46" t="s">
        <v>40</v>
      </c>
      <c r="G46" t="s">
        <v>156</v>
      </c>
      <c r="H46" s="1">
        <v>45754</v>
      </c>
      <c r="I46" s="1">
        <v>45762</v>
      </c>
      <c r="J46" t="s">
        <v>42</v>
      </c>
      <c r="K46" t="s">
        <v>43</v>
      </c>
      <c r="L46">
        <v>160725.21</v>
      </c>
      <c r="M46" t="s">
        <v>34</v>
      </c>
      <c r="N46" t="s">
        <v>69</v>
      </c>
      <c r="O46" t="s">
        <v>112</v>
      </c>
    </row>
    <row r="47" spans="1:15" ht="13.8" x14ac:dyDescent="0.25">
      <c r="A47" t="s">
        <v>243</v>
      </c>
      <c r="B47" t="s">
        <v>158</v>
      </c>
      <c r="C47">
        <v>59</v>
      </c>
      <c r="D47" t="s">
        <v>58</v>
      </c>
      <c r="E47" t="s">
        <v>137</v>
      </c>
      <c r="F47" t="s">
        <v>30</v>
      </c>
      <c r="G47" t="s">
        <v>244</v>
      </c>
      <c r="H47" s="1">
        <v>45853</v>
      </c>
      <c r="I47" t="s">
        <v>245</v>
      </c>
      <c r="J47" t="s">
        <v>246</v>
      </c>
      <c r="K47" t="s">
        <v>229</v>
      </c>
      <c r="L47">
        <v>46634.93</v>
      </c>
      <c r="M47" t="s">
        <v>24</v>
      </c>
      <c r="N47" t="s">
        <v>74</v>
      </c>
      <c r="O47" t="s">
        <v>26</v>
      </c>
    </row>
    <row r="48" spans="1:15" ht="13.8" x14ac:dyDescent="0.25">
      <c r="A48" t="s">
        <v>247</v>
      </c>
      <c r="B48" t="s">
        <v>248</v>
      </c>
      <c r="C48">
        <v>3</v>
      </c>
      <c r="D48" t="s">
        <v>58</v>
      </c>
      <c r="E48" t="s">
        <v>78</v>
      </c>
      <c r="F48" t="s">
        <v>103</v>
      </c>
      <c r="G48" t="s">
        <v>104</v>
      </c>
      <c r="H48" s="1">
        <v>45953</v>
      </c>
      <c r="I48" s="1">
        <v>45962</v>
      </c>
      <c r="J48" t="s">
        <v>249</v>
      </c>
      <c r="K48" t="s">
        <v>250</v>
      </c>
      <c r="L48">
        <v>30598.91</v>
      </c>
      <c r="M48" t="s">
        <v>118</v>
      </c>
      <c r="N48" t="s">
        <v>35</v>
      </c>
      <c r="O48" t="s">
        <v>75</v>
      </c>
    </row>
    <row r="49" spans="1:15" ht="13.8" x14ac:dyDescent="0.25">
      <c r="A49" t="s">
        <v>251</v>
      </c>
      <c r="B49" t="s">
        <v>252</v>
      </c>
      <c r="C49">
        <v>55</v>
      </c>
      <c r="D49" t="s">
        <v>58</v>
      </c>
      <c r="E49" t="s">
        <v>137</v>
      </c>
      <c r="F49" t="s">
        <v>50</v>
      </c>
      <c r="G49" t="s">
        <v>190</v>
      </c>
      <c r="H49" s="3">
        <v>45834</v>
      </c>
      <c r="I49" s="3">
        <v>45838</v>
      </c>
      <c r="J49" t="s">
        <v>253</v>
      </c>
      <c r="K49" t="s">
        <v>53</v>
      </c>
      <c r="L49">
        <v>298691.20000000001</v>
      </c>
      <c r="M49" t="s">
        <v>34</v>
      </c>
      <c r="N49" t="s">
        <v>35</v>
      </c>
      <c r="O49" t="s">
        <v>75</v>
      </c>
    </row>
    <row r="50" spans="1:15" ht="13.8" x14ac:dyDescent="0.25">
      <c r="A50" t="s">
        <v>254</v>
      </c>
      <c r="B50" t="s">
        <v>255</v>
      </c>
      <c r="C50">
        <v>47</v>
      </c>
      <c r="D50" t="s">
        <v>58</v>
      </c>
      <c r="E50" t="s">
        <v>155</v>
      </c>
      <c r="F50" t="s">
        <v>30</v>
      </c>
      <c r="G50" t="s">
        <v>256</v>
      </c>
      <c r="H50" s="1">
        <v>45732</v>
      </c>
      <c r="J50" t="s">
        <v>88</v>
      </c>
      <c r="K50" t="s">
        <v>89</v>
      </c>
      <c r="L50">
        <v>341800.01</v>
      </c>
      <c r="M50" t="s">
        <v>34</v>
      </c>
      <c r="N50" t="s">
        <v>69</v>
      </c>
      <c r="O50" t="s">
        <v>45</v>
      </c>
    </row>
    <row r="51" spans="1:15" ht="13.8" x14ac:dyDescent="0.25">
      <c r="A51" t="s">
        <v>257</v>
      </c>
      <c r="B51" t="s">
        <v>258</v>
      </c>
      <c r="C51">
        <v>27</v>
      </c>
      <c r="D51" t="s">
        <v>17</v>
      </c>
      <c r="E51" t="s">
        <v>137</v>
      </c>
      <c r="F51" t="s">
        <v>165</v>
      </c>
      <c r="G51" t="s">
        <v>259</v>
      </c>
      <c r="H51" s="3">
        <v>45868</v>
      </c>
      <c r="I51" s="3">
        <v>45883</v>
      </c>
      <c r="J51" t="s">
        <v>173</v>
      </c>
      <c r="K51" t="s">
        <v>174</v>
      </c>
      <c r="L51">
        <v>153551.82</v>
      </c>
      <c r="M51" t="s">
        <v>84</v>
      </c>
      <c r="N51" t="s">
        <v>69</v>
      </c>
      <c r="O51" t="s">
        <v>260</v>
      </c>
    </row>
    <row r="52" spans="1:15" ht="13.8" x14ac:dyDescent="0.25">
      <c r="A52" t="s">
        <v>261</v>
      </c>
      <c r="B52" t="s">
        <v>262</v>
      </c>
      <c r="C52">
        <v>71</v>
      </c>
      <c r="D52" t="s">
        <v>17</v>
      </c>
      <c r="E52" t="s">
        <v>78</v>
      </c>
      <c r="F52" t="s">
        <v>60</v>
      </c>
      <c r="G52" t="s">
        <v>61</v>
      </c>
      <c r="H52" s="1">
        <v>45960</v>
      </c>
      <c r="I52" s="2">
        <v>45849</v>
      </c>
      <c r="J52" t="s">
        <v>263</v>
      </c>
      <c r="K52" t="s">
        <v>264</v>
      </c>
      <c r="L52">
        <v>166546.48000000001</v>
      </c>
      <c r="M52" t="s">
        <v>24</v>
      </c>
      <c r="N52" t="s">
        <v>265</v>
      </c>
      <c r="O52" t="s">
        <v>26</v>
      </c>
    </row>
    <row r="53" spans="1:15" ht="13.8" x14ac:dyDescent="0.25">
      <c r="A53" t="s">
        <v>266</v>
      </c>
      <c r="B53" t="s">
        <v>150</v>
      </c>
      <c r="D53" t="s">
        <v>17</v>
      </c>
      <c r="E53" t="s">
        <v>49</v>
      </c>
      <c r="F53" t="s">
        <v>165</v>
      </c>
      <c r="G53" t="s">
        <v>172</v>
      </c>
      <c r="H53" s="1">
        <v>45905</v>
      </c>
      <c r="I53" s="1">
        <v>45906</v>
      </c>
      <c r="J53" t="s">
        <v>173</v>
      </c>
      <c r="K53" t="s">
        <v>174</v>
      </c>
      <c r="L53">
        <v>104991.88</v>
      </c>
      <c r="M53" t="s">
        <v>118</v>
      </c>
      <c r="N53" t="s">
        <v>74</v>
      </c>
      <c r="O53" t="s">
        <v>36</v>
      </c>
    </row>
    <row r="54" spans="1:15" ht="13.8" x14ac:dyDescent="0.25">
      <c r="A54" t="s">
        <v>267</v>
      </c>
      <c r="B54" t="s">
        <v>268</v>
      </c>
      <c r="C54">
        <v>19</v>
      </c>
      <c r="D54" t="s">
        <v>17</v>
      </c>
      <c r="E54" t="s">
        <v>102</v>
      </c>
      <c r="F54" t="s">
        <v>269</v>
      </c>
      <c r="G54" t="s">
        <v>51</v>
      </c>
      <c r="H54" s="1">
        <v>45772</v>
      </c>
      <c r="I54" s="1">
        <v>45779</v>
      </c>
      <c r="J54" t="s">
        <v>52</v>
      </c>
      <c r="K54" t="s">
        <v>53</v>
      </c>
      <c r="L54">
        <v>158630.85</v>
      </c>
      <c r="M54" t="s">
        <v>68</v>
      </c>
      <c r="N54" t="s">
        <v>270</v>
      </c>
    </row>
    <row r="55" spans="1:15" ht="13.8" x14ac:dyDescent="0.25">
      <c r="A55" t="s">
        <v>271</v>
      </c>
      <c r="B55" t="s">
        <v>272</v>
      </c>
      <c r="C55">
        <v>20</v>
      </c>
      <c r="D55" t="s">
        <v>58</v>
      </c>
      <c r="E55" t="s">
        <v>180</v>
      </c>
      <c r="F55" t="s">
        <v>19</v>
      </c>
      <c r="G55" t="s">
        <v>20</v>
      </c>
      <c r="H55" s="1">
        <v>45990</v>
      </c>
      <c r="J55" t="s">
        <v>233</v>
      </c>
      <c r="K55" t="s">
        <v>234</v>
      </c>
      <c r="L55" t="s">
        <v>273</v>
      </c>
      <c r="M55" t="s">
        <v>68</v>
      </c>
      <c r="N55" t="s">
        <v>55</v>
      </c>
      <c r="O55" t="s">
        <v>45</v>
      </c>
    </row>
    <row r="56" spans="1:15" ht="13.8" x14ac:dyDescent="0.25">
      <c r="A56" t="s">
        <v>274</v>
      </c>
      <c r="B56" t="s">
        <v>275</v>
      </c>
      <c r="C56">
        <v>62</v>
      </c>
      <c r="D56" t="s">
        <v>17</v>
      </c>
      <c r="E56" t="s">
        <v>155</v>
      </c>
      <c r="F56" t="s">
        <v>228</v>
      </c>
      <c r="G56" t="s">
        <v>121</v>
      </c>
      <c r="H56" s="1">
        <v>45747</v>
      </c>
      <c r="J56" t="s">
        <v>122</v>
      </c>
      <c r="K56" t="s">
        <v>123</v>
      </c>
      <c r="L56" t="s">
        <v>276</v>
      </c>
      <c r="M56" t="s">
        <v>54</v>
      </c>
      <c r="N56" t="s">
        <v>35</v>
      </c>
      <c r="O56" t="s">
        <v>45</v>
      </c>
    </row>
    <row r="57" spans="1:15" ht="13.8" x14ac:dyDescent="0.25">
      <c r="A57" t="s">
        <v>277</v>
      </c>
      <c r="B57" t="s">
        <v>278</v>
      </c>
      <c r="C57">
        <v>71</v>
      </c>
      <c r="D57" t="s">
        <v>17</v>
      </c>
      <c r="E57" t="s">
        <v>102</v>
      </c>
      <c r="F57" t="s">
        <v>60</v>
      </c>
      <c r="G57" t="s">
        <v>177</v>
      </c>
      <c r="H57" s="1">
        <v>45723</v>
      </c>
      <c r="I57" t="s">
        <v>279</v>
      </c>
      <c r="J57" t="s">
        <v>263</v>
      </c>
      <c r="L57">
        <v>156042.6</v>
      </c>
      <c r="M57" t="s">
        <v>54</v>
      </c>
      <c r="N57" t="s">
        <v>35</v>
      </c>
      <c r="O57" t="s">
        <v>26</v>
      </c>
    </row>
    <row r="58" spans="1:15" ht="13.8" x14ac:dyDescent="0.25">
      <c r="A58" t="s">
        <v>280</v>
      </c>
      <c r="B58" t="s">
        <v>281</v>
      </c>
      <c r="C58">
        <v>4</v>
      </c>
      <c r="D58" t="s">
        <v>58</v>
      </c>
      <c r="E58" t="s">
        <v>72</v>
      </c>
      <c r="F58" t="s">
        <v>282</v>
      </c>
      <c r="G58" t="s">
        <v>61</v>
      </c>
      <c r="H58" s="1">
        <v>45845</v>
      </c>
      <c r="J58" t="s">
        <v>81</v>
      </c>
      <c r="K58" t="s">
        <v>82</v>
      </c>
      <c r="L58" t="s">
        <v>283</v>
      </c>
      <c r="M58" t="s">
        <v>44</v>
      </c>
      <c r="N58" t="s">
        <v>69</v>
      </c>
      <c r="O58" t="s">
        <v>112</v>
      </c>
    </row>
    <row r="59" spans="1:15" ht="13.8" x14ac:dyDescent="0.25">
      <c r="A59" t="s">
        <v>284</v>
      </c>
      <c r="B59" t="s">
        <v>285</v>
      </c>
      <c r="C59" t="s">
        <v>286</v>
      </c>
      <c r="D59" t="s">
        <v>287</v>
      </c>
      <c r="E59" t="s">
        <v>39</v>
      </c>
      <c r="F59" t="s">
        <v>50</v>
      </c>
      <c r="G59" t="s">
        <v>51</v>
      </c>
      <c r="H59" s="3">
        <v>45670</v>
      </c>
      <c r="J59" t="s">
        <v>52</v>
      </c>
      <c r="K59" t="s">
        <v>53</v>
      </c>
      <c r="L59">
        <v>135291.62</v>
      </c>
      <c r="M59" t="s">
        <v>44</v>
      </c>
      <c r="N59" t="s">
        <v>74</v>
      </c>
      <c r="O59" t="s">
        <v>45</v>
      </c>
    </row>
    <row r="60" spans="1:15" ht="13.8" x14ac:dyDescent="0.25">
      <c r="A60" t="s">
        <v>288</v>
      </c>
      <c r="B60" t="s">
        <v>289</v>
      </c>
      <c r="C60">
        <v>71</v>
      </c>
      <c r="D60" t="s">
        <v>58</v>
      </c>
      <c r="E60" t="s">
        <v>49</v>
      </c>
      <c r="F60" t="s">
        <v>103</v>
      </c>
      <c r="G60" t="s">
        <v>138</v>
      </c>
      <c r="H60" s="3">
        <v>45736</v>
      </c>
      <c r="I60" s="3">
        <v>45747</v>
      </c>
      <c r="J60" t="s">
        <v>249</v>
      </c>
      <c r="K60" t="s">
        <v>250</v>
      </c>
      <c r="L60">
        <v>274287.35999999999</v>
      </c>
      <c r="M60" t="s">
        <v>84</v>
      </c>
      <c r="N60" t="s">
        <v>55</v>
      </c>
      <c r="O60" t="s">
        <v>112</v>
      </c>
    </row>
    <row r="61" spans="1:15" ht="13.8" x14ac:dyDescent="0.25">
      <c r="A61" t="s">
        <v>290</v>
      </c>
      <c r="B61" t="s">
        <v>262</v>
      </c>
      <c r="C61">
        <v>32</v>
      </c>
      <c r="D61" t="s">
        <v>115</v>
      </c>
      <c r="E61" t="s">
        <v>180</v>
      </c>
      <c r="F61" t="s">
        <v>103</v>
      </c>
      <c r="G61" t="s">
        <v>291</v>
      </c>
      <c r="H61" t="s">
        <v>292</v>
      </c>
      <c r="I61" t="s">
        <v>293</v>
      </c>
      <c r="J61" t="s">
        <v>294</v>
      </c>
      <c r="K61" t="s">
        <v>295</v>
      </c>
      <c r="L61">
        <v>129875.35</v>
      </c>
      <c r="M61" t="s">
        <v>68</v>
      </c>
      <c r="N61" t="s">
        <v>74</v>
      </c>
      <c r="O61" t="s">
        <v>26</v>
      </c>
    </row>
    <row r="62" spans="1:15" ht="13.8" x14ac:dyDescent="0.25">
      <c r="A62" t="s">
        <v>296</v>
      </c>
      <c r="B62" t="s">
        <v>297</v>
      </c>
      <c r="C62">
        <v>37</v>
      </c>
      <c r="D62" t="s">
        <v>17</v>
      </c>
      <c r="E62" t="s">
        <v>155</v>
      </c>
      <c r="G62" t="s">
        <v>212</v>
      </c>
      <c r="H62" s="1">
        <v>45661</v>
      </c>
      <c r="J62" t="s">
        <v>42</v>
      </c>
      <c r="K62" t="s">
        <v>43</v>
      </c>
      <c r="L62">
        <v>133136.07999999999</v>
      </c>
      <c r="M62" t="s">
        <v>54</v>
      </c>
      <c r="N62" t="s">
        <v>55</v>
      </c>
      <c r="O62" t="s">
        <v>45</v>
      </c>
    </row>
    <row r="63" spans="1:15" ht="13.8" x14ac:dyDescent="0.25">
      <c r="A63" t="s">
        <v>298</v>
      </c>
      <c r="B63" t="s">
        <v>299</v>
      </c>
      <c r="C63">
        <v>38</v>
      </c>
      <c r="E63" t="s">
        <v>78</v>
      </c>
      <c r="F63" t="s">
        <v>50</v>
      </c>
      <c r="G63" t="s">
        <v>300</v>
      </c>
      <c r="H63" s="1">
        <v>45889</v>
      </c>
      <c r="I63" s="3">
        <v>45900</v>
      </c>
      <c r="J63" t="s">
        <v>191</v>
      </c>
      <c r="K63" t="s">
        <v>192</v>
      </c>
      <c r="L63">
        <v>301763.98</v>
      </c>
      <c r="M63" t="s">
        <v>118</v>
      </c>
      <c r="N63" t="s">
        <v>55</v>
      </c>
      <c r="O63" t="s">
        <v>75</v>
      </c>
    </row>
    <row r="64" spans="1:15" ht="13.8" x14ac:dyDescent="0.25">
      <c r="A64" t="s">
        <v>301</v>
      </c>
      <c r="B64" t="s">
        <v>16</v>
      </c>
      <c r="D64" t="s">
        <v>17</v>
      </c>
      <c r="E64" t="s">
        <v>155</v>
      </c>
      <c r="F64" t="s">
        <v>165</v>
      </c>
      <c r="G64" t="s">
        <v>302</v>
      </c>
      <c r="H64" t="s">
        <v>303</v>
      </c>
      <c r="I64" s="3">
        <v>45741</v>
      </c>
      <c r="J64" t="s">
        <v>168</v>
      </c>
      <c r="K64" t="s">
        <v>169</v>
      </c>
      <c r="L64" t="s">
        <v>304</v>
      </c>
      <c r="M64" t="s">
        <v>34</v>
      </c>
      <c r="N64" t="s">
        <v>74</v>
      </c>
      <c r="O64" t="s">
        <v>112</v>
      </c>
    </row>
    <row r="65" spans="1:15" ht="13.8" x14ac:dyDescent="0.25">
      <c r="A65" t="s">
        <v>305</v>
      </c>
      <c r="B65" t="s">
        <v>306</v>
      </c>
      <c r="D65" t="s">
        <v>17</v>
      </c>
      <c r="E65" t="s">
        <v>72</v>
      </c>
      <c r="F65" t="s">
        <v>40</v>
      </c>
      <c r="G65" t="s">
        <v>92</v>
      </c>
      <c r="H65" s="1">
        <v>46010</v>
      </c>
      <c r="I65" s="1">
        <v>46023</v>
      </c>
      <c r="J65" t="s">
        <v>116</v>
      </c>
      <c r="K65" t="s">
        <v>117</v>
      </c>
      <c r="M65" t="s">
        <v>34</v>
      </c>
      <c r="N65" t="s">
        <v>69</v>
      </c>
      <c r="O65" t="s">
        <v>75</v>
      </c>
    </row>
    <row r="66" spans="1:15" ht="13.8" x14ac:dyDescent="0.25">
      <c r="A66" t="s">
        <v>307</v>
      </c>
      <c r="B66" t="s">
        <v>262</v>
      </c>
      <c r="C66">
        <v>31</v>
      </c>
      <c r="D66" t="s">
        <v>17</v>
      </c>
      <c r="E66" t="s">
        <v>102</v>
      </c>
      <c r="F66" t="s">
        <v>40</v>
      </c>
      <c r="G66" t="s">
        <v>156</v>
      </c>
      <c r="H66" t="s">
        <v>308</v>
      </c>
      <c r="J66" t="s">
        <v>238</v>
      </c>
      <c r="K66" t="s">
        <v>67</v>
      </c>
      <c r="L66">
        <v>189136.82</v>
      </c>
      <c r="M66" t="s">
        <v>84</v>
      </c>
      <c r="N66" t="s">
        <v>25</v>
      </c>
      <c r="O66" t="s">
        <v>45</v>
      </c>
    </row>
    <row r="67" spans="1:15" ht="13.8" x14ac:dyDescent="0.25">
      <c r="A67" t="s">
        <v>309</v>
      </c>
      <c r="B67" t="s">
        <v>310</v>
      </c>
      <c r="C67">
        <v>0</v>
      </c>
      <c r="D67" t="s">
        <v>48</v>
      </c>
      <c r="E67" t="s">
        <v>72</v>
      </c>
      <c r="F67" t="s">
        <v>40</v>
      </c>
      <c r="G67" t="s">
        <v>156</v>
      </c>
      <c r="H67" s="1">
        <v>45890</v>
      </c>
      <c r="I67" s="1">
        <v>45897</v>
      </c>
      <c r="J67" t="s">
        <v>42</v>
      </c>
      <c r="K67" t="s">
        <v>43</v>
      </c>
      <c r="L67" t="s">
        <v>311</v>
      </c>
      <c r="M67" t="s">
        <v>118</v>
      </c>
      <c r="N67" t="s">
        <v>74</v>
      </c>
      <c r="O67" t="s">
        <v>26</v>
      </c>
    </row>
    <row r="68" spans="1:15" ht="13.8" x14ac:dyDescent="0.25">
      <c r="A68" t="s">
        <v>312</v>
      </c>
      <c r="C68">
        <v>72</v>
      </c>
      <c r="D68" t="s">
        <v>58</v>
      </c>
      <c r="F68" t="s">
        <v>30</v>
      </c>
      <c r="G68" t="s">
        <v>256</v>
      </c>
      <c r="H68" s="1">
        <v>45880</v>
      </c>
      <c r="I68" s="1">
        <v>45894</v>
      </c>
      <c r="J68" t="s">
        <v>246</v>
      </c>
      <c r="K68" t="s">
        <v>229</v>
      </c>
      <c r="L68">
        <v>269850.53999999998</v>
      </c>
      <c r="M68" t="s">
        <v>44</v>
      </c>
      <c r="N68" t="s">
        <v>25</v>
      </c>
      <c r="O68" t="s">
        <v>26</v>
      </c>
    </row>
    <row r="69" spans="1:15" ht="13.8" x14ac:dyDescent="0.25">
      <c r="A69" t="s">
        <v>313</v>
      </c>
      <c r="B69" t="s">
        <v>314</v>
      </c>
      <c r="C69">
        <v>32</v>
      </c>
      <c r="D69" t="s">
        <v>17</v>
      </c>
      <c r="E69" t="s">
        <v>18</v>
      </c>
      <c r="F69" t="s">
        <v>50</v>
      </c>
      <c r="H69" s="1">
        <v>45784</v>
      </c>
      <c r="J69" t="s">
        <v>315</v>
      </c>
      <c r="K69" t="s">
        <v>204</v>
      </c>
      <c r="L69">
        <v>29938.95</v>
      </c>
      <c r="N69" t="s">
        <v>69</v>
      </c>
      <c r="O69" t="s">
        <v>45</v>
      </c>
    </row>
    <row r="70" spans="1:15" ht="13.8" x14ac:dyDescent="0.25">
      <c r="A70" t="s">
        <v>316</v>
      </c>
      <c r="B70" t="s">
        <v>317</v>
      </c>
      <c r="C70">
        <v>77</v>
      </c>
      <c r="D70" t="s">
        <v>58</v>
      </c>
      <c r="E70" t="s">
        <v>97</v>
      </c>
      <c r="F70" t="s">
        <v>165</v>
      </c>
      <c r="G70" t="s">
        <v>172</v>
      </c>
      <c r="H70" s="1">
        <v>45747</v>
      </c>
      <c r="I70" s="1">
        <v>45750</v>
      </c>
      <c r="J70" t="s">
        <v>173</v>
      </c>
      <c r="K70" t="s">
        <v>174</v>
      </c>
      <c r="L70">
        <v>146946.73000000001</v>
      </c>
      <c r="M70" t="s">
        <v>84</v>
      </c>
      <c r="N70" t="s">
        <v>69</v>
      </c>
      <c r="O70" t="s">
        <v>198</v>
      </c>
    </row>
    <row r="71" spans="1:15" ht="13.8" x14ac:dyDescent="0.25">
      <c r="A71" t="s">
        <v>318</v>
      </c>
      <c r="B71" t="s">
        <v>319</v>
      </c>
      <c r="C71">
        <v>-8</v>
      </c>
      <c r="D71" t="s">
        <v>58</v>
      </c>
      <c r="E71" t="s">
        <v>102</v>
      </c>
      <c r="F71" t="s">
        <v>60</v>
      </c>
      <c r="G71" t="s">
        <v>61</v>
      </c>
      <c r="H71" s="1">
        <v>45854</v>
      </c>
      <c r="I71" s="1">
        <v>45862</v>
      </c>
      <c r="J71" t="s">
        <v>263</v>
      </c>
      <c r="K71" t="s">
        <v>264</v>
      </c>
      <c r="L71">
        <v>340423.43</v>
      </c>
      <c r="M71" t="s">
        <v>68</v>
      </c>
      <c r="N71" t="s">
        <v>74</v>
      </c>
      <c r="O71" t="s">
        <v>260</v>
      </c>
    </row>
    <row r="72" spans="1:15" ht="13.8" x14ac:dyDescent="0.25">
      <c r="A72" t="s">
        <v>320</v>
      </c>
      <c r="D72" t="s">
        <v>17</v>
      </c>
      <c r="E72" t="s">
        <v>39</v>
      </c>
      <c r="F72" t="s">
        <v>73</v>
      </c>
      <c r="G72" t="s">
        <v>212</v>
      </c>
      <c r="H72" s="3">
        <v>45851</v>
      </c>
      <c r="I72" s="1">
        <v>45857</v>
      </c>
      <c r="J72" t="s">
        <v>42</v>
      </c>
      <c r="K72" t="s">
        <v>43</v>
      </c>
      <c r="L72" t="s">
        <v>321</v>
      </c>
      <c r="M72" t="s">
        <v>118</v>
      </c>
      <c r="N72" t="s">
        <v>74</v>
      </c>
      <c r="O72" t="s">
        <v>134</v>
      </c>
    </row>
    <row r="73" spans="1:15" ht="13.8" x14ac:dyDescent="0.25">
      <c r="A73" t="s">
        <v>322</v>
      </c>
      <c r="B73" t="s">
        <v>314</v>
      </c>
      <c r="C73">
        <v>36</v>
      </c>
      <c r="D73" t="s">
        <v>287</v>
      </c>
      <c r="E73" t="s">
        <v>137</v>
      </c>
      <c r="G73" t="s">
        <v>212</v>
      </c>
      <c r="H73" s="3">
        <v>45853</v>
      </c>
      <c r="J73" t="s">
        <v>42</v>
      </c>
      <c r="K73" t="s">
        <v>43</v>
      </c>
      <c r="L73">
        <v>66896.94</v>
      </c>
      <c r="M73" t="s">
        <v>54</v>
      </c>
      <c r="N73" t="s">
        <v>25</v>
      </c>
      <c r="O73" t="s">
        <v>45</v>
      </c>
    </row>
    <row r="74" spans="1:15" ht="13.8" x14ac:dyDescent="0.25">
      <c r="A74" t="s">
        <v>323</v>
      </c>
      <c r="B74" t="s">
        <v>324</v>
      </c>
      <c r="C74">
        <v>36</v>
      </c>
      <c r="D74" t="s">
        <v>58</v>
      </c>
      <c r="F74" t="s">
        <v>30</v>
      </c>
      <c r="G74" t="s">
        <v>31</v>
      </c>
      <c r="H74" s="1">
        <v>45842</v>
      </c>
      <c r="I74" s="1">
        <v>45859</v>
      </c>
      <c r="J74" t="s">
        <v>32</v>
      </c>
      <c r="L74" t="s">
        <v>325</v>
      </c>
      <c r="M74" t="s">
        <v>84</v>
      </c>
      <c r="N74" t="s">
        <v>74</v>
      </c>
      <c r="O74" t="s">
        <v>112</v>
      </c>
    </row>
    <row r="75" spans="1:15" ht="13.8" x14ac:dyDescent="0.25">
      <c r="A75" t="s">
        <v>326</v>
      </c>
      <c r="B75" t="s">
        <v>327</v>
      </c>
      <c r="D75" t="s">
        <v>58</v>
      </c>
      <c r="F75" t="s">
        <v>19</v>
      </c>
      <c r="G75" t="s">
        <v>127</v>
      </c>
      <c r="H75" t="s">
        <v>328</v>
      </c>
      <c r="I75" s="1">
        <v>46018</v>
      </c>
      <c r="J75" t="s">
        <v>151</v>
      </c>
      <c r="K75" t="s">
        <v>152</v>
      </c>
      <c r="L75" t="s">
        <v>329</v>
      </c>
      <c r="M75" t="s">
        <v>34</v>
      </c>
      <c r="N75" t="s">
        <v>74</v>
      </c>
      <c r="O75" t="s">
        <v>36</v>
      </c>
    </row>
    <row r="76" spans="1:15" ht="13.8" x14ac:dyDescent="0.25">
      <c r="A76" t="s">
        <v>330</v>
      </c>
      <c r="B76" t="s">
        <v>331</v>
      </c>
      <c r="C76">
        <v>37</v>
      </c>
      <c r="E76" t="s">
        <v>155</v>
      </c>
      <c r="F76" t="s">
        <v>50</v>
      </c>
      <c r="G76" t="s">
        <v>300</v>
      </c>
      <c r="H76" s="1">
        <v>45682</v>
      </c>
      <c r="I76" s="2">
        <v>45659</v>
      </c>
      <c r="J76" t="s">
        <v>332</v>
      </c>
      <c r="L76">
        <v>177019.16</v>
      </c>
      <c r="M76" t="s">
        <v>44</v>
      </c>
      <c r="N76" t="s">
        <v>74</v>
      </c>
      <c r="O76" t="s">
        <v>198</v>
      </c>
    </row>
    <row r="77" spans="1:15" ht="13.8" x14ac:dyDescent="0.25">
      <c r="A77" t="s">
        <v>333</v>
      </c>
      <c r="B77" t="s">
        <v>334</v>
      </c>
      <c r="C77">
        <v>23</v>
      </c>
      <c r="D77" t="s">
        <v>58</v>
      </c>
      <c r="E77" t="s">
        <v>18</v>
      </c>
      <c r="F77" t="s">
        <v>103</v>
      </c>
      <c r="G77" t="s">
        <v>138</v>
      </c>
      <c r="H77" t="s">
        <v>335</v>
      </c>
      <c r="I77" s="1">
        <v>46020</v>
      </c>
      <c r="J77" t="s">
        <v>294</v>
      </c>
      <c r="K77" t="s">
        <v>336</v>
      </c>
      <c r="L77">
        <v>123352.72</v>
      </c>
      <c r="M77" t="s">
        <v>34</v>
      </c>
      <c r="O77" t="s">
        <v>26</v>
      </c>
    </row>
    <row r="78" spans="1:15" ht="13.8" x14ac:dyDescent="0.25">
      <c r="A78" t="s">
        <v>337</v>
      </c>
      <c r="B78" t="s">
        <v>338</v>
      </c>
      <c r="C78">
        <v>5</v>
      </c>
      <c r="D78" t="s">
        <v>339</v>
      </c>
      <c r="E78" t="s">
        <v>97</v>
      </c>
      <c r="F78" t="s">
        <v>103</v>
      </c>
      <c r="G78" t="s">
        <v>138</v>
      </c>
      <c r="H78" s="1">
        <v>45802</v>
      </c>
      <c r="J78" t="s">
        <v>249</v>
      </c>
      <c r="K78" t="s">
        <v>250</v>
      </c>
      <c r="L78">
        <v>303411.21999999997</v>
      </c>
      <c r="M78" t="s">
        <v>24</v>
      </c>
      <c r="N78" t="s">
        <v>69</v>
      </c>
      <c r="O78" t="s">
        <v>45</v>
      </c>
    </row>
    <row r="79" spans="1:15" ht="13.8" x14ac:dyDescent="0.25">
      <c r="A79" t="s">
        <v>340</v>
      </c>
      <c r="B79" t="s">
        <v>160</v>
      </c>
      <c r="C79">
        <v>42</v>
      </c>
      <c r="D79" t="s">
        <v>17</v>
      </c>
      <c r="E79" t="s">
        <v>155</v>
      </c>
      <c r="F79" t="s">
        <v>30</v>
      </c>
      <c r="H79" s="2">
        <v>45962</v>
      </c>
      <c r="I79" s="1">
        <v>45679</v>
      </c>
      <c r="J79" t="s">
        <v>32</v>
      </c>
      <c r="K79" t="s">
        <v>33</v>
      </c>
      <c r="L79">
        <v>276272.88</v>
      </c>
      <c r="M79" t="s">
        <v>54</v>
      </c>
      <c r="N79" t="s">
        <v>74</v>
      </c>
      <c r="O79" t="s">
        <v>75</v>
      </c>
    </row>
    <row r="80" spans="1:15" ht="13.8" x14ac:dyDescent="0.25">
      <c r="A80" t="s">
        <v>341</v>
      </c>
      <c r="B80" t="s">
        <v>342</v>
      </c>
      <c r="C80">
        <v>2</v>
      </c>
      <c r="D80" t="s">
        <v>58</v>
      </c>
      <c r="E80" t="s">
        <v>18</v>
      </c>
      <c r="F80" t="s">
        <v>30</v>
      </c>
      <c r="G80" t="s">
        <v>121</v>
      </c>
      <c r="H80" s="1">
        <v>45931</v>
      </c>
      <c r="I80" s="2">
        <v>45698</v>
      </c>
      <c r="J80" t="s">
        <v>32</v>
      </c>
      <c r="K80" t="s">
        <v>33</v>
      </c>
      <c r="L80">
        <v>154201.07</v>
      </c>
      <c r="M80" t="s">
        <v>68</v>
      </c>
      <c r="N80" t="s">
        <v>69</v>
      </c>
      <c r="O80" t="s">
        <v>134</v>
      </c>
    </row>
    <row r="81" spans="1:15" ht="13.8" x14ac:dyDescent="0.25">
      <c r="A81" t="s">
        <v>343</v>
      </c>
      <c r="B81" t="s">
        <v>344</v>
      </c>
      <c r="C81">
        <v>32</v>
      </c>
      <c r="D81" t="s">
        <v>17</v>
      </c>
      <c r="E81" t="s">
        <v>72</v>
      </c>
      <c r="F81" t="s">
        <v>30</v>
      </c>
      <c r="G81" t="s">
        <v>345</v>
      </c>
      <c r="H81" s="3">
        <v>45804</v>
      </c>
      <c r="I81" s="1">
        <v>45814</v>
      </c>
      <c r="J81" t="s">
        <v>246</v>
      </c>
      <c r="K81" t="s">
        <v>229</v>
      </c>
      <c r="L81">
        <v>229647.94</v>
      </c>
      <c r="M81" t="s">
        <v>44</v>
      </c>
      <c r="N81" t="s">
        <v>25</v>
      </c>
      <c r="O81" t="s">
        <v>36</v>
      </c>
    </row>
    <row r="82" spans="1:15" ht="13.8" x14ac:dyDescent="0.25">
      <c r="A82" t="s">
        <v>346</v>
      </c>
      <c r="C82">
        <v>42</v>
      </c>
      <c r="D82" t="s">
        <v>17</v>
      </c>
      <c r="E82" t="s">
        <v>49</v>
      </c>
      <c r="F82" t="s">
        <v>40</v>
      </c>
      <c r="G82" t="s">
        <v>156</v>
      </c>
      <c r="H82" t="s">
        <v>347</v>
      </c>
      <c r="I82" s="1">
        <v>46014</v>
      </c>
      <c r="J82" t="s">
        <v>116</v>
      </c>
      <c r="K82" t="s">
        <v>117</v>
      </c>
      <c r="L82">
        <v>229811.18</v>
      </c>
      <c r="M82" t="s">
        <v>118</v>
      </c>
      <c r="N82" t="s">
        <v>55</v>
      </c>
      <c r="O82" t="s">
        <v>36</v>
      </c>
    </row>
    <row r="83" spans="1:15" ht="13.8" x14ac:dyDescent="0.25">
      <c r="A83" t="s">
        <v>348</v>
      </c>
      <c r="B83" t="s">
        <v>349</v>
      </c>
      <c r="C83">
        <v>31</v>
      </c>
      <c r="D83" t="s">
        <v>58</v>
      </c>
      <c r="E83" t="s">
        <v>39</v>
      </c>
      <c r="G83" t="s">
        <v>61</v>
      </c>
      <c r="H83" s="1">
        <v>45916</v>
      </c>
      <c r="I83" t="s">
        <v>350</v>
      </c>
      <c r="J83" t="s">
        <v>81</v>
      </c>
      <c r="K83" t="s">
        <v>82</v>
      </c>
      <c r="L83">
        <v>279358.83</v>
      </c>
      <c r="M83" t="s">
        <v>44</v>
      </c>
      <c r="N83" t="s">
        <v>25</v>
      </c>
      <c r="O83" t="s">
        <v>112</v>
      </c>
    </row>
    <row r="84" spans="1:15" ht="13.8" x14ac:dyDescent="0.25">
      <c r="A84" t="s">
        <v>351</v>
      </c>
      <c r="B84" t="s">
        <v>38</v>
      </c>
      <c r="C84">
        <v>1</v>
      </c>
      <c r="D84" t="s">
        <v>58</v>
      </c>
      <c r="E84" t="s">
        <v>18</v>
      </c>
      <c r="F84" t="s">
        <v>60</v>
      </c>
      <c r="G84" t="s">
        <v>79</v>
      </c>
      <c r="H84" s="3">
        <v>45979</v>
      </c>
      <c r="I84" s="3">
        <v>45985</v>
      </c>
      <c r="J84" t="s">
        <v>132</v>
      </c>
      <c r="K84" t="s">
        <v>133</v>
      </c>
      <c r="L84">
        <v>144977.74</v>
      </c>
      <c r="M84" t="s">
        <v>84</v>
      </c>
      <c r="N84" t="s">
        <v>25</v>
      </c>
      <c r="O84" t="s">
        <v>36</v>
      </c>
    </row>
    <row r="85" spans="1:15" ht="13.8" x14ac:dyDescent="0.25">
      <c r="A85" t="s">
        <v>352</v>
      </c>
      <c r="B85" t="s">
        <v>353</v>
      </c>
      <c r="C85">
        <v>31</v>
      </c>
      <c r="D85" t="s">
        <v>339</v>
      </c>
      <c r="E85" t="s">
        <v>155</v>
      </c>
      <c r="F85" t="s">
        <v>40</v>
      </c>
      <c r="G85" t="s">
        <v>212</v>
      </c>
      <c r="H85" s="1">
        <v>45661</v>
      </c>
      <c r="I85" s="2">
        <v>45901</v>
      </c>
      <c r="J85" t="s">
        <v>116</v>
      </c>
      <c r="K85" t="s">
        <v>117</v>
      </c>
      <c r="L85">
        <v>33830.339999999997</v>
      </c>
      <c r="M85" t="s">
        <v>54</v>
      </c>
      <c r="N85" t="s">
        <v>74</v>
      </c>
      <c r="O85" t="s">
        <v>26</v>
      </c>
    </row>
    <row r="86" spans="1:15" ht="13.8" x14ac:dyDescent="0.25">
      <c r="A86" t="s">
        <v>354</v>
      </c>
      <c r="B86" t="s">
        <v>355</v>
      </c>
      <c r="C86">
        <v>73</v>
      </c>
      <c r="E86" t="s">
        <v>78</v>
      </c>
      <c r="F86" t="s">
        <v>30</v>
      </c>
      <c r="G86" t="s">
        <v>31</v>
      </c>
      <c r="H86" s="2">
        <v>45995</v>
      </c>
      <c r="I86" s="1">
        <v>45769</v>
      </c>
      <c r="J86" t="s">
        <v>246</v>
      </c>
      <c r="K86" t="s">
        <v>229</v>
      </c>
      <c r="L86" t="s">
        <v>356</v>
      </c>
      <c r="M86" t="s">
        <v>84</v>
      </c>
      <c r="N86" t="s">
        <v>74</v>
      </c>
      <c r="O86" t="s">
        <v>36</v>
      </c>
    </row>
    <row r="87" spans="1:15" ht="13.8" x14ac:dyDescent="0.25">
      <c r="A87" t="s">
        <v>357</v>
      </c>
      <c r="B87" t="s">
        <v>358</v>
      </c>
      <c r="C87" t="s">
        <v>359</v>
      </c>
      <c r="D87" t="s">
        <v>17</v>
      </c>
      <c r="E87" t="s">
        <v>360</v>
      </c>
      <c r="F87" t="s">
        <v>40</v>
      </c>
      <c r="G87" t="s">
        <v>212</v>
      </c>
      <c r="H87" s="1">
        <v>45967</v>
      </c>
      <c r="I87" t="s">
        <v>361</v>
      </c>
      <c r="J87" t="s">
        <v>116</v>
      </c>
      <c r="K87" t="s">
        <v>117</v>
      </c>
      <c r="L87">
        <v>20324.259999999998</v>
      </c>
      <c r="M87" t="s">
        <v>54</v>
      </c>
      <c r="N87" t="s">
        <v>55</v>
      </c>
      <c r="O87" t="s">
        <v>75</v>
      </c>
    </row>
    <row r="88" spans="1:15" ht="13.8" x14ac:dyDescent="0.25">
      <c r="A88" t="s">
        <v>362</v>
      </c>
      <c r="B88" t="s">
        <v>363</v>
      </c>
      <c r="C88">
        <v>11</v>
      </c>
      <c r="D88" t="s">
        <v>17</v>
      </c>
      <c r="E88" t="s">
        <v>155</v>
      </c>
      <c r="F88" t="s">
        <v>30</v>
      </c>
      <c r="G88" t="s">
        <v>256</v>
      </c>
      <c r="H88" s="3">
        <v>45928</v>
      </c>
      <c r="I88" s="3">
        <v>45938</v>
      </c>
      <c r="J88" t="s">
        <v>246</v>
      </c>
      <c r="K88" t="s">
        <v>229</v>
      </c>
      <c r="L88">
        <v>320565.07</v>
      </c>
      <c r="M88" t="s">
        <v>68</v>
      </c>
      <c r="N88" t="s">
        <v>74</v>
      </c>
      <c r="O88" t="s">
        <v>26</v>
      </c>
    </row>
    <row r="89" spans="1:15" ht="13.8" x14ac:dyDescent="0.25">
      <c r="A89" t="s">
        <v>364</v>
      </c>
      <c r="B89" t="s">
        <v>365</v>
      </c>
      <c r="C89">
        <v>47</v>
      </c>
      <c r="D89" t="s">
        <v>58</v>
      </c>
      <c r="E89" t="s">
        <v>78</v>
      </c>
      <c r="F89" t="s">
        <v>19</v>
      </c>
      <c r="G89" t="s">
        <v>127</v>
      </c>
      <c r="H89" s="3">
        <v>45949</v>
      </c>
      <c r="I89" s="3">
        <v>45961</v>
      </c>
      <c r="J89" t="s">
        <v>366</v>
      </c>
      <c r="K89" t="s">
        <v>367</v>
      </c>
      <c r="L89">
        <v>230031.26</v>
      </c>
      <c r="M89" t="s">
        <v>213</v>
      </c>
      <c r="N89" t="s">
        <v>25</v>
      </c>
      <c r="O89" t="s">
        <v>260</v>
      </c>
    </row>
    <row r="90" spans="1:15" ht="13.8" x14ac:dyDescent="0.25">
      <c r="A90" t="s">
        <v>368</v>
      </c>
      <c r="B90" t="s">
        <v>369</v>
      </c>
      <c r="C90">
        <v>78</v>
      </c>
      <c r="D90" t="s">
        <v>58</v>
      </c>
      <c r="E90" t="s">
        <v>78</v>
      </c>
      <c r="F90" t="s">
        <v>103</v>
      </c>
      <c r="H90" s="3">
        <v>45787</v>
      </c>
      <c r="I90" s="3">
        <v>45795</v>
      </c>
      <c r="J90" t="s">
        <v>219</v>
      </c>
      <c r="K90" t="s">
        <v>140</v>
      </c>
      <c r="L90">
        <v>258859.27</v>
      </c>
      <c r="M90" t="s">
        <v>34</v>
      </c>
      <c r="N90" t="s">
        <v>55</v>
      </c>
      <c r="O90" t="s">
        <v>36</v>
      </c>
    </row>
    <row r="91" spans="1:15" ht="13.8" x14ac:dyDescent="0.25">
      <c r="A91" t="s">
        <v>370</v>
      </c>
      <c r="B91" t="s">
        <v>371</v>
      </c>
      <c r="C91">
        <v>40</v>
      </c>
      <c r="D91" t="s">
        <v>17</v>
      </c>
      <c r="E91" t="s">
        <v>39</v>
      </c>
      <c r="F91" t="s">
        <v>50</v>
      </c>
      <c r="G91" t="s">
        <v>51</v>
      </c>
      <c r="H91" s="1">
        <v>45928</v>
      </c>
      <c r="I91" s="1">
        <v>45940</v>
      </c>
      <c r="J91" t="s">
        <v>315</v>
      </c>
      <c r="K91" t="s">
        <v>204</v>
      </c>
      <c r="L91">
        <v>133462.39999999999</v>
      </c>
      <c r="M91" t="s">
        <v>24</v>
      </c>
      <c r="N91" t="s">
        <v>25</v>
      </c>
      <c r="O91" t="s">
        <v>36</v>
      </c>
    </row>
    <row r="92" spans="1:15" ht="13.8" x14ac:dyDescent="0.25">
      <c r="A92" t="s">
        <v>372</v>
      </c>
      <c r="B92" t="s">
        <v>373</v>
      </c>
      <c r="D92" t="s">
        <v>287</v>
      </c>
      <c r="E92" t="s">
        <v>49</v>
      </c>
      <c r="F92" t="s">
        <v>60</v>
      </c>
      <c r="G92" t="s">
        <v>177</v>
      </c>
      <c r="H92" s="3">
        <v>45882</v>
      </c>
      <c r="J92" t="s">
        <v>62</v>
      </c>
      <c r="K92" t="s">
        <v>63</v>
      </c>
      <c r="L92">
        <v>326064.67</v>
      </c>
      <c r="N92" t="s">
        <v>35</v>
      </c>
      <c r="O92" t="s">
        <v>45</v>
      </c>
    </row>
    <row r="93" spans="1:15" ht="13.8" x14ac:dyDescent="0.25">
      <c r="A93" t="s">
        <v>374</v>
      </c>
      <c r="B93" t="s">
        <v>375</v>
      </c>
      <c r="C93">
        <v>16</v>
      </c>
      <c r="D93" t="s">
        <v>58</v>
      </c>
      <c r="E93" t="s">
        <v>59</v>
      </c>
      <c r="F93" t="s">
        <v>19</v>
      </c>
      <c r="G93" t="s">
        <v>127</v>
      </c>
      <c r="H93" s="1">
        <v>45912</v>
      </c>
      <c r="I93" s="1">
        <v>45929</v>
      </c>
      <c r="J93" t="s">
        <v>22</v>
      </c>
      <c r="K93" t="s">
        <v>23</v>
      </c>
      <c r="L93">
        <v>63936.59</v>
      </c>
      <c r="M93" t="s">
        <v>118</v>
      </c>
      <c r="N93" t="s">
        <v>25</v>
      </c>
      <c r="O93" t="s">
        <v>75</v>
      </c>
    </row>
    <row r="94" spans="1:15" ht="13.8" x14ac:dyDescent="0.25">
      <c r="A94" t="s">
        <v>376</v>
      </c>
      <c r="B94" t="s">
        <v>272</v>
      </c>
      <c r="C94">
        <v>43</v>
      </c>
      <c r="D94" t="s">
        <v>58</v>
      </c>
      <c r="E94" t="s">
        <v>102</v>
      </c>
      <c r="F94" t="s">
        <v>40</v>
      </c>
      <c r="G94" t="s">
        <v>92</v>
      </c>
      <c r="H94" s="1">
        <v>46011</v>
      </c>
      <c r="I94" s="1">
        <v>46022</v>
      </c>
      <c r="K94" t="s">
        <v>117</v>
      </c>
      <c r="L94" t="s">
        <v>377</v>
      </c>
      <c r="M94" t="s">
        <v>24</v>
      </c>
      <c r="N94" t="s">
        <v>25</v>
      </c>
      <c r="O94" t="s">
        <v>36</v>
      </c>
    </row>
    <row r="95" spans="1:15" ht="13.8" x14ac:dyDescent="0.25">
      <c r="A95" t="s">
        <v>378</v>
      </c>
      <c r="B95" t="s">
        <v>379</v>
      </c>
      <c r="C95">
        <v>51</v>
      </c>
      <c r="D95" t="s">
        <v>17</v>
      </c>
      <c r="E95" t="s">
        <v>97</v>
      </c>
      <c r="F95" t="s">
        <v>19</v>
      </c>
      <c r="G95" t="s">
        <v>20</v>
      </c>
      <c r="H95" s="3">
        <v>45754</v>
      </c>
      <c r="I95" t="s">
        <v>380</v>
      </c>
      <c r="J95" t="s">
        <v>22</v>
      </c>
      <c r="K95" t="s">
        <v>23</v>
      </c>
      <c r="L95">
        <v>261143.73</v>
      </c>
      <c r="M95" t="s">
        <v>34</v>
      </c>
      <c r="N95" t="s">
        <v>69</v>
      </c>
      <c r="O95" t="s">
        <v>75</v>
      </c>
    </row>
    <row r="96" spans="1:15" ht="13.8" x14ac:dyDescent="0.25">
      <c r="A96" t="s">
        <v>381</v>
      </c>
      <c r="B96" t="s">
        <v>382</v>
      </c>
      <c r="C96">
        <v>76</v>
      </c>
      <c r="D96" t="s">
        <v>58</v>
      </c>
      <c r="E96" t="s">
        <v>78</v>
      </c>
      <c r="F96" t="s">
        <v>50</v>
      </c>
      <c r="G96" t="s">
        <v>190</v>
      </c>
      <c r="H96" s="3">
        <v>45700</v>
      </c>
      <c r="I96" s="3">
        <v>45705</v>
      </c>
      <c r="J96" t="s">
        <v>332</v>
      </c>
      <c r="K96" t="s">
        <v>383</v>
      </c>
      <c r="L96" t="s">
        <v>384</v>
      </c>
      <c r="M96" t="s">
        <v>118</v>
      </c>
      <c r="N96" t="s">
        <v>265</v>
      </c>
      <c r="O96" t="s">
        <v>26</v>
      </c>
    </row>
    <row r="97" spans="1:15" ht="13.8" x14ac:dyDescent="0.25">
      <c r="A97" t="s">
        <v>385</v>
      </c>
      <c r="B97" t="s">
        <v>96</v>
      </c>
      <c r="C97">
        <v>58</v>
      </c>
      <c r="D97" t="s">
        <v>17</v>
      </c>
      <c r="E97" t="s">
        <v>18</v>
      </c>
      <c r="F97" t="s">
        <v>165</v>
      </c>
      <c r="G97" t="s">
        <v>172</v>
      </c>
      <c r="H97" s="3">
        <v>45948</v>
      </c>
      <c r="I97" s="3">
        <v>45964</v>
      </c>
      <c r="J97" t="s">
        <v>222</v>
      </c>
      <c r="K97" t="s">
        <v>386</v>
      </c>
      <c r="L97">
        <v>347786.26</v>
      </c>
      <c r="M97" t="s">
        <v>118</v>
      </c>
      <c r="N97" t="s">
        <v>55</v>
      </c>
      <c r="O97" t="s">
        <v>26</v>
      </c>
    </row>
    <row r="98" spans="1:15" ht="13.8" x14ac:dyDescent="0.25">
      <c r="A98" t="s">
        <v>387</v>
      </c>
      <c r="B98" t="s">
        <v>158</v>
      </c>
      <c r="C98">
        <v>1</v>
      </c>
      <c r="D98" t="s">
        <v>58</v>
      </c>
      <c r="E98" t="s">
        <v>97</v>
      </c>
      <c r="F98" t="s">
        <v>19</v>
      </c>
      <c r="G98" t="s">
        <v>388</v>
      </c>
      <c r="H98" t="s">
        <v>389</v>
      </c>
      <c r="J98" t="s">
        <v>233</v>
      </c>
      <c r="K98" t="s">
        <v>234</v>
      </c>
      <c r="L98">
        <v>24001.08</v>
      </c>
      <c r="M98" t="s">
        <v>24</v>
      </c>
      <c r="N98" t="s">
        <v>25</v>
      </c>
      <c r="O98" t="s">
        <v>45</v>
      </c>
    </row>
    <row r="99" spans="1:15" ht="13.8" x14ac:dyDescent="0.25">
      <c r="A99" t="s">
        <v>390</v>
      </c>
      <c r="B99" t="s">
        <v>391</v>
      </c>
      <c r="C99">
        <v>87</v>
      </c>
      <c r="D99" t="s">
        <v>58</v>
      </c>
      <c r="E99" t="s">
        <v>78</v>
      </c>
      <c r="F99" t="s">
        <v>40</v>
      </c>
      <c r="G99" t="s">
        <v>156</v>
      </c>
      <c r="H99" s="1">
        <v>45979</v>
      </c>
      <c r="I99" t="s">
        <v>392</v>
      </c>
      <c r="K99" t="s">
        <v>43</v>
      </c>
      <c r="L99">
        <v>246727.33</v>
      </c>
      <c r="M99" t="s">
        <v>34</v>
      </c>
      <c r="O99" t="s">
        <v>36</v>
      </c>
    </row>
    <row r="100" spans="1:15" ht="13.8" x14ac:dyDescent="0.25">
      <c r="A100" t="s">
        <v>393</v>
      </c>
      <c r="B100" t="s">
        <v>394</v>
      </c>
      <c r="C100">
        <v>85</v>
      </c>
      <c r="D100" t="s">
        <v>58</v>
      </c>
      <c r="E100" t="s">
        <v>18</v>
      </c>
      <c r="F100" t="s">
        <v>19</v>
      </c>
      <c r="G100" t="s">
        <v>196</v>
      </c>
      <c r="H100" s="1">
        <v>45825</v>
      </c>
      <c r="K100" t="s">
        <v>23</v>
      </c>
      <c r="L100" t="s">
        <v>395</v>
      </c>
      <c r="M100" t="s">
        <v>24</v>
      </c>
      <c r="N100" t="s">
        <v>74</v>
      </c>
      <c r="O100" t="s">
        <v>36</v>
      </c>
    </row>
    <row r="101" spans="1:15" ht="13.8" x14ac:dyDescent="0.25">
      <c r="A101" t="s">
        <v>396</v>
      </c>
      <c r="B101" t="s">
        <v>397</v>
      </c>
      <c r="C101">
        <v>-7</v>
      </c>
      <c r="D101" t="s">
        <v>58</v>
      </c>
      <c r="E101" t="s">
        <v>102</v>
      </c>
      <c r="F101" t="s">
        <v>50</v>
      </c>
      <c r="G101" t="s">
        <v>300</v>
      </c>
      <c r="H101" s="3">
        <v>45968</v>
      </c>
      <c r="I101" t="s">
        <v>361</v>
      </c>
      <c r="J101" t="s">
        <v>315</v>
      </c>
      <c r="K101" t="s">
        <v>398</v>
      </c>
      <c r="L101">
        <v>307214.53000000003</v>
      </c>
      <c r="M101" t="s">
        <v>68</v>
      </c>
      <c r="O101" t="s">
        <v>26</v>
      </c>
    </row>
    <row r="102" spans="1:15" ht="13.8" x14ac:dyDescent="0.25">
      <c r="A102" t="s">
        <v>399</v>
      </c>
      <c r="B102" t="s">
        <v>232</v>
      </c>
      <c r="C102">
        <v>-70</v>
      </c>
      <c r="D102" t="s">
        <v>58</v>
      </c>
      <c r="E102" t="s">
        <v>72</v>
      </c>
      <c r="F102" t="s">
        <v>19</v>
      </c>
      <c r="G102" t="s">
        <v>20</v>
      </c>
      <c r="H102" s="3">
        <v>45800</v>
      </c>
      <c r="I102" s="1">
        <v>45808</v>
      </c>
      <c r="J102" t="s">
        <v>151</v>
      </c>
      <c r="K102" t="s">
        <v>152</v>
      </c>
      <c r="L102">
        <v>339192.39</v>
      </c>
      <c r="M102" t="s">
        <v>118</v>
      </c>
      <c r="N102" t="s">
        <v>74</v>
      </c>
      <c r="O102" t="s">
        <v>36</v>
      </c>
    </row>
    <row r="103" spans="1:15" ht="13.8" x14ac:dyDescent="0.25">
      <c r="A103" t="s">
        <v>400</v>
      </c>
      <c r="B103" t="s">
        <v>176</v>
      </c>
      <c r="C103">
        <v>27</v>
      </c>
      <c r="D103" t="s">
        <v>58</v>
      </c>
      <c r="E103" t="s">
        <v>59</v>
      </c>
      <c r="F103" t="s">
        <v>50</v>
      </c>
      <c r="G103" t="s">
        <v>51</v>
      </c>
      <c r="H103" s="1">
        <v>46005</v>
      </c>
      <c r="I103" t="s">
        <v>401</v>
      </c>
      <c r="J103" t="s">
        <v>52</v>
      </c>
      <c r="K103" t="s">
        <v>53</v>
      </c>
      <c r="L103">
        <v>325667.90999999997</v>
      </c>
      <c r="M103" t="s">
        <v>34</v>
      </c>
      <c r="N103" t="s">
        <v>74</v>
      </c>
      <c r="O103" t="s">
        <v>26</v>
      </c>
    </row>
    <row r="104" spans="1:15" ht="13.8" x14ac:dyDescent="0.25">
      <c r="B104" t="s">
        <v>402</v>
      </c>
      <c r="C104" t="s">
        <v>403</v>
      </c>
      <c r="D104" t="s">
        <v>58</v>
      </c>
      <c r="E104" t="s">
        <v>155</v>
      </c>
      <c r="F104" t="s">
        <v>103</v>
      </c>
      <c r="G104" t="s">
        <v>138</v>
      </c>
      <c r="H104" s="3">
        <v>45853</v>
      </c>
      <c r="I104" t="s">
        <v>404</v>
      </c>
      <c r="J104" t="s">
        <v>249</v>
      </c>
      <c r="L104">
        <v>197706.83</v>
      </c>
      <c r="M104" t="s">
        <v>54</v>
      </c>
      <c r="N104" t="s">
        <v>69</v>
      </c>
      <c r="O104" t="s">
        <v>112</v>
      </c>
    </row>
    <row r="105" spans="1:15" ht="13.8" x14ac:dyDescent="0.25">
      <c r="A105" t="s">
        <v>405</v>
      </c>
      <c r="B105" t="s">
        <v>406</v>
      </c>
      <c r="C105" t="s">
        <v>407</v>
      </c>
      <c r="D105" t="s">
        <v>58</v>
      </c>
      <c r="E105" t="s">
        <v>39</v>
      </c>
      <c r="F105" t="s">
        <v>103</v>
      </c>
      <c r="G105" t="s">
        <v>138</v>
      </c>
      <c r="H105" s="1">
        <v>46016</v>
      </c>
      <c r="I105" t="s">
        <v>408</v>
      </c>
      <c r="J105" t="s">
        <v>106</v>
      </c>
      <c r="K105" t="s">
        <v>110</v>
      </c>
      <c r="L105">
        <v>143834.62</v>
      </c>
      <c r="M105" t="s">
        <v>44</v>
      </c>
      <c r="N105" t="s">
        <v>55</v>
      </c>
      <c r="O105" t="s">
        <v>36</v>
      </c>
    </row>
    <row r="106" spans="1:15" ht="13.8" x14ac:dyDescent="0.25">
      <c r="A106" t="s">
        <v>409</v>
      </c>
      <c r="B106" t="s">
        <v>314</v>
      </c>
      <c r="C106">
        <v>38</v>
      </c>
      <c r="D106" t="s">
        <v>115</v>
      </c>
      <c r="E106" t="s">
        <v>49</v>
      </c>
      <c r="F106" t="s">
        <v>19</v>
      </c>
      <c r="G106" t="s">
        <v>127</v>
      </c>
      <c r="H106" s="1">
        <v>45916</v>
      </c>
      <c r="I106" s="1">
        <v>45929</v>
      </c>
      <c r="J106" t="s">
        <v>366</v>
      </c>
      <c r="K106" t="s">
        <v>367</v>
      </c>
      <c r="L106">
        <v>84421.63</v>
      </c>
      <c r="M106" t="s">
        <v>84</v>
      </c>
      <c r="N106" t="s">
        <v>25</v>
      </c>
      <c r="O106" t="s">
        <v>112</v>
      </c>
    </row>
    <row r="107" spans="1:15" ht="13.8" x14ac:dyDescent="0.25">
      <c r="A107" t="s">
        <v>410</v>
      </c>
      <c r="B107" t="s">
        <v>411</v>
      </c>
      <c r="C107">
        <v>44</v>
      </c>
      <c r="D107" t="s">
        <v>58</v>
      </c>
      <c r="E107" t="s">
        <v>137</v>
      </c>
      <c r="F107" t="s">
        <v>50</v>
      </c>
      <c r="G107" t="s">
        <v>201</v>
      </c>
      <c r="H107" t="s">
        <v>412</v>
      </c>
      <c r="J107" t="s">
        <v>413</v>
      </c>
      <c r="K107" t="s">
        <v>383</v>
      </c>
      <c r="L107" t="s">
        <v>414</v>
      </c>
      <c r="M107" t="s">
        <v>54</v>
      </c>
      <c r="N107" t="s">
        <v>35</v>
      </c>
      <c r="O107" t="s">
        <v>45</v>
      </c>
    </row>
    <row r="108" spans="1:15" ht="13.8" x14ac:dyDescent="0.25">
      <c r="A108" t="s">
        <v>415</v>
      </c>
      <c r="B108" t="s">
        <v>416</v>
      </c>
      <c r="C108">
        <v>30</v>
      </c>
      <c r="D108" t="s">
        <v>287</v>
      </c>
      <c r="E108" t="s">
        <v>137</v>
      </c>
      <c r="F108" t="s">
        <v>60</v>
      </c>
      <c r="G108" t="s">
        <v>79</v>
      </c>
      <c r="H108" t="s">
        <v>417</v>
      </c>
      <c r="I108" s="1">
        <v>45839</v>
      </c>
      <c r="J108" t="s">
        <v>62</v>
      </c>
      <c r="K108" t="s">
        <v>63</v>
      </c>
      <c r="L108">
        <v>302578.84000000003</v>
      </c>
      <c r="M108" t="s">
        <v>34</v>
      </c>
      <c r="O108" t="s">
        <v>36</v>
      </c>
    </row>
    <row r="109" spans="1:15" ht="13.8" x14ac:dyDescent="0.25">
      <c r="A109" t="s">
        <v>418</v>
      </c>
      <c r="B109" t="s">
        <v>324</v>
      </c>
      <c r="C109">
        <v>49</v>
      </c>
      <c r="D109" t="s">
        <v>58</v>
      </c>
      <c r="E109" t="s">
        <v>137</v>
      </c>
      <c r="F109" t="s">
        <v>50</v>
      </c>
      <c r="H109" s="1">
        <v>45874</v>
      </c>
      <c r="I109" s="3">
        <v>45887</v>
      </c>
      <c r="J109" t="s">
        <v>315</v>
      </c>
      <c r="K109" t="s">
        <v>204</v>
      </c>
      <c r="L109" t="s">
        <v>419</v>
      </c>
      <c r="M109" t="s">
        <v>34</v>
      </c>
      <c r="N109" t="s">
        <v>35</v>
      </c>
      <c r="O109" t="s">
        <v>112</v>
      </c>
    </row>
    <row r="110" spans="1:15" ht="13.8" x14ac:dyDescent="0.25">
      <c r="A110" t="s">
        <v>420</v>
      </c>
      <c r="B110" t="s">
        <v>421</v>
      </c>
      <c r="C110">
        <v>33</v>
      </c>
      <c r="D110" t="s">
        <v>58</v>
      </c>
      <c r="E110" t="s">
        <v>39</v>
      </c>
      <c r="F110" t="s">
        <v>40</v>
      </c>
      <c r="G110" t="s">
        <v>156</v>
      </c>
      <c r="H110" t="s">
        <v>422</v>
      </c>
      <c r="I110" t="s">
        <v>423</v>
      </c>
      <c r="J110" t="s">
        <v>116</v>
      </c>
      <c r="K110" t="s">
        <v>117</v>
      </c>
      <c r="L110">
        <v>196997.77</v>
      </c>
      <c r="M110" t="s">
        <v>34</v>
      </c>
      <c r="N110" t="s">
        <v>74</v>
      </c>
      <c r="O110" t="s">
        <v>26</v>
      </c>
    </row>
    <row r="111" spans="1:15" ht="13.8" x14ac:dyDescent="0.25">
      <c r="A111" t="s">
        <v>424</v>
      </c>
      <c r="B111" t="s">
        <v>425</v>
      </c>
      <c r="C111">
        <v>9</v>
      </c>
      <c r="D111" t="s">
        <v>17</v>
      </c>
      <c r="E111" t="s">
        <v>39</v>
      </c>
      <c r="F111" t="s">
        <v>165</v>
      </c>
      <c r="G111" t="s">
        <v>172</v>
      </c>
      <c r="H111" t="s">
        <v>426</v>
      </c>
      <c r="I111" s="1">
        <v>45668</v>
      </c>
      <c r="J111" t="s">
        <v>222</v>
      </c>
      <c r="K111" t="s">
        <v>223</v>
      </c>
      <c r="L111">
        <v>208157.84</v>
      </c>
      <c r="M111" t="s">
        <v>118</v>
      </c>
      <c r="N111" t="s">
        <v>35</v>
      </c>
      <c r="O111" t="s">
        <v>112</v>
      </c>
    </row>
    <row r="112" spans="1:15" ht="13.8" x14ac:dyDescent="0.25">
      <c r="A112" t="s">
        <v>427</v>
      </c>
      <c r="B112" t="s">
        <v>428</v>
      </c>
      <c r="C112">
        <v>51</v>
      </c>
      <c r="D112" t="s">
        <v>17</v>
      </c>
      <c r="E112" t="s">
        <v>102</v>
      </c>
      <c r="F112" t="s">
        <v>60</v>
      </c>
      <c r="G112" t="s">
        <v>177</v>
      </c>
      <c r="H112" s="1">
        <v>45660</v>
      </c>
      <c r="I112" t="s">
        <v>429</v>
      </c>
      <c r="J112" t="s">
        <v>62</v>
      </c>
      <c r="K112" t="s">
        <v>63</v>
      </c>
      <c r="L112">
        <v>-77360.97</v>
      </c>
      <c r="M112" t="s">
        <v>34</v>
      </c>
      <c r="N112" t="s">
        <v>55</v>
      </c>
      <c r="O112" t="s">
        <v>134</v>
      </c>
    </row>
    <row r="113" spans="1:15" ht="13.8" x14ac:dyDescent="0.25">
      <c r="A113" t="s">
        <v>430</v>
      </c>
      <c r="B113" t="s">
        <v>431</v>
      </c>
      <c r="C113">
        <v>27</v>
      </c>
      <c r="D113" t="s">
        <v>17</v>
      </c>
      <c r="E113" t="s">
        <v>137</v>
      </c>
      <c r="F113" t="s">
        <v>50</v>
      </c>
      <c r="G113" t="s">
        <v>300</v>
      </c>
      <c r="H113" t="s">
        <v>432</v>
      </c>
      <c r="J113" t="s">
        <v>332</v>
      </c>
      <c r="K113" t="s">
        <v>383</v>
      </c>
      <c r="M113" t="s">
        <v>54</v>
      </c>
      <c r="O113" t="s">
        <v>45</v>
      </c>
    </row>
    <row r="114" spans="1:15" ht="13.8" x14ac:dyDescent="0.25">
      <c r="A114" t="s">
        <v>433</v>
      </c>
      <c r="B114" t="s">
        <v>434</v>
      </c>
      <c r="C114">
        <v>72</v>
      </c>
      <c r="D114" t="s">
        <v>58</v>
      </c>
      <c r="E114" t="s">
        <v>39</v>
      </c>
      <c r="F114" t="s">
        <v>30</v>
      </c>
      <c r="G114" t="s">
        <v>31</v>
      </c>
      <c r="H114" s="3">
        <v>45800</v>
      </c>
      <c r="I114" s="1">
        <v>45813</v>
      </c>
      <c r="J114" t="s">
        <v>122</v>
      </c>
      <c r="K114" t="s">
        <v>123</v>
      </c>
      <c r="L114">
        <v>20469.05</v>
      </c>
      <c r="M114" t="s">
        <v>118</v>
      </c>
      <c r="N114" t="s">
        <v>25</v>
      </c>
      <c r="O114" t="s">
        <v>36</v>
      </c>
    </row>
    <row r="115" spans="1:15" ht="13.8" x14ac:dyDescent="0.25">
      <c r="A115" t="s">
        <v>435</v>
      </c>
      <c r="B115" t="s">
        <v>436</v>
      </c>
      <c r="C115">
        <v>59</v>
      </c>
      <c r="D115" t="s">
        <v>58</v>
      </c>
      <c r="E115" t="s">
        <v>39</v>
      </c>
      <c r="F115" t="s">
        <v>50</v>
      </c>
      <c r="G115" t="s">
        <v>300</v>
      </c>
      <c r="H115" t="s">
        <v>308</v>
      </c>
      <c r="I115" s="3">
        <v>45962</v>
      </c>
      <c r="J115" t="s">
        <v>315</v>
      </c>
      <c r="K115" t="s">
        <v>398</v>
      </c>
      <c r="L115">
        <v>61751.41</v>
      </c>
      <c r="M115" t="s">
        <v>84</v>
      </c>
      <c r="N115" t="s">
        <v>55</v>
      </c>
      <c r="O115" t="s">
        <v>26</v>
      </c>
    </row>
    <row r="116" spans="1:15" ht="13.8" x14ac:dyDescent="0.25">
      <c r="A116" t="s">
        <v>437</v>
      </c>
      <c r="B116" t="s">
        <v>438</v>
      </c>
      <c r="C116">
        <v>54</v>
      </c>
      <c r="D116" t="s">
        <v>58</v>
      </c>
      <c r="E116" t="s">
        <v>137</v>
      </c>
      <c r="H116" s="3">
        <v>45775</v>
      </c>
      <c r="I116" s="1">
        <v>45790</v>
      </c>
      <c r="J116" t="s">
        <v>366</v>
      </c>
      <c r="K116" t="s">
        <v>367</v>
      </c>
      <c r="L116">
        <v>-60490.93</v>
      </c>
      <c r="N116" t="s">
        <v>74</v>
      </c>
      <c r="O116" t="s">
        <v>75</v>
      </c>
    </row>
    <row r="117" spans="1:15" ht="13.8" x14ac:dyDescent="0.25">
      <c r="A117" t="s">
        <v>439</v>
      </c>
      <c r="B117" t="s">
        <v>440</v>
      </c>
      <c r="C117" t="s">
        <v>441</v>
      </c>
      <c r="D117" t="s">
        <v>17</v>
      </c>
      <c r="E117" t="s">
        <v>442</v>
      </c>
      <c r="F117" t="s">
        <v>19</v>
      </c>
      <c r="G117" t="s">
        <v>20</v>
      </c>
      <c r="H117" s="2">
        <v>45809</v>
      </c>
      <c r="I117" s="1">
        <v>45674</v>
      </c>
      <c r="J117" t="s">
        <v>443</v>
      </c>
      <c r="K117" t="s">
        <v>23</v>
      </c>
      <c r="L117">
        <v>140940.70000000001</v>
      </c>
      <c r="M117" t="s">
        <v>44</v>
      </c>
      <c r="N117" t="s">
        <v>69</v>
      </c>
      <c r="O117" t="s">
        <v>26</v>
      </c>
    </row>
    <row r="118" spans="1:15" ht="13.8" x14ac:dyDescent="0.25">
      <c r="A118" t="s">
        <v>444</v>
      </c>
      <c r="B118" t="s">
        <v>445</v>
      </c>
      <c r="C118">
        <v>16</v>
      </c>
      <c r="D118" t="s">
        <v>17</v>
      </c>
      <c r="E118" t="s">
        <v>155</v>
      </c>
      <c r="F118" t="s">
        <v>19</v>
      </c>
      <c r="G118" t="s">
        <v>20</v>
      </c>
      <c r="H118" s="1">
        <v>45751</v>
      </c>
      <c r="I118" s="3">
        <v>45763</v>
      </c>
      <c r="J118" t="s">
        <v>233</v>
      </c>
      <c r="K118" t="s">
        <v>234</v>
      </c>
      <c r="L118">
        <v>13022.92</v>
      </c>
      <c r="M118" t="s">
        <v>54</v>
      </c>
      <c r="N118" t="s">
        <v>25</v>
      </c>
      <c r="O118" t="s">
        <v>75</v>
      </c>
    </row>
    <row r="119" spans="1:15" ht="13.8" x14ac:dyDescent="0.25">
      <c r="A119" t="s">
        <v>446</v>
      </c>
      <c r="B119" t="s">
        <v>447</v>
      </c>
      <c r="C119">
        <v>44</v>
      </c>
      <c r="D119" t="s">
        <v>17</v>
      </c>
      <c r="E119" t="s">
        <v>49</v>
      </c>
      <c r="F119" t="s">
        <v>165</v>
      </c>
      <c r="G119" t="s">
        <v>172</v>
      </c>
      <c r="H119" s="1">
        <v>45940</v>
      </c>
      <c r="I119" s="1">
        <v>45946</v>
      </c>
      <c r="J119" t="s">
        <v>168</v>
      </c>
      <c r="K119" t="s">
        <v>448</v>
      </c>
      <c r="L119">
        <v>218150.25</v>
      </c>
      <c r="M119" t="s">
        <v>84</v>
      </c>
      <c r="N119" t="s">
        <v>35</v>
      </c>
      <c r="O119" t="s">
        <v>26</v>
      </c>
    </row>
    <row r="120" spans="1:15" ht="13.8" x14ac:dyDescent="0.25">
      <c r="A120" t="s">
        <v>449</v>
      </c>
      <c r="B120" t="s">
        <v>289</v>
      </c>
      <c r="C120">
        <v>46</v>
      </c>
      <c r="D120" t="s">
        <v>58</v>
      </c>
      <c r="E120" t="s">
        <v>442</v>
      </c>
      <c r="F120" t="s">
        <v>19</v>
      </c>
      <c r="G120" t="s">
        <v>127</v>
      </c>
      <c r="H120" s="1">
        <v>45942</v>
      </c>
      <c r="J120" t="s">
        <v>233</v>
      </c>
      <c r="K120" t="s">
        <v>234</v>
      </c>
      <c r="L120">
        <v>164587.4</v>
      </c>
      <c r="M120" t="s">
        <v>84</v>
      </c>
      <c r="N120" t="s">
        <v>25</v>
      </c>
      <c r="O120" t="s">
        <v>45</v>
      </c>
    </row>
    <row r="121" spans="1:15" ht="13.8" x14ac:dyDescent="0.25">
      <c r="A121" t="s">
        <v>450</v>
      </c>
      <c r="B121" t="s">
        <v>402</v>
      </c>
      <c r="C121">
        <v>35</v>
      </c>
      <c r="D121" t="s">
        <v>58</v>
      </c>
      <c r="E121" t="s">
        <v>137</v>
      </c>
      <c r="F121" t="s">
        <v>165</v>
      </c>
      <c r="G121" t="s">
        <v>166</v>
      </c>
      <c r="H121" s="1">
        <v>45828</v>
      </c>
      <c r="J121" t="s">
        <v>183</v>
      </c>
      <c r="K121" t="s">
        <v>451</v>
      </c>
      <c r="L121">
        <v>110184.01</v>
      </c>
      <c r="M121" t="s">
        <v>118</v>
      </c>
      <c r="N121" t="s">
        <v>74</v>
      </c>
    </row>
    <row r="122" spans="1:15" ht="13.8" x14ac:dyDescent="0.25">
      <c r="A122" t="s">
        <v>452</v>
      </c>
      <c r="C122">
        <v>18</v>
      </c>
      <c r="D122" t="s">
        <v>17</v>
      </c>
      <c r="E122" t="s">
        <v>18</v>
      </c>
      <c r="F122" t="s">
        <v>19</v>
      </c>
      <c r="G122" t="s">
        <v>196</v>
      </c>
      <c r="H122" s="1">
        <v>45664</v>
      </c>
      <c r="I122" t="s">
        <v>453</v>
      </c>
      <c r="J122" t="s">
        <v>233</v>
      </c>
      <c r="K122" t="s">
        <v>234</v>
      </c>
      <c r="L122">
        <v>203771.22</v>
      </c>
      <c r="M122" t="s">
        <v>54</v>
      </c>
      <c r="N122" t="s">
        <v>74</v>
      </c>
      <c r="O122" t="s">
        <v>26</v>
      </c>
    </row>
    <row r="123" spans="1:15" ht="13.8" x14ac:dyDescent="0.25">
      <c r="A123" t="s">
        <v>454</v>
      </c>
      <c r="B123" t="s">
        <v>391</v>
      </c>
      <c r="C123">
        <v>83</v>
      </c>
      <c r="D123" t="s">
        <v>58</v>
      </c>
      <c r="E123" t="s">
        <v>78</v>
      </c>
      <c r="F123" t="s">
        <v>103</v>
      </c>
      <c r="G123" t="s">
        <v>455</v>
      </c>
      <c r="H123" s="1">
        <v>45691</v>
      </c>
      <c r="I123" s="1">
        <v>45688</v>
      </c>
      <c r="J123" t="s">
        <v>219</v>
      </c>
      <c r="K123" t="s">
        <v>140</v>
      </c>
      <c r="L123">
        <v>342473.08</v>
      </c>
      <c r="N123" t="s">
        <v>69</v>
      </c>
      <c r="O123" t="s">
        <v>36</v>
      </c>
    </row>
    <row r="124" spans="1:15" ht="13.8" x14ac:dyDescent="0.25">
      <c r="A124" t="s">
        <v>456</v>
      </c>
      <c r="B124" t="s">
        <v>457</v>
      </c>
      <c r="D124" t="s">
        <v>17</v>
      </c>
      <c r="E124" t="s">
        <v>97</v>
      </c>
      <c r="F124" t="s">
        <v>30</v>
      </c>
      <c r="G124" t="s">
        <v>121</v>
      </c>
      <c r="H124" t="s">
        <v>458</v>
      </c>
      <c r="I124" s="1">
        <v>45859</v>
      </c>
      <c r="K124" t="s">
        <v>89</v>
      </c>
      <c r="L124">
        <v>10528.94</v>
      </c>
      <c r="M124" t="s">
        <v>118</v>
      </c>
      <c r="O124" t="s">
        <v>459</v>
      </c>
    </row>
    <row r="125" spans="1:15" ht="13.8" x14ac:dyDescent="0.25">
      <c r="A125" t="s">
        <v>460</v>
      </c>
      <c r="B125" t="s">
        <v>461</v>
      </c>
      <c r="C125">
        <v>19</v>
      </c>
      <c r="D125" t="s">
        <v>29</v>
      </c>
      <c r="E125" t="s">
        <v>97</v>
      </c>
      <c r="F125" t="s">
        <v>30</v>
      </c>
      <c r="G125" t="s">
        <v>256</v>
      </c>
      <c r="H125" s="1">
        <v>45807</v>
      </c>
      <c r="I125" s="3">
        <v>45816</v>
      </c>
      <c r="J125" t="s">
        <v>122</v>
      </c>
      <c r="K125" t="s">
        <v>123</v>
      </c>
      <c r="L125">
        <v>120795.08</v>
      </c>
      <c r="M125" t="s">
        <v>54</v>
      </c>
      <c r="O125" t="s">
        <v>36</v>
      </c>
    </row>
    <row r="126" spans="1:15" ht="13.8" x14ac:dyDescent="0.25">
      <c r="A126" t="s">
        <v>462</v>
      </c>
      <c r="B126" t="s">
        <v>463</v>
      </c>
      <c r="C126">
        <v>51</v>
      </c>
      <c r="D126" t="s">
        <v>58</v>
      </c>
      <c r="E126" t="s">
        <v>49</v>
      </c>
      <c r="F126" t="s">
        <v>103</v>
      </c>
      <c r="G126" t="s">
        <v>138</v>
      </c>
      <c r="H126" s="1">
        <v>45720</v>
      </c>
      <c r="I126" s="1">
        <v>45731</v>
      </c>
      <c r="J126" t="s">
        <v>106</v>
      </c>
      <c r="K126" t="s">
        <v>110</v>
      </c>
      <c r="L126">
        <v>267080.71000000002</v>
      </c>
      <c r="M126" t="s">
        <v>24</v>
      </c>
      <c r="N126" t="s">
        <v>35</v>
      </c>
      <c r="O126" t="s">
        <v>75</v>
      </c>
    </row>
    <row r="127" spans="1:15" ht="13.8" x14ac:dyDescent="0.25">
      <c r="A127" t="s">
        <v>464</v>
      </c>
      <c r="B127" t="s">
        <v>434</v>
      </c>
      <c r="C127">
        <v>-8</v>
      </c>
      <c r="D127" t="s">
        <v>58</v>
      </c>
      <c r="E127" t="s">
        <v>155</v>
      </c>
      <c r="G127" t="s">
        <v>51</v>
      </c>
      <c r="H127" s="1">
        <v>45898</v>
      </c>
      <c r="I127" s="1">
        <v>45905</v>
      </c>
      <c r="J127" t="s">
        <v>191</v>
      </c>
      <c r="K127" t="s">
        <v>192</v>
      </c>
      <c r="L127">
        <v>274996.57</v>
      </c>
      <c r="M127" t="s">
        <v>44</v>
      </c>
      <c r="N127" t="s">
        <v>69</v>
      </c>
      <c r="O127" t="s">
        <v>36</v>
      </c>
    </row>
    <row r="128" spans="1:15" ht="13.8" x14ac:dyDescent="0.25">
      <c r="B128" t="s">
        <v>465</v>
      </c>
      <c r="C128">
        <v>5</v>
      </c>
      <c r="D128" t="s">
        <v>17</v>
      </c>
      <c r="E128" t="s">
        <v>466</v>
      </c>
      <c r="F128" t="s">
        <v>228</v>
      </c>
      <c r="G128" t="s">
        <v>121</v>
      </c>
      <c r="H128" s="3">
        <v>45672</v>
      </c>
      <c r="J128" t="s">
        <v>246</v>
      </c>
      <c r="K128" t="s">
        <v>229</v>
      </c>
      <c r="L128">
        <v>319520.46999999997</v>
      </c>
      <c r="M128" t="s">
        <v>68</v>
      </c>
      <c r="N128" t="s">
        <v>35</v>
      </c>
      <c r="O128" t="s">
        <v>45</v>
      </c>
    </row>
    <row r="129" spans="1:15" ht="13.8" x14ac:dyDescent="0.25">
      <c r="A129" t="s">
        <v>467</v>
      </c>
      <c r="B129" t="s">
        <v>468</v>
      </c>
      <c r="C129">
        <v>26</v>
      </c>
      <c r="D129" t="s">
        <v>17</v>
      </c>
      <c r="E129" t="s">
        <v>39</v>
      </c>
      <c r="F129" t="s">
        <v>60</v>
      </c>
      <c r="G129" t="s">
        <v>61</v>
      </c>
      <c r="H129" s="3">
        <v>45946</v>
      </c>
      <c r="I129" s="1">
        <v>45964</v>
      </c>
      <c r="J129" t="s">
        <v>62</v>
      </c>
      <c r="K129" t="s">
        <v>63</v>
      </c>
      <c r="L129">
        <v>171035.99</v>
      </c>
      <c r="M129" t="s">
        <v>84</v>
      </c>
      <c r="N129" t="s">
        <v>69</v>
      </c>
      <c r="O129" t="s">
        <v>75</v>
      </c>
    </row>
    <row r="130" spans="1:15" ht="13.8" x14ac:dyDescent="0.25">
      <c r="A130" t="s">
        <v>469</v>
      </c>
      <c r="B130" t="s">
        <v>470</v>
      </c>
      <c r="C130" t="s">
        <v>286</v>
      </c>
      <c r="D130" t="s">
        <v>17</v>
      </c>
      <c r="E130" t="s">
        <v>78</v>
      </c>
      <c r="F130" t="s">
        <v>165</v>
      </c>
      <c r="G130" t="s">
        <v>302</v>
      </c>
      <c r="H130" s="1">
        <v>45746</v>
      </c>
      <c r="I130" s="1">
        <v>45763</v>
      </c>
      <c r="J130" t="s">
        <v>183</v>
      </c>
      <c r="K130" t="s">
        <v>184</v>
      </c>
      <c r="L130">
        <v>185136.82</v>
      </c>
      <c r="M130" t="s">
        <v>68</v>
      </c>
      <c r="N130" t="s">
        <v>35</v>
      </c>
    </row>
    <row r="131" spans="1:15" ht="13.8" x14ac:dyDescent="0.25">
      <c r="A131" t="s">
        <v>471</v>
      </c>
      <c r="B131" t="s">
        <v>150</v>
      </c>
      <c r="C131">
        <v>48</v>
      </c>
      <c r="D131" t="s">
        <v>339</v>
      </c>
      <c r="E131" t="s">
        <v>72</v>
      </c>
      <c r="F131" t="s">
        <v>50</v>
      </c>
      <c r="G131" t="s">
        <v>472</v>
      </c>
      <c r="H131" s="3">
        <v>45831</v>
      </c>
      <c r="I131" s="3">
        <v>45845</v>
      </c>
      <c r="J131" t="s">
        <v>52</v>
      </c>
      <c r="L131" t="s">
        <v>473</v>
      </c>
      <c r="M131" t="s">
        <v>34</v>
      </c>
      <c r="N131" t="s">
        <v>35</v>
      </c>
      <c r="O131" t="s">
        <v>26</v>
      </c>
    </row>
    <row r="132" spans="1:15" ht="13.8" x14ac:dyDescent="0.25">
      <c r="A132" t="s">
        <v>474</v>
      </c>
      <c r="B132" t="s">
        <v>475</v>
      </c>
      <c r="C132">
        <v>25</v>
      </c>
      <c r="D132" t="s">
        <v>17</v>
      </c>
      <c r="E132" t="s">
        <v>39</v>
      </c>
      <c r="F132" t="s">
        <v>30</v>
      </c>
      <c r="G132" t="s">
        <v>121</v>
      </c>
      <c r="H132" s="1">
        <v>45814</v>
      </c>
      <c r="I132" s="3">
        <v>45823</v>
      </c>
      <c r="J132" t="s">
        <v>246</v>
      </c>
      <c r="K132" t="s">
        <v>229</v>
      </c>
      <c r="L132">
        <v>20656.7</v>
      </c>
      <c r="M132" t="s">
        <v>84</v>
      </c>
      <c r="N132" t="s">
        <v>35</v>
      </c>
      <c r="O132" t="s">
        <v>36</v>
      </c>
    </row>
    <row r="133" spans="1:15" ht="13.8" x14ac:dyDescent="0.25">
      <c r="A133" t="s">
        <v>476</v>
      </c>
      <c r="B133" t="s">
        <v>477</v>
      </c>
      <c r="C133">
        <v>53</v>
      </c>
      <c r="D133" t="s">
        <v>58</v>
      </c>
      <c r="E133" t="s">
        <v>59</v>
      </c>
      <c r="F133" t="s">
        <v>165</v>
      </c>
      <c r="G133" t="s">
        <v>302</v>
      </c>
      <c r="H133" s="1">
        <v>45658</v>
      </c>
      <c r="I133" s="1">
        <v>45662</v>
      </c>
      <c r="J133" t="s">
        <v>222</v>
      </c>
      <c r="K133" t="s">
        <v>223</v>
      </c>
      <c r="L133">
        <v>181016.57</v>
      </c>
      <c r="M133" t="s">
        <v>24</v>
      </c>
      <c r="N133" t="s">
        <v>55</v>
      </c>
      <c r="O133" t="s">
        <v>26</v>
      </c>
    </row>
    <row r="134" spans="1:15" ht="13.8" x14ac:dyDescent="0.25">
      <c r="A134" t="s">
        <v>478</v>
      </c>
      <c r="B134" t="s">
        <v>479</v>
      </c>
      <c r="C134">
        <v>82</v>
      </c>
      <c r="D134" t="s">
        <v>17</v>
      </c>
      <c r="E134" t="s">
        <v>59</v>
      </c>
      <c r="F134" t="s">
        <v>60</v>
      </c>
      <c r="G134" t="s">
        <v>61</v>
      </c>
      <c r="H134" s="3">
        <v>45737</v>
      </c>
      <c r="I134" s="1">
        <v>45751</v>
      </c>
      <c r="J134" t="s">
        <v>480</v>
      </c>
      <c r="K134" t="s">
        <v>264</v>
      </c>
      <c r="L134">
        <v>309912.63</v>
      </c>
      <c r="M134" t="s">
        <v>24</v>
      </c>
      <c r="N134" t="s">
        <v>25</v>
      </c>
      <c r="O134" t="s">
        <v>260</v>
      </c>
    </row>
    <row r="135" spans="1:15" ht="13.8" x14ac:dyDescent="0.25">
      <c r="A135" t="s">
        <v>481</v>
      </c>
      <c r="B135" t="s">
        <v>482</v>
      </c>
      <c r="C135">
        <v>27</v>
      </c>
      <c r="D135" t="s">
        <v>58</v>
      </c>
      <c r="E135" t="s">
        <v>49</v>
      </c>
      <c r="F135" t="s">
        <v>19</v>
      </c>
      <c r="G135" t="s">
        <v>127</v>
      </c>
      <c r="H135" s="1">
        <v>45898</v>
      </c>
      <c r="J135" t="s">
        <v>366</v>
      </c>
      <c r="K135" t="s">
        <v>367</v>
      </c>
      <c r="L135" t="s">
        <v>483</v>
      </c>
      <c r="M135" t="s">
        <v>162</v>
      </c>
      <c r="N135" t="s">
        <v>74</v>
      </c>
    </row>
    <row r="136" spans="1:15" ht="13.8" x14ac:dyDescent="0.25">
      <c r="A136" t="s">
        <v>484</v>
      </c>
      <c r="B136" t="s">
        <v>425</v>
      </c>
      <c r="C136">
        <v>36</v>
      </c>
      <c r="D136" t="s">
        <v>17</v>
      </c>
      <c r="E136" t="s">
        <v>97</v>
      </c>
      <c r="F136" t="s">
        <v>30</v>
      </c>
      <c r="G136" t="s">
        <v>121</v>
      </c>
      <c r="H136" s="3">
        <v>45847</v>
      </c>
      <c r="I136" t="s">
        <v>485</v>
      </c>
      <c r="J136" t="s">
        <v>32</v>
      </c>
      <c r="K136" t="s">
        <v>33</v>
      </c>
      <c r="L136" t="s">
        <v>486</v>
      </c>
      <c r="M136" t="s">
        <v>34</v>
      </c>
      <c r="N136" t="s">
        <v>35</v>
      </c>
      <c r="O136" t="s">
        <v>75</v>
      </c>
    </row>
    <row r="137" spans="1:15" ht="13.8" x14ac:dyDescent="0.25">
      <c r="A137" t="s">
        <v>487</v>
      </c>
      <c r="B137" t="s">
        <v>488</v>
      </c>
      <c r="C137">
        <v>59</v>
      </c>
      <c r="D137" t="s">
        <v>58</v>
      </c>
      <c r="E137" t="s">
        <v>49</v>
      </c>
      <c r="F137" t="s">
        <v>50</v>
      </c>
      <c r="G137" t="s">
        <v>300</v>
      </c>
      <c r="H137" s="3">
        <v>45997</v>
      </c>
      <c r="J137" t="s">
        <v>191</v>
      </c>
      <c r="K137" t="s">
        <v>192</v>
      </c>
      <c r="L137">
        <v>68547.92</v>
      </c>
      <c r="M137" t="s">
        <v>118</v>
      </c>
      <c r="N137" t="s">
        <v>25</v>
      </c>
      <c r="O137" t="s">
        <v>36</v>
      </c>
    </row>
    <row r="138" spans="1:15" ht="13.8" x14ac:dyDescent="0.25">
      <c r="A138" t="s">
        <v>489</v>
      </c>
      <c r="B138" t="s">
        <v>431</v>
      </c>
      <c r="C138">
        <v>52</v>
      </c>
      <c r="D138" t="s">
        <v>17</v>
      </c>
      <c r="E138" t="s">
        <v>78</v>
      </c>
      <c r="F138" t="s">
        <v>60</v>
      </c>
      <c r="G138" t="s">
        <v>79</v>
      </c>
      <c r="H138" s="1">
        <v>45691</v>
      </c>
      <c r="I138" s="1">
        <v>45700</v>
      </c>
      <c r="J138" t="s">
        <v>62</v>
      </c>
      <c r="K138" t="s">
        <v>63</v>
      </c>
      <c r="L138">
        <v>88870.79</v>
      </c>
      <c r="M138" t="s">
        <v>84</v>
      </c>
      <c r="N138" t="s">
        <v>35</v>
      </c>
      <c r="O138" t="s">
        <v>26</v>
      </c>
    </row>
    <row r="139" spans="1:15" ht="13.8" x14ac:dyDescent="0.25">
      <c r="A139" t="s">
        <v>490</v>
      </c>
      <c r="B139" t="s">
        <v>491</v>
      </c>
      <c r="C139">
        <v>33</v>
      </c>
      <c r="D139" t="s">
        <v>17</v>
      </c>
      <c r="E139" t="s">
        <v>466</v>
      </c>
      <c r="F139" t="s">
        <v>19</v>
      </c>
      <c r="G139" t="s">
        <v>127</v>
      </c>
      <c r="H139" t="s">
        <v>492</v>
      </c>
      <c r="J139" t="s">
        <v>233</v>
      </c>
      <c r="K139" t="s">
        <v>234</v>
      </c>
      <c r="L139">
        <v>81695.98</v>
      </c>
      <c r="M139" t="s">
        <v>44</v>
      </c>
      <c r="N139" t="s">
        <v>35</v>
      </c>
      <c r="O139" t="s">
        <v>45</v>
      </c>
    </row>
    <row r="140" spans="1:15" ht="13.8" x14ac:dyDescent="0.25">
      <c r="A140" t="s">
        <v>493</v>
      </c>
      <c r="B140" t="s">
        <v>215</v>
      </c>
      <c r="C140">
        <v>10</v>
      </c>
      <c r="D140" t="s">
        <v>17</v>
      </c>
      <c r="E140" t="s">
        <v>49</v>
      </c>
      <c r="F140" t="s">
        <v>165</v>
      </c>
      <c r="G140" t="s">
        <v>302</v>
      </c>
      <c r="H140" s="1">
        <v>45699</v>
      </c>
      <c r="I140" t="s">
        <v>494</v>
      </c>
      <c r="J140" t="s">
        <v>183</v>
      </c>
      <c r="K140" t="s">
        <v>184</v>
      </c>
      <c r="L140" t="s">
        <v>495</v>
      </c>
      <c r="M140" t="s">
        <v>34</v>
      </c>
      <c r="N140" t="s">
        <v>496</v>
      </c>
      <c r="O140" t="s">
        <v>36</v>
      </c>
    </row>
    <row r="141" spans="1:15" ht="13.8" x14ac:dyDescent="0.25">
      <c r="A141" t="s">
        <v>497</v>
      </c>
      <c r="B141" t="s">
        <v>498</v>
      </c>
      <c r="C141">
        <v>160</v>
      </c>
      <c r="D141" t="s">
        <v>17</v>
      </c>
      <c r="E141" t="s">
        <v>78</v>
      </c>
      <c r="F141" t="s">
        <v>30</v>
      </c>
      <c r="G141" t="s">
        <v>31</v>
      </c>
      <c r="H141" s="1">
        <v>45671</v>
      </c>
      <c r="I141" s="3">
        <v>45679</v>
      </c>
      <c r="J141" t="s">
        <v>122</v>
      </c>
      <c r="K141" t="s">
        <v>123</v>
      </c>
      <c r="L141" t="s">
        <v>499</v>
      </c>
      <c r="M141" t="s">
        <v>34</v>
      </c>
      <c r="N141" t="s">
        <v>496</v>
      </c>
      <c r="O141" t="s">
        <v>36</v>
      </c>
    </row>
    <row r="142" spans="1:15" ht="13.8" x14ac:dyDescent="0.25">
      <c r="A142" t="s">
        <v>500</v>
      </c>
      <c r="B142" t="s">
        <v>501</v>
      </c>
      <c r="C142">
        <v>26</v>
      </c>
      <c r="D142" t="s">
        <v>17</v>
      </c>
      <c r="E142" t="s">
        <v>502</v>
      </c>
      <c r="F142" t="s">
        <v>50</v>
      </c>
      <c r="G142" t="s">
        <v>51</v>
      </c>
      <c r="H142" s="1">
        <v>45739</v>
      </c>
      <c r="J142" t="s">
        <v>332</v>
      </c>
      <c r="K142" t="s">
        <v>383</v>
      </c>
      <c r="L142">
        <v>211178.03</v>
      </c>
      <c r="M142" t="s">
        <v>34</v>
      </c>
      <c r="N142" t="s">
        <v>74</v>
      </c>
      <c r="O142" t="s">
        <v>45</v>
      </c>
    </row>
    <row r="143" spans="1:15" ht="13.8" x14ac:dyDescent="0.25">
      <c r="A143" t="s">
        <v>503</v>
      </c>
      <c r="B143" t="s">
        <v>504</v>
      </c>
      <c r="C143">
        <v>57</v>
      </c>
      <c r="D143" t="s">
        <v>58</v>
      </c>
      <c r="E143" t="s">
        <v>97</v>
      </c>
      <c r="F143" t="s">
        <v>19</v>
      </c>
      <c r="G143" t="s">
        <v>127</v>
      </c>
      <c r="H143" t="s">
        <v>505</v>
      </c>
      <c r="I143" s="3">
        <v>45752</v>
      </c>
      <c r="J143" t="s">
        <v>366</v>
      </c>
      <c r="K143" t="s">
        <v>367</v>
      </c>
      <c r="L143">
        <v>271070.28000000003</v>
      </c>
      <c r="M143" t="s">
        <v>24</v>
      </c>
      <c r="N143" t="s">
        <v>69</v>
      </c>
      <c r="O143" t="s">
        <v>75</v>
      </c>
    </row>
    <row r="144" spans="1:15" ht="13.8" x14ac:dyDescent="0.25">
      <c r="B144" t="s">
        <v>506</v>
      </c>
      <c r="C144">
        <v>10</v>
      </c>
      <c r="D144" t="s">
        <v>58</v>
      </c>
      <c r="E144" t="s">
        <v>18</v>
      </c>
      <c r="F144" t="s">
        <v>165</v>
      </c>
      <c r="G144" t="s">
        <v>172</v>
      </c>
      <c r="I144" s="1">
        <v>45912</v>
      </c>
      <c r="J144" t="s">
        <v>222</v>
      </c>
      <c r="K144" t="s">
        <v>386</v>
      </c>
      <c r="L144">
        <v>99999999</v>
      </c>
      <c r="M144" t="s">
        <v>162</v>
      </c>
      <c r="N144" t="s">
        <v>35</v>
      </c>
      <c r="O144" t="s">
        <v>26</v>
      </c>
    </row>
    <row r="145" spans="1:15" ht="13.8" x14ac:dyDescent="0.25">
      <c r="A145" t="s">
        <v>507</v>
      </c>
      <c r="B145" t="s">
        <v>195</v>
      </c>
      <c r="C145">
        <v>11</v>
      </c>
      <c r="D145" t="s">
        <v>58</v>
      </c>
      <c r="E145" t="s">
        <v>102</v>
      </c>
      <c r="F145" t="s">
        <v>50</v>
      </c>
      <c r="G145" t="s">
        <v>300</v>
      </c>
      <c r="H145" s="1">
        <v>45965</v>
      </c>
      <c r="I145" s="1">
        <v>45976</v>
      </c>
      <c r="J145" t="s">
        <v>191</v>
      </c>
      <c r="K145" t="s">
        <v>192</v>
      </c>
      <c r="L145">
        <v>286748.51</v>
      </c>
      <c r="M145" t="s">
        <v>44</v>
      </c>
      <c r="N145" t="s">
        <v>69</v>
      </c>
      <c r="O145" t="s">
        <v>26</v>
      </c>
    </row>
    <row r="146" spans="1:15" ht="13.8" x14ac:dyDescent="0.25">
      <c r="A146" t="s">
        <v>508</v>
      </c>
      <c r="B146" t="s">
        <v>509</v>
      </c>
      <c r="C146">
        <v>45</v>
      </c>
      <c r="D146" t="s">
        <v>17</v>
      </c>
      <c r="E146" t="s">
        <v>510</v>
      </c>
      <c r="F146" t="s">
        <v>165</v>
      </c>
      <c r="G146" t="s">
        <v>166</v>
      </c>
      <c r="H146" s="1">
        <v>45742</v>
      </c>
      <c r="J146" t="s">
        <v>511</v>
      </c>
      <c r="K146" t="s">
        <v>174</v>
      </c>
      <c r="L146">
        <v>138546.84</v>
      </c>
      <c r="M146" t="s">
        <v>68</v>
      </c>
      <c r="N146" t="s">
        <v>69</v>
      </c>
      <c r="O146" t="s">
        <v>45</v>
      </c>
    </row>
    <row r="147" spans="1:15" ht="13.8" x14ac:dyDescent="0.25">
      <c r="A147" t="s">
        <v>512</v>
      </c>
      <c r="B147" t="s">
        <v>513</v>
      </c>
      <c r="D147" t="s">
        <v>17</v>
      </c>
      <c r="E147" t="s">
        <v>137</v>
      </c>
      <c r="F147" t="s">
        <v>103</v>
      </c>
      <c r="G147" t="s">
        <v>455</v>
      </c>
      <c r="H147" s="1">
        <v>45950</v>
      </c>
      <c r="I147" s="1">
        <v>45966</v>
      </c>
      <c r="J147" t="s">
        <v>219</v>
      </c>
      <c r="K147" t="s">
        <v>140</v>
      </c>
      <c r="L147" t="s">
        <v>514</v>
      </c>
      <c r="M147" t="s">
        <v>24</v>
      </c>
      <c r="N147" t="s">
        <v>74</v>
      </c>
      <c r="O147" t="s">
        <v>75</v>
      </c>
    </row>
    <row r="148" spans="1:15" ht="13.8" x14ac:dyDescent="0.25">
      <c r="A148" t="s">
        <v>515</v>
      </c>
      <c r="B148" t="s">
        <v>516</v>
      </c>
      <c r="C148">
        <v>45</v>
      </c>
      <c r="D148" t="s">
        <v>17</v>
      </c>
      <c r="E148" t="s">
        <v>72</v>
      </c>
      <c r="F148" t="s">
        <v>165</v>
      </c>
      <c r="G148" t="s">
        <v>259</v>
      </c>
      <c r="H148" s="3">
        <v>45766</v>
      </c>
      <c r="I148" s="1">
        <v>45774</v>
      </c>
      <c r="J148" t="s">
        <v>222</v>
      </c>
      <c r="K148" t="s">
        <v>223</v>
      </c>
      <c r="L148">
        <v>296274.05</v>
      </c>
      <c r="M148" t="s">
        <v>68</v>
      </c>
      <c r="N148" t="s">
        <v>25</v>
      </c>
      <c r="O148" t="s">
        <v>26</v>
      </c>
    </row>
    <row r="149" spans="1:15" ht="13.8" x14ac:dyDescent="0.25">
      <c r="A149" t="s">
        <v>517</v>
      </c>
      <c r="B149" t="s">
        <v>518</v>
      </c>
      <c r="C149">
        <v>61</v>
      </c>
      <c r="D149" t="s">
        <v>17</v>
      </c>
      <c r="E149" t="s">
        <v>155</v>
      </c>
      <c r="F149" t="s">
        <v>19</v>
      </c>
      <c r="G149" t="s">
        <v>127</v>
      </c>
      <c r="H149" s="1">
        <v>45900</v>
      </c>
      <c r="J149" t="s">
        <v>151</v>
      </c>
      <c r="K149" t="s">
        <v>152</v>
      </c>
      <c r="L149">
        <v>263655.98</v>
      </c>
      <c r="M149" t="s">
        <v>54</v>
      </c>
      <c r="N149" t="s">
        <v>74</v>
      </c>
      <c r="O149" t="s">
        <v>45</v>
      </c>
    </row>
    <row r="150" spans="1:15" ht="13.8" x14ac:dyDescent="0.25">
      <c r="A150" t="s">
        <v>519</v>
      </c>
      <c r="B150" t="s">
        <v>120</v>
      </c>
      <c r="C150">
        <v>18</v>
      </c>
      <c r="D150" t="s">
        <v>115</v>
      </c>
      <c r="F150" t="s">
        <v>165</v>
      </c>
      <c r="G150" t="s">
        <v>302</v>
      </c>
      <c r="H150" s="1">
        <v>45903</v>
      </c>
      <c r="J150" t="s">
        <v>173</v>
      </c>
      <c r="K150" t="s">
        <v>174</v>
      </c>
      <c r="L150">
        <v>274232.43</v>
      </c>
      <c r="M150" t="s">
        <v>213</v>
      </c>
      <c r="N150" t="s">
        <v>35</v>
      </c>
      <c r="O150" t="s">
        <v>45</v>
      </c>
    </row>
    <row r="151" spans="1:15" ht="13.8" x14ac:dyDescent="0.25">
      <c r="A151" t="s">
        <v>520</v>
      </c>
      <c r="B151" t="s">
        <v>521</v>
      </c>
      <c r="C151">
        <v>75</v>
      </c>
      <c r="D151" t="s">
        <v>58</v>
      </c>
      <c r="E151" t="s">
        <v>72</v>
      </c>
      <c r="F151" t="s">
        <v>165</v>
      </c>
      <c r="G151" t="s">
        <v>302</v>
      </c>
      <c r="H151" s="1">
        <v>45667</v>
      </c>
      <c r="I151" s="1">
        <v>45684</v>
      </c>
      <c r="J151" t="s">
        <v>168</v>
      </c>
      <c r="K151" t="s">
        <v>169</v>
      </c>
      <c r="L151">
        <v>212814.74</v>
      </c>
      <c r="M151" t="s">
        <v>162</v>
      </c>
      <c r="O151" t="s">
        <v>26</v>
      </c>
    </row>
    <row r="152" spans="1:15" ht="13.8" x14ac:dyDescent="0.25">
      <c r="A152" t="s">
        <v>522</v>
      </c>
      <c r="B152" t="s">
        <v>206</v>
      </c>
      <c r="C152" t="s">
        <v>523</v>
      </c>
      <c r="D152" t="s">
        <v>17</v>
      </c>
      <c r="E152" t="s">
        <v>137</v>
      </c>
      <c r="F152" t="s">
        <v>60</v>
      </c>
      <c r="G152" t="s">
        <v>177</v>
      </c>
      <c r="H152" s="1">
        <v>45713</v>
      </c>
      <c r="I152" t="s">
        <v>524</v>
      </c>
      <c r="J152" t="s">
        <v>263</v>
      </c>
      <c r="K152" t="s">
        <v>264</v>
      </c>
      <c r="L152">
        <v>167131.29</v>
      </c>
      <c r="M152" t="s">
        <v>34</v>
      </c>
      <c r="N152" t="s">
        <v>35</v>
      </c>
      <c r="O152" t="s">
        <v>26</v>
      </c>
    </row>
    <row r="153" spans="1:15" ht="13.8" x14ac:dyDescent="0.25">
      <c r="A153" t="s">
        <v>525</v>
      </c>
      <c r="B153" t="s">
        <v>526</v>
      </c>
      <c r="C153">
        <v>42</v>
      </c>
      <c r="D153" t="s">
        <v>17</v>
      </c>
      <c r="E153" t="s">
        <v>97</v>
      </c>
      <c r="F153" t="s">
        <v>165</v>
      </c>
      <c r="G153" t="s">
        <v>166</v>
      </c>
      <c r="I153" s="1">
        <v>45700</v>
      </c>
      <c r="J153" t="s">
        <v>183</v>
      </c>
      <c r="K153" t="s">
        <v>184</v>
      </c>
      <c r="L153">
        <v>326680.27</v>
      </c>
      <c r="M153" t="s">
        <v>44</v>
      </c>
      <c r="N153" t="s">
        <v>35</v>
      </c>
      <c r="O153" t="s">
        <v>459</v>
      </c>
    </row>
    <row r="154" spans="1:15" ht="13.8" x14ac:dyDescent="0.25">
      <c r="B154" t="s">
        <v>143</v>
      </c>
      <c r="C154">
        <v>35</v>
      </c>
      <c r="D154" t="s">
        <v>58</v>
      </c>
      <c r="E154" t="s">
        <v>466</v>
      </c>
      <c r="F154" t="s">
        <v>165</v>
      </c>
      <c r="G154" t="s">
        <v>172</v>
      </c>
      <c r="H154" t="s">
        <v>293</v>
      </c>
      <c r="J154" t="s">
        <v>168</v>
      </c>
      <c r="K154" t="s">
        <v>169</v>
      </c>
      <c r="L154">
        <v>296096.15000000002</v>
      </c>
      <c r="M154" t="s">
        <v>118</v>
      </c>
      <c r="N154" t="s">
        <v>270</v>
      </c>
      <c r="O154" t="s">
        <v>45</v>
      </c>
    </row>
    <row r="155" spans="1:15" ht="13.8" x14ac:dyDescent="0.25">
      <c r="A155" t="s">
        <v>527</v>
      </c>
      <c r="B155" t="s">
        <v>528</v>
      </c>
      <c r="C155">
        <v>12</v>
      </c>
      <c r="D155" t="s">
        <v>17</v>
      </c>
      <c r="E155" t="s">
        <v>102</v>
      </c>
      <c r="F155" t="s">
        <v>103</v>
      </c>
      <c r="G155" t="s">
        <v>455</v>
      </c>
      <c r="H155" s="1">
        <v>45842</v>
      </c>
      <c r="J155" t="s">
        <v>219</v>
      </c>
      <c r="K155" t="s">
        <v>140</v>
      </c>
      <c r="L155">
        <v>296656.08</v>
      </c>
      <c r="M155" t="s">
        <v>68</v>
      </c>
      <c r="N155" t="s">
        <v>55</v>
      </c>
      <c r="O155" t="s">
        <v>45</v>
      </c>
    </row>
    <row r="156" spans="1:15" ht="13.8" x14ac:dyDescent="0.25">
      <c r="A156" t="s">
        <v>529</v>
      </c>
      <c r="B156" t="s">
        <v>530</v>
      </c>
      <c r="C156">
        <v>38</v>
      </c>
      <c r="D156" t="s">
        <v>58</v>
      </c>
      <c r="E156" t="s">
        <v>155</v>
      </c>
      <c r="F156" t="s">
        <v>60</v>
      </c>
      <c r="G156" t="s">
        <v>79</v>
      </c>
      <c r="H156" s="1">
        <v>45735</v>
      </c>
      <c r="I156" s="1">
        <v>45740</v>
      </c>
      <c r="J156" t="s">
        <v>62</v>
      </c>
      <c r="K156" t="s">
        <v>63</v>
      </c>
      <c r="L156" t="s">
        <v>531</v>
      </c>
      <c r="M156" t="s">
        <v>213</v>
      </c>
      <c r="O156" t="s">
        <v>75</v>
      </c>
    </row>
    <row r="157" spans="1:15" ht="13.8" x14ac:dyDescent="0.25">
      <c r="A157" t="s">
        <v>532</v>
      </c>
      <c r="B157" t="s">
        <v>533</v>
      </c>
      <c r="C157">
        <v>67</v>
      </c>
      <c r="D157" t="s">
        <v>17</v>
      </c>
      <c r="E157" t="s">
        <v>59</v>
      </c>
      <c r="F157" t="s">
        <v>60</v>
      </c>
      <c r="G157" t="s">
        <v>61</v>
      </c>
      <c r="H157" s="3">
        <v>45716</v>
      </c>
      <c r="I157" s="3">
        <v>45734</v>
      </c>
      <c r="J157" t="s">
        <v>81</v>
      </c>
      <c r="K157" t="s">
        <v>82</v>
      </c>
      <c r="L157" t="s">
        <v>534</v>
      </c>
      <c r="M157" t="s">
        <v>118</v>
      </c>
      <c r="N157" t="s">
        <v>69</v>
      </c>
      <c r="O157" t="s">
        <v>112</v>
      </c>
    </row>
    <row r="158" spans="1:15" ht="13.8" x14ac:dyDescent="0.25">
      <c r="A158" t="s">
        <v>535</v>
      </c>
      <c r="B158" t="s">
        <v>232</v>
      </c>
      <c r="C158">
        <v>88</v>
      </c>
      <c r="D158" t="s">
        <v>58</v>
      </c>
      <c r="E158" t="s">
        <v>59</v>
      </c>
      <c r="F158" t="s">
        <v>60</v>
      </c>
      <c r="G158" t="s">
        <v>79</v>
      </c>
      <c r="H158" s="3">
        <v>45823</v>
      </c>
      <c r="I158" s="1">
        <v>45837</v>
      </c>
      <c r="J158" t="s">
        <v>263</v>
      </c>
      <c r="K158" t="s">
        <v>264</v>
      </c>
      <c r="L158" t="s">
        <v>536</v>
      </c>
      <c r="N158" t="s">
        <v>25</v>
      </c>
      <c r="O158" t="s">
        <v>112</v>
      </c>
    </row>
    <row r="159" spans="1:15" ht="13.8" x14ac:dyDescent="0.25">
      <c r="A159" t="s">
        <v>537</v>
      </c>
      <c r="B159" t="s">
        <v>538</v>
      </c>
      <c r="C159">
        <v>7</v>
      </c>
      <c r="D159" t="s">
        <v>58</v>
      </c>
      <c r="E159" t="s">
        <v>39</v>
      </c>
      <c r="G159" t="s">
        <v>177</v>
      </c>
      <c r="H159" s="2">
        <v>45970</v>
      </c>
      <c r="J159" t="s">
        <v>132</v>
      </c>
      <c r="K159" t="s">
        <v>133</v>
      </c>
      <c r="L159">
        <v>206117.65</v>
      </c>
      <c r="M159" t="s">
        <v>118</v>
      </c>
      <c r="N159" t="s">
        <v>74</v>
      </c>
      <c r="O159" t="s">
        <v>539</v>
      </c>
    </row>
    <row r="160" spans="1:15" ht="13.8" x14ac:dyDescent="0.25">
      <c r="A160" t="s">
        <v>540</v>
      </c>
      <c r="B160" t="s">
        <v>541</v>
      </c>
      <c r="C160">
        <v>74</v>
      </c>
      <c r="D160" t="s">
        <v>29</v>
      </c>
      <c r="E160" t="s">
        <v>39</v>
      </c>
      <c r="F160" t="s">
        <v>30</v>
      </c>
      <c r="G160" t="s">
        <v>256</v>
      </c>
      <c r="H160" s="1">
        <v>45853</v>
      </c>
      <c r="I160" t="s">
        <v>458</v>
      </c>
      <c r="J160" t="s">
        <v>88</v>
      </c>
      <c r="K160" t="s">
        <v>89</v>
      </c>
      <c r="L160">
        <v>291252.39</v>
      </c>
      <c r="M160" t="s">
        <v>68</v>
      </c>
      <c r="N160" t="s">
        <v>69</v>
      </c>
      <c r="O160" t="s">
        <v>112</v>
      </c>
    </row>
    <row r="161" spans="1:15" ht="13.8" x14ac:dyDescent="0.25">
      <c r="A161" t="s">
        <v>542</v>
      </c>
      <c r="B161" t="s">
        <v>130</v>
      </c>
      <c r="C161">
        <v>84</v>
      </c>
      <c r="D161" t="s">
        <v>58</v>
      </c>
      <c r="E161" t="s">
        <v>102</v>
      </c>
      <c r="F161" t="s">
        <v>40</v>
      </c>
      <c r="G161" t="s">
        <v>543</v>
      </c>
      <c r="H161" s="1">
        <v>45775</v>
      </c>
      <c r="I161" s="1">
        <v>45793</v>
      </c>
      <c r="J161" t="s">
        <v>42</v>
      </c>
      <c r="K161" t="s">
        <v>43</v>
      </c>
      <c r="L161">
        <v>260581.65</v>
      </c>
      <c r="M161" t="s">
        <v>84</v>
      </c>
      <c r="N161" t="s">
        <v>25</v>
      </c>
      <c r="O161" t="s">
        <v>75</v>
      </c>
    </row>
    <row r="162" spans="1:15" ht="13.8" x14ac:dyDescent="0.25">
      <c r="A162" t="s">
        <v>544</v>
      </c>
      <c r="B162" t="s">
        <v>545</v>
      </c>
      <c r="C162">
        <v>70</v>
      </c>
      <c r="D162" t="s">
        <v>58</v>
      </c>
      <c r="E162" t="s">
        <v>97</v>
      </c>
      <c r="F162" t="s">
        <v>30</v>
      </c>
      <c r="G162" t="s">
        <v>256</v>
      </c>
      <c r="H162" s="1">
        <v>45672</v>
      </c>
      <c r="I162" s="1">
        <v>45685</v>
      </c>
      <c r="J162" t="s">
        <v>32</v>
      </c>
      <c r="K162" t="s">
        <v>33</v>
      </c>
      <c r="M162" t="s">
        <v>118</v>
      </c>
      <c r="N162" t="s">
        <v>69</v>
      </c>
      <c r="O162" t="s">
        <v>75</v>
      </c>
    </row>
    <row r="163" spans="1:15" ht="13.8" x14ac:dyDescent="0.25">
      <c r="A163" t="s">
        <v>546</v>
      </c>
      <c r="B163" t="s">
        <v>547</v>
      </c>
      <c r="C163">
        <v>28</v>
      </c>
      <c r="D163" t="s">
        <v>58</v>
      </c>
      <c r="E163" t="s">
        <v>49</v>
      </c>
      <c r="F163" t="s">
        <v>30</v>
      </c>
      <c r="G163" t="s">
        <v>121</v>
      </c>
      <c r="H163" s="1">
        <v>45928</v>
      </c>
      <c r="I163" s="3">
        <v>45940</v>
      </c>
      <c r="K163" t="s">
        <v>123</v>
      </c>
      <c r="L163">
        <v>325321.69</v>
      </c>
      <c r="M163" t="s">
        <v>34</v>
      </c>
      <c r="N163" t="s">
        <v>55</v>
      </c>
      <c r="O163" t="s">
        <v>26</v>
      </c>
    </row>
    <row r="164" spans="1:15" ht="13.8" x14ac:dyDescent="0.25">
      <c r="A164" t="s">
        <v>548</v>
      </c>
      <c r="B164" t="s">
        <v>549</v>
      </c>
      <c r="C164" t="s">
        <v>550</v>
      </c>
      <c r="D164" t="s">
        <v>58</v>
      </c>
      <c r="E164" t="s">
        <v>137</v>
      </c>
      <c r="F164" t="s">
        <v>30</v>
      </c>
      <c r="G164" t="s">
        <v>121</v>
      </c>
      <c r="H164" s="2">
        <v>45815</v>
      </c>
      <c r="I164" t="s">
        <v>458</v>
      </c>
      <c r="J164" t="s">
        <v>88</v>
      </c>
      <c r="K164" t="s">
        <v>89</v>
      </c>
      <c r="L164" t="s">
        <v>551</v>
      </c>
      <c r="M164" t="s">
        <v>44</v>
      </c>
      <c r="O164" t="s">
        <v>112</v>
      </c>
    </row>
    <row r="165" spans="1:15" ht="13.8" x14ac:dyDescent="0.25">
      <c r="A165" t="s">
        <v>552</v>
      </c>
      <c r="B165" t="s">
        <v>553</v>
      </c>
      <c r="C165">
        <v>79</v>
      </c>
      <c r="D165" t="s">
        <v>58</v>
      </c>
      <c r="E165" t="s">
        <v>72</v>
      </c>
      <c r="F165" t="s">
        <v>19</v>
      </c>
      <c r="G165" t="s">
        <v>196</v>
      </c>
      <c r="H165" s="2">
        <v>45660</v>
      </c>
      <c r="J165" t="s">
        <v>22</v>
      </c>
      <c r="K165" t="s">
        <v>23</v>
      </c>
      <c r="L165">
        <v>257496.48</v>
      </c>
      <c r="M165" t="s">
        <v>44</v>
      </c>
      <c r="N165" t="s">
        <v>35</v>
      </c>
      <c r="O165" t="s">
        <v>45</v>
      </c>
    </row>
    <row r="166" spans="1:15" ht="13.8" x14ac:dyDescent="0.25">
      <c r="A166" t="s">
        <v>554</v>
      </c>
      <c r="B166" t="s">
        <v>65</v>
      </c>
      <c r="C166">
        <v>43</v>
      </c>
      <c r="D166" t="s">
        <v>48</v>
      </c>
      <c r="E166" t="s">
        <v>49</v>
      </c>
      <c r="F166" t="s">
        <v>73</v>
      </c>
      <c r="G166" t="s">
        <v>212</v>
      </c>
      <c r="H166" s="1">
        <v>46018</v>
      </c>
      <c r="I166" s="1">
        <v>46022</v>
      </c>
      <c r="J166" t="s">
        <v>238</v>
      </c>
      <c r="K166" t="s">
        <v>67</v>
      </c>
      <c r="L166">
        <v>328694.76</v>
      </c>
      <c r="M166" t="s">
        <v>24</v>
      </c>
      <c r="N166" t="s">
        <v>69</v>
      </c>
      <c r="O166" t="s">
        <v>75</v>
      </c>
    </row>
    <row r="167" spans="1:15" ht="13.8" x14ac:dyDescent="0.25">
      <c r="A167" t="s">
        <v>555</v>
      </c>
      <c r="B167" t="s">
        <v>556</v>
      </c>
      <c r="C167">
        <v>13</v>
      </c>
      <c r="D167" t="s">
        <v>17</v>
      </c>
      <c r="E167" t="s">
        <v>72</v>
      </c>
      <c r="F167" t="s">
        <v>103</v>
      </c>
      <c r="G167" t="s">
        <v>104</v>
      </c>
      <c r="H167" s="1">
        <v>45818</v>
      </c>
      <c r="I167" t="s">
        <v>557</v>
      </c>
      <c r="J167" t="s">
        <v>106</v>
      </c>
      <c r="K167" t="s">
        <v>110</v>
      </c>
      <c r="M167" t="s">
        <v>24</v>
      </c>
      <c r="N167" t="s">
        <v>141</v>
      </c>
      <c r="O167" t="s">
        <v>26</v>
      </c>
    </row>
    <row r="168" spans="1:15" ht="13.8" x14ac:dyDescent="0.25">
      <c r="A168" t="s">
        <v>558</v>
      </c>
      <c r="D168" t="s">
        <v>17</v>
      </c>
      <c r="E168" t="s">
        <v>102</v>
      </c>
      <c r="F168" t="s">
        <v>60</v>
      </c>
      <c r="G168" t="s">
        <v>61</v>
      </c>
      <c r="H168" s="1">
        <v>45744</v>
      </c>
      <c r="I168" s="1">
        <v>45748</v>
      </c>
      <c r="K168" t="s">
        <v>264</v>
      </c>
      <c r="L168">
        <v>219135.3</v>
      </c>
      <c r="M168" t="s">
        <v>24</v>
      </c>
      <c r="N168" t="s">
        <v>85</v>
      </c>
      <c r="O168" t="s">
        <v>26</v>
      </c>
    </row>
    <row r="169" spans="1:15" ht="13.8" x14ac:dyDescent="0.25">
      <c r="A169" t="s">
        <v>559</v>
      </c>
      <c r="B169" t="s">
        <v>560</v>
      </c>
      <c r="C169">
        <v>85</v>
      </c>
      <c r="D169" t="s">
        <v>58</v>
      </c>
      <c r="E169" t="s">
        <v>137</v>
      </c>
      <c r="F169" t="s">
        <v>30</v>
      </c>
      <c r="G169" t="s">
        <v>256</v>
      </c>
      <c r="H169" s="2">
        <v>45750</v>
      </c>
      <c r="I169" s="3">
        <v>45736</v>
      </c>
      <c r="J169" t="s">
        <v>122</v>
      </c>
      <c r="K169" t="s">
        <v>123</v>
      </c>
      <c r="L169">
        <v>129775.24</v>
      </c>
      <c r="M169" t="s">
        <v>54</v>
      </c>
      <c r="N169" t="s">
        <v>35</v>
      </c>
      <c r="O169" t="s">
        <v>459</v>
      </c>
    </row>
    <row r="170" spans="1:15" ht="13.8" x14ac:dyDescent="0.25">
      <c r="A170" t="s">
        <v>561</v>
      </c>
      <c r="B170" t="s">
        <v>428</v>
      </c>
      <c r="C170">
        <v>83</v>
      </c>
      <c r="D170" t="s">
        <v>17</v>
      </c>
      <c r="E170" t="s">
        <v>78</v>
      </c>
      <c r="F170" t="s">
        <v>50</v>
      </c>
      <c r="G170" t="s">
        <v>190</v>
      </c>
      <c r="H170" s="1">
        <v>45778</v>
      </c>
      <c r="I170" s="1">
        <v>45783</v>
      </c>
      <c r="J170" t="s">
        <v>52</v>
      </c>
      <c r="K170" t="s">
        <v>53</v>
      </c>
      <c r="L170">
        <v>41341.620000000003</v>
      </c>
      <c r="M170" t="s">
        <v>213</v>
      </c>
      <c r="N170" t="s">
        <v>35</v>
      </c>
      <c r="O170" t="s">
        <v>36</v>
      </c>
    </row>
    <row r="171" spans="1:15" ht="13.8" x14ac:dyDescent="0.25">
      <c r="A171" t="s">
        <v>562</v>
      </c>
      <c r="B171" t="s">
        <v>563</v>
      </c>
      <c r="C171">
        <v>81</v>
      </c>
      <c r="D171" t="s">
        <v>58</v>
      </c>
      <c r="E171" t="s">
        <v>137</v>
      </c>
      <c r="F171" t="s">
        <v>19</v>
      </c>
      <c r="G171" t="s">
        <v>20</v>
      </c>
      <c r="H171" s="3">
        <v>45662</v>
      </c>
      <c r="I171" s="3">
        <v>45665</v>
      </c>
      <c r="J171" t="s">
        <v>22</v>
      </c>
      <c r="K171" t="s">
        <v>23</v>
      </c>
      <c r="L171">
        <v>146620.88</v>
      </c>
      <c r="M171" t="s">
        <v>34</v>
      </c>
      <c r="N171" t="s">
        <v>35</v>
      </c>
      <c r="O171" t="s">
        <v>75</v>
      </c>
    </row>
    <row r="172" spans="1:15" ht="13.8" x14ac:dyDescent="0.25">
      <c r="A172" t="s">
        <v>564</v>
      </c>
      <c r="B172" t="s">
        <v>317</v>
      </c>
      <c r="C172">
        <v>65</v>
      </c>
      <c r="E172" t="s">
        <v>97</v>
      </c>
      <c r="F172" t="s">
        <v>30</v>
      </c>
      <c r="G172" t="s">
        <v>256</v>
      </c>
      <c r="H172" t="s">
        <v>245</v>
      </c>
      <c r="J172" t="s">
        <v>32</v>
      </c>
      <c r="K172" t="s">
        <v>33</v>
      </c>
      <c r="L172">
        <v>63274.400000000001</v>
      </c>
      <c r="M172" t="s">
        <v>84</v>
      </c>
      <c r="N172" t="s">
        <v>69</v>
      </c>
      <c r="O172" t="s">
        <v>45</v>
      </c>
    </row>
    <row r="173" spans="1:15" ht="13.8" x14ac:dyDescent="0.25">
      <c r="A173" t="s">
        <v>565</v>
      </c>
      <c r="B173" t="s">
        <v>566</v>
      </c>
      <c r="C173">
        <v>18</v>
      </c>
      <c r="D173" t="s">
        <v>17</v>
      </c>
      <c r="E173" t="s">
        <v>39</v>
      </c>
      <c r="F173" t="s">
        <v>567</v>
      </c>
      <c r="G173" t="s">
        <v>61</v>
      </c>
      <c r="H173" s="1">
        <v>45854</v>
      </c>
      <c r="I173" s="1">
        <v>45864</v>
      </c>
      <c r="J173" t="s">
        <v>62</v>
      </c>
      <c r="K173" t="s">
        <v>63</v>
      </c>
      <c r="L173" t="s">
        <v>568</v>
      </c>
      <c r="M173" t="s">
        <v>54</v>
      </c>
      <c r="N173" t="s">
        <v>569</v>
      </c>
      <c r="O173" t="s">
        <v>36</v>
      </c>
    </row>
    <row r="174" spans="1:15" ht="13.8" x14ac:dyDescent="0.25">
      <c r="A174" t="s">
        <v>570</v>
      </c>
      <c r="B174" t="s">
        <v>306</v>
      </c>
      <c r="D174" t="s">
        <v>17</v>
      </c>
      <c r="E174" t="s">
        <v>59</v>
      </c>
      <c r="F174" t="s">
        <v>50</v>
      </c>
      <c r="G174" t="s">
        <v>51</v>
      </c>
      <c r="H174" s="1">
        <v>45839</v>
      </c>
      <c r="I174" s="1">
        <v>45847</v>
      </c>
      <c r="J174" t="s">
        <v>191</v>
      </c>
      <c r="K174" t="s">
        <v>192</v>
      </c>
      <c r="L174">
        <v>61086.32</v>
      </c>
      <c r="M174" t="s">
        <v>44</v>
      </c>
      <c r="N174" t="s">
        <v>25</v>
      </c>
      <c r="O174" t="s">
        <v>26</v>
      </c>
    </row>
    <row r="175" spans="1:15" ht="13.8" x14ac:dyDescent="0.25">
      <c r="A175" t="s">
        <v>571</v>
      </c>
      <c r="C175">
        <v>39</v>
      </c>
      <c r="D175" t="s">
        <v>17</v>
      </c>
      <c r="E175" t="s">
        <v>102</v>
      </c>
      <c r="F175" t="s">
        <v>165</v>
      </c>
      <c r="G175" t="s">
        <v>302</v>
      </c>
      <c r="H175" s="1">
        <v>45668</v>
      </c>
      <c r="I175" s="2">
        <v>45992</v>
      </c>
      <c r="J175" t="s">
        <v>168</v>
      </c>
      <c r="K175" t="s">
        <v>169</v>
      </c>
      <c r="L175">
        <v>296960.7</v>
      </c>
      <c r="M175" t="s">
        <v>213</v>
      </c>
      <c r="N175" t="s">
        <v>69</v>
      </c>
      <c r="O175" t="s">
        <v>26</v>
      </c>
    </row>
    <row r="176" spans="1:15" ht="13.8" x14ac:dyDescent="0.25">
      <c r="A176" t="s">
        <v>572</v>
      </c>
      <c r="B176" t="s">
        <v>573</v>
      </c>
      <c r="C176">
        <v>71</v>
      </c>
      <c r="D176" t="s">
        <v>17</v>
      </c>
      <c r="E176" t="s">
        <v>39</v>
      </c>
      <c r="F176" t="s">
        <v>165</v>
      </c>
      <c r="G176" t="s">
        <v>302</v>
      </c>
      <c r="J176" t="s">
        <v>168</v>
      </c>
      <c r="K176" t="s">
        <v>169</v>
      </c>
      <c r="L176">
        <v>145643.35999999999</v>
      </c>
      <c r="M176" t="s">
        <v>34</v>
      </c>
      <c r="N176" t="s">
        <v>55</v>
      </c>
      <c r="O176" t="s">
        <v>539</v>
      </c>
    </row>
    <row r="177" spans="1:15" ht="13.8" x14ac:dyDescent="0.25">
      <c r="A177" t="s">
        <v>574</v>
      </c>
      <c r="B177" t="s">
        <v>285</v>
      </c>
      <c r="C177">
        <v>7</v>
      </c>
      <c r="D177" t="s">
        <v>17</v>
      </c>
      <c r="E177" t="s">
        <v>18</v>
      </c>
      <c r="F177" t="s">
        <v>30</v>
      </c>
      <c r="G177" t="s">
        <v>31</v>
      </c>
      <c r="H177" s="1">
        <v>45721</v>
      </c>
      <c r="I177" s="1">
        <v>45723</v>
      </c>
      <c r="J177" t="s">
        <v>88</v>
      </c>
      <c r="K177" t="s">
        <v>89</v>
      </c>
      <c r="L177">
        <v>122826.86</v>
      </c>
      <c r="M177" t="s">
        <v>162</v>
      </c>
      <c r="N177" t="s">
        <v>25</v>
      </c>
      <c r="O177" t="s">
        <v>75</v>
      </c>
    </row>
    <row r="178" spans="1:15" ht="13.8" x14ac:dyDescent="0.25">
      <c r="A178" t="s">
        <v>575</v>
      </c>
      <c r="B178" t="s">
        <v>240</v>
      </c>
      <c r="C178">
        <v>79</v>
      </c>
      <c r="D178" t="s">
        <v>287</v>
      </c>
      <c r="E178" t="s">
        <v>78</v>
      </c>
      <c r="F178" t="s">
        <v>30</v>
      </c>
      <c r="G178" t="s">
        <v>121</v>
      </c>
      <c r="H178" t="s">
        <v>576</v>
      </c>
      <c r="I178" s="1">
        <v>45803</v>
      </c>
      <c r="K178" t="s">
        <v>33</v>
      </c>
      <c r="L178" t="s">
        <v>577</v>
      </c>
      <c r="M178" t="s">
        <v>54</v>
      </c>
      <c r="N178" t="s">
        <v>25</v>
      </c>
      <c r="O178" t="s">
        <v>26</v>
      </c>
    </row>
    <row r="179" spans="1:15" ht="13.8" x14ac:dyDescent="0.25">
      <c r="A179" t="s">
        <v>578</v>
      </c>
      <c r="B179" t="s">
        <v>579</v>
      </c>
      <c r="C179">
        <v>44</v>
      </c>
      <c r="D179" t="s">
        <v>17</v>
      </c>
      <c r="E179" t="s">
        <v>155</v>
      </c>
      <c r="F179" t="s">
        <v>40</v>
      </c>
      <c r="G179" t="s">
        <v>156</v>
      </c>
      <c r="H179" s="2">
        <v>45722</v>
      </c>
      <c r="I179" s="1">
        <v>45819</v>
      </c>
      <c r="J179" t="s">
        <v>93</v>
      </c>
      <c r="K179" t="s">
        <v>94</v>
      </c>
      <c r="L179">
        <v>263979.82</v>
      </c>
      <c r="M179" t="s">
        <v>54</v>
      </c>
      <c r="N179" t="s">
        <v>35</v>
      </c>
      <c r="O179" t="s">
        <v>112</v>
      </c>
    </row>
    <row r="180" spans="1:15" ht="13.8" x14ac:dyDescent="0.25">
      <c r="A180" t="s">
        <v>580</v>
      </c>
      <c r="B180" t="s">
        <v>581</v>
      </c>
      <c r="C180">
        <v>88</v>
      </c>
      <c r="D180" t="s">
        <v>48</v>
      </c>
      <c r="E180" t="s">
        <v>137</v>
      </c>
      <c r="F180" t="s">
        <v>60</v>
      </c>
      <c r="G180" t="s">
        <v>79</v>
      </c>
      <c r="H180" s="1">
        <v>45663</v>
      </c>
      <c r="I180" t="s">
        <v>582</v>
      </c>
      <c r="J180" t="s">
        <v>81</v>
      </c>
      <c r="K180" t="s">
        <v>82</v>
      </c>
      <c r="L180" t="s">
        <v>583</v>
      </c>
      <c r="M180" t="s">
        <v>54</v>
      </c>
      <c r="N180" t="s">
        <v>55</v>
      </c>
      <c r="O180" t="s">
        <v>112</v>
      </c>
    </row>
    <row r="181" spans="1:15" ht="13.8" x14ac:dyDescent="0.25">
      <c r="A181" t="s">
        <v>584</v>
      </c>
      <c r="B181" t="s">
        <v>154</v>
      </c>
      <c r="C181">
        <v>81</v>
      </c>
      <c r="D181" t="s">
        <v>287</v>
      </c>
      <c r="E181" t="s">
        <v>72</v>
      </c>
      <c r="F181" t="s">
        <v>60</v>
      </c>
      <c r="G181" t="s">
        <v>79</v>
      </c>
      <c r="H181" s="1">
        <v>45771</v>
      </c>
      <c r="J181" t="s">
        <v>132</v>
      </c>
      <c r="K181" t="s">
        <v>133</v>
      </c>
      <c r="L181">
        <v>240033.83</v>
      </c>
      <c r="M181" t="s">
        <v>54</v>
      </c>
      <c r="N181" t="s">
        <v>25</v>
      </c>
      <c r="O181" t="s">
        <v>45</v>
      </c>
    </row>
    <row r="182" spans="1:15" ht="13.8" x14ac:dyDescent="0.25">
      <c r="A182" t="s">
        <v>585</v>
      </c>
      <c r="B182" t="s">
        <v>586</v>
      </c>
      <c r="C182">
        <v>39</v>
      </c>
      <c r="D182" t="s">
        <v>17</v>
      </c>
      <c r="E182" t="s">
        <v>39</v>
      </c>
      <c r="F182" t="s">
        <v>165</v>
      </c>
      <c r="G182" t="s">
        <v>172</v>
      </c>
      <c r="I182" s="1">
        <v>45856</v>
      </c>
      <c r="J182" t="s">
        <v>222</v>
      </c>
      <c r="K182" t="s">
        <v>223</v>
      </c>
      <c r="L182">
        <v>72671.100000000006</v>
      </c>
      <c r="M182" t="s">
        <v>68</v>
      </c>
      <c r="N182" t="s">
        <v>69</v>
      </c>
      <c r="O182" t="s">
        <v>112</v>
      </c>
    </row>
    <row r="183" spans="1:15" ht="13.8" x14ac:dyDescent="0.25">
      <c r="A183" t="s">
        <v>587</v>
      </c>
      <c r="B183" t="s">
        <v>324</v>
      </c>
      <c r="C183">
        <v>76</v>
      </c>
      <c r="D183" t="s">
        <v>58</v>
      </c>
      <c r="E183" t="s">
        <v>137</v>
      </c>
      <c r="F183" t="s">
        <v>165</v>
      </c>
      <c r="G183" t="s">
        <v>588</v>
      </c>
      <c r="J183" t="s">
        <v>183</v>
      </c>
      <c r="K183" t="s">
        <v>184</v>
      </c>
      <c r="L183">
        <v>337302.75</v>
      </c>
      <c r="M183" t="s">
        <v>34</v>
      </c>
      <c r="N183" t="s">
        <v>55</v>
      </c>
      <c r="O183" t="s">
        <v>45</v>
      </c>
    </row>
    <row r="184" spans="1:15" ht="13.8" x14ac:dyDescent="0.25">
      <c r="A184" t="s">
        <v>589</v>
      </c>
      <c r="B184" t="s">
        <v>590</v>
      </c>
      <c r="C184">
        <v>88</v>
      </c>
      <c r="D184" t="s">
        <v>58</v>
      </c>
      <c r="E184" t="s">
        <v>502</v>
      </c>
      <c r="F184" t="s">
        <v>103</v>
      </c>
      <c r="G184" t="s">
        <v>104</v>
      </c>
      <c r="H184" s="1">
        <v>45925</v>
      </c>
      <c r="I184" s="2">
        <v>45818</v>
      </c>
      <c r="J184" t="s">
        <v>294</v>
      </c>
      <c r="K184" t="s">
        <v>295</v>
      </c>
      <c r="L184">
        <v>335905.47</v>
      </c>
      <c r="N184" t="s">
        <v>35</v>
      </c>
      <c r="O184" t="s">
        <v>112</v>
      </c>
    </row>
    <row r="185" spans="1:15" ht="13.8" x14ac:dyDescent="0.25">
      <c r="A185" t="s">
        <v>591</v>
      </c>
      <c r="B185" t="s">
        <v>592</v>
      </c>
      <c r="C185">
        <v>12</v>
      </c>
      <c r="D185" t="s">
        <v>17</v>
      </c>
      <c r="E185" t="s">
        <v>49</v>
      </c>
      <c r="F185" t="s">
        <v>40</v>
      </c>
      <c r="G185" t="s">
        <v>156</v>
      </c>
      <c r="H185" s="1">
        <v>45832</v>
      </c>
      <c r="J185" t="s">
        <v>42</v>
      </c>
      <c r="K185" t="s">
        <v>43</v>
      </c>
      <c r="L185" t="s">
        <v>593</v>
      </c>
      <c r="M185" t="s">
        <v>68</v>
      </c>
      <c r="N185" t="s">
        <v>25</v>
      </c>
      <c r="O185" t="s">
        <v>45</v>
      </c>
    </row>
    <row r="186" spans="1:15" ht="13.8" x14ac:dyDescent="0.25">
      <c r="A186" t="s">
        <v>594</v>
      </c>
      <c r="B186" t="s">
        <v>595</v>
      </c>
      <c r="C186">
        <v>41</v>
      </c>
      <c r="D186" t="s">
        <v>17</v>
      </c>
      <c r="E186" t="s">
        <v>72</v>
      </c>
      <c r="F186" t="s">
        <v>165</v>
      </c>
      <c r="G186" t="s">
        <v>259</v>
      </c>
      <c r="I186" s="1">
        <v>45977</v>
      </c>
      <c r="J186" t="s">
        <v>173</v>
      </c>
      <c r="K186" t="s">
        <v>174</v>
      </c>
      <c r="M186" t="s">
        <v>162</v>
      </c>
      <c r="N186" t="s">
        <v>69</v>
      </c>
      <c r="O186" t="s">
        <v>112</v>
      </c>
    </row>
    <row r="187" spans="1:15" ht="13.8" x14ac:dyDescent="0.25">
      <c r="A187" t="s">
        <v>596</v>
      </c>
      <c r="B187" t="s">
        <v>560</v>
      </c>
      <c r="C187">
        <v>14</v>
      </c>
      <c r="D187" t="s">
        <v>58</v>
      </c>
      <c r="E187" t="s">
        <v>49</v>
      </c>
      <c r="G187" t="s">
        <v>61</v>
      </c>
      <c r="H187" t="s">
        <v>303</v>
      </c>
      <c r="I187" s="1">
        <v>45743</v>
      </c>
      <c r="J187" t="s">
        <v>263</v>
      </c>
      <c r="K187" t="s">
        <v>264</v>
      </c>
      <c r="L187">
        <v>229677.72</v>
      </c>
      <c r="M187" t="s">
        <v>54</v>
      </c>
      <c r="N187" t="s">
        <v>69</v>
      </c>
      <c r="O187" t="s">
        <v>75</v>
      </c>
    </row>
    <row r="188" spans="1:15" ht="13.8" x14ac:dyDescent="0.25">
      <c r="A188" t="s">
        <v>597</v>
      </c>
      <c r="B188" t="s">
        <v>598</v>
      </c>
      <c r="C188">
        <v>85</v>
      </c>
      <c r="D188" t="s">
        <v>58</v>
      </c>
      <c r="E188" t="s">
        <v>49</v>
      </c>
      <c r="F188" t="s">
        <v>19</v>
      </c>
      <c r="G188" t="s">
        <v>20</v>
      </c>
      <c r="H188" s="1">
        <v>45921</v>
      </c>
      <c r="I188" s="3">
        <v>45936</v>
      </c>
      <c r="J188" t="s">
        <v>233</v>
      </c>
      <c r="K188" t="s">
        <v>599</v>
      </c>
      <c r="L188">
        <v>337085.85</v>
      </c>
      <c r="M188" t="s">
        <v>44</v>
      </c>
      <c r="N188" t="s">
        <v>69</v>
      </c>
      <c r="O188" t="s">
        <v>36</v>
      </c>
    </row>
    <row r="189" spans="1:15" ht="13.8" x14ac:dyDescent="0.25">
      <c r="A189" t="s">
        <v>600</v>
      </c>
      <c r="B189" t="s">
        <v>601</v>
      </c>
      <c r="C189">
        <v>81</v>
      </c>
      <c r="D189" t="s">
        <v>17</v>
      </c>
      <c r="E189" t="s">
        <v>72</v>
      </c>
      <c r="F189" t="s">
        <v>60</v>
      </c>
      <c r="G189" t="s">
        <v>79</v>
      </c>
      <c r="H189" t="s">
        <v>602</v>
      </c>
      <c r="I189" s="1">
        <v>45907</v>
      </c>
      <c r="J189" t="s">
        <v>263</v>
      </c>
      <c r="K189" t="s">
        <v>264</v>
      </c>
      <c r="L189">
        <v>113281.4</v>
      </c>
      <c r="M189" t="s">
        <v>68</v>
      </c>
      <c r="N189" t="s">
        <v>141</v>
      </c>
      <c r="O189" t="s">
        <v>36</v>
      </c>
    </row>
    <row r="190" spans="1:15" ht="13.8" x14ac:dyDescent="0.25">
      <c r="A190" t="s">
        <v>603</v>
      </c>
      <c r="B190" t="s">
        <v>506</v>
      </c>
      <c r="C190">
        <v>80</v>
      </c>
      <c r="D190" t="s">
        <v>58</v>
      </c>
      <c r="E190" t="s">
        <v>78</v>
      </c>
      <c r="F190" t="s">
        <v>103</v>
      </c>
      <c r="G190" t="s">
        <v>455</v>
      </c>
      <c r="H190" s="2">
        <v>45932</v>
      </c>
      <c r="I190" t="s">
        <v>604</v>
      </c>
      <c r="J190" t="s">
        <v>106</v>
      </c>
      <c r="L190">
        <v>165897.26999999999</v>
      </c>
      <c r="M190" t="s">
        <v>118</v>
      </c>
      <c r="N190" t="s">
        <v>69</v>
      </c>
      <c r="O190" t="s">
        <v>112</v>
      </c>
    </row>
    <row r="191" spans="1:15" ht="13.8" x14ac:dyDescent="0.25">
      <c r="A191" t="s">
        <v>605</v>
      </c>
      <c r="B191" t="s">
        <v>606</v>
      </c>
      <c r="C191">
        <v>18</v>
      </c>
      <c r="D191" t="s">
        <v>58</v>
      </c>
      <c r="E191" t="s">
        <v>72</v>
      </c>
      <c r="F191" t="s">
        <v>103</v>
      </c>
      <c r="G191" t="s">
        <v>138</v>
      </c>
      <c r="H191" s="3">
        <v>45889</v>
      </c>
      <c r="I191" t="s">
        <v>607</v>
      </c>
      <c r="J191" t="s">
        <v>106</v>
      </c>
      <c r="K191" t="s">
        <v>110</v>
      </c>
      <c r="L191">
        <v>339408.59</v>
      </c>
      <c r="M191" t="s">
        <v>34</v>
      </c>
      <c r="N191" t="s">
        <v>74</v>
      </c>
      <c r="O191" t="s">
        <v>36</v>
      </c>
    </row>
    <row r="192" spans="1:15" ht="13.8" x14ac:dyDescent="0.25">
      <c r="A192" t="s">
        <v>608</v>
      </c>
      <c r="B192" t="s">
        <v>240</v>
      </c>
      <c r="C192">
        <v>17</v>
      </c>
      <c r="D192" t="s">
        <v>17</v>
      </c>
      <c r="E192" t="s">
        <v>72</v>
      </c>
      <c r="F192" t="s">
        <v>165</v>
      </c>
      <c r="G192" t="s">
        <v>172</v>
      </c>
      <c r="H192" t="s">
        <v>167</v>
      </c>
      <c r="I192" s="3">
        <v>45949</v>
      </c>
      <c r="K192" t="s">
        <v>174</v>
      </c>
      <c r="L192">
        <v>90858.79</v>
      </c>
      <c r="M192" t="s">
        <v>54</v>
      </c>
      <c r="N192" t="s">
        <v>55</v>
      </c>
      <c r="O192" t="s">
        <v>36</v>
      </c>
    </row>
    <row r="193" spans="1:15" ht="13.8" x14ac:dyDescent="0.25">
      <c r="A193" t="s">
        <v>609</v>
      </c>
      <c r="B193" t="s">
        <v>610</v>
      </c>
      <c r="C193">
        <v>42</v>
      </c>
      <c r="D193" t="s">
        <v>48</v>
      </c>
      <c r="E193" t="s">
        <v>137</v>
      </c>
      <c r="F193" t="s">
        <v>50</v>
      </c>
      <c r="G193" t="s">
        <v>51</v>
      </c>
      <c r="I193" s="3">
        <v>45703</v>
      </c>
      <c r="J193" t="s">
        <v>332</v>
      </c>
      <c r="K193" t="s">
        <v>383</v>
      </c>
      <c r="L193">
        <v>310615.59999999998</v>
      </c>
      <c r="M193" t="s">
        <v>84</v>
      </c>
      <c r="N193" t="s">
        <v>55</v>
      </c>
      <c r="O193" t="s">
        <v>459</v>
      </c>
    </row>
    <row r="194" spans="1:15" ht="13.8" x14ac:dyDescent="0.25">
      <c r="A194" t="s">
        <v>611</v>
      </c>
      <c r="B194" t="s">
        <v>612</v>
      </c>
      <c r="C194">
        <v>22</v>
      </c>
      <c r="D194" t="s">
        <v>17</v>
      </c>
      <c r="E194" t="s">
        <v>155</v>
      </c>
      <c r="F194" t="s">
        <v>73</v>
      </c>
      <c r="G194" t="s">
        <v>92</v>
      </c>
      <c r="H194" s="1">
        <v>45938</v>
      </c>
      <c r="I194" s="1">
        <v>45952</v>
      </c>
      <c r="J194" t="s">
        <v>238</v>
      </c>
      <c r="K194" t="s">
        <v>67</v>
      </c>
      <c r="L194">
        <v>348616.66</v>
      </c>
      <c r="M194" t="s">
        <v>24</v>
      </c>
      <c r="N194" t="s">
        <v>55</v>
      </c>
      <c r="O194" t="s">
        <v>36</v>
      </c>
    </row>
    <row r="195" spans="1:15" ht="13.8" x14ac:dyDescent="0.25">
      <c r="A195" t="s">
        <v>613</v>
      </c>
      <c r="B195" t="s">
        <v>614</v>
      </c>
      <c r="C195" t="s">
        <v>615</v>
      </c>
      <c r="D195" t="s">
        <v>17</v>
      </c>
      <c r="E195" t="s">
        <v>18</v>
      </c>
      <c r="F195" t="s">
        <v>221</v>
      </c>
      <c r="G195" t="s">
        <v>302</v>
      </c>
      <c r="H195" t="s">
        <v>616</v>
      </c>
      <c r="I195" t="s">
        <v>617</v>
      </c>
      <c r="J195" t="s">
        <v>222</v>
      </c>
      <c r="K195" t="s">
        <v>223</v>
      </c>
      <c r="L195">
        <v>262925.28000000003</v>
      </c>
      <c r="M195" t="s">
        <v>44</v>
      </c>
      <c r="N195" t="s">
        <v>25</v>
      </c>
      <c r="O195" t="s">
        <v>112</v>
      </c>
    </row>
    <row r="196" spans="1:15" ht="13.8" x14ac:dyDescent="0.25">
      <c r="A196" t="s">
        <v>618</v>
      </c>
      <c r="B196" t="s">
        <v>619</v>
      </c>
      <c r="C196">
        <v>2</v>
      </c>
      <c r="D196" t="s">
        <v>17</v>
      </c>
      <c r="E196" t="s">
        <v>155</v>
      </c>
      <c r="F196" t="s">
        <v>165</v>
      </c>
      <c r="G196" t="s">
        <v>172</v>
      </c>
      <c r="H196" s="3">
        <v>46000</v>
      </c>
      <c r="I196" s="1">
        <v>46015</v>
      </c>
      <c r="J196" t="s">
        <v>620</v>
      </c>
      <c r="K196" t="s">
        <v>223</v>
      </c>
      <c r="L196">
        <v>107724.71</v>
      </c>
      <c r="M196" t="s">
        <v>118</v>
      </c>
      <c r="N196" t="s">
        <v>55</v>
      </c>
      <c r="O196" t="s">
        <v>112</v>
      </c>
    </row>
    <row r="197" spans="1:15" ht="13.8" x14ac:dyDescent="0.25">
      <c r="A197" t="s">
        <v>621</v>
      </c>
      <c r="B197" t="s">
        <v>622</v>
      </c>
      <c r="C197">
        <v>50</v>
      </c>
      <c r="D197" t="s">
        <v>17</v>
      </c>
      <c r="E197" t="s">
        <v>18</v>
      </c>
      <c r="F197" t="s">
        <v>50</v>
      </c>
      <c r="G197" t="s">
        <v>190</v>
      </c>
      <c r="H197" s="2">
        <v>45993</v>
      </c>
      <c r="I197" s="3">
        <v>45701</v>
      </c>
      <c r="J197" t="s">
        <v>315</v>
      </c>
      <c r="K197" t="s">
        <v>204</v>
      </c>
      <c r="L197" t="s">
        <v>623</v>
      </c>
      <c r="M197" t="s">
        <v>54</v>
      </c>
      <c r="N197" t="s">
        <v>25</v>
      </c>
      <c r="O197" t="s">
        <v>112</v>
      </c>
    </row>
    <row r="198" spans="1:15" ht="13.8" x14ac:dyDescent="0.25">
      <c r="A198" t="s">
        <v>624</v>
      </c>
      <c r="B198" t="s">
        <v>625</v>
      </c>
      <c r="C198" t="s">
        <v>626</v>
      </c>
      <c r="D198" t="s">
        <v>287</v>
      </c>
      <c r="E198" t="s">
        <v>59</v>
      </c>
      <c r="G198" t="s">
        <v>92</v>
      </c>
      <c r="H198" s="1">
        <v>45659</v>
      </c>
      <c r="I198" s="1">
        <v>45670</v>
      </c>
      <c r="J198" t="s">
        <v>93</v>
      </c>
      <c r="L198" t="s">
        <v>627</v>
      </c>
      <c r="M198" t="s">
        <v>84</v>
      </c>
      <c r="N198" t="s">
        <v>69</v>
      </c>
      <c r="O198" t="s">
        <v>36</v>
      </c>
    </row>
    <row r="199" spans="1:15" ht="13.8" x14ac:dyDescent="0.25">
      <c r="A199" t="s">
        <v>628</v>
      </c>
      <c r="B199" t="s">
        <v>629</v>
      </c>
      <c r="C199">
        <v>72</v>
      </c>
      <c r="E199" t="s">
        <v>18</v>
      </c>
      <c r="F199" t="s">
        <v>228</v>
      </c>
      <c r="G199" t="s">
        <v>31</v>
      </c>
      <c r="H199" t="s">
        <v>630</v>
      </c>
      <c r="I199" s="1">
        <v>45786</v>
      </c>
      <c r="J199" t="s">
        <v>32</v>
      </c>
      <c r="K199" t="s">
        <v>33</v>
      </c>
      <c r="L199" t="s">
        <v>631</v>
      </c>
      <c r="M199" t="s">
        <v>44</v>
      </c>
      <c r="N199" t="s">
        <v>632</v>
      </c>
      <c r="O199" t="s">
        <v>633</v>
      </c>
    </row>
    <row r="200" spans="1:15" ht="13.8" x14ac:dyDescent="0.25">
      <c r="A200" t="s">
        <v>634</v>
      </c>
      <c r="B200" t="s">
        <v>635</v>
      </c>
      <c r="C200">
        <v>-27</v>
      </c>
      <c r="D200" t="s">
        <v>17</v>
      </c>
      <c r="E200" t="s">
        <v>78</v>
      </c>
      <c r="F200" t="s">
        <v>19</v>
      </c>
      <c r="G200" t="s">
        <v>196</v>
      </c>
      <c r="H200" s="1">
        <v>45860</v>
      </c>
      <c r="I200" s="3">
        <v>45867</v>
      </c>
      <c r="J200" t="s">
        <v>443</v>
      </c>
      <c r="K200" t="s">
        <v>23</v>
      </c>
      <c r="L200">
        <v>88203.79</v>
      </c>
      <c r="M200" t="s">
        <v>213</v>
      </c>
      <c r="N200" t="s">
        <v>35</v>
      </c>
      <c r="O200" t="s">
        <v>26</v>
      </c>
    </row>
    <row r="201" spans="1:15" ht="13.8" x14ac:dyDescent="0.25">
      <c r="A201" t="s">
        <v>636</v>
      </c>
      <c r="B201" t="s">
        <v>186</v>
      </c>
      <c r="C201">
        <v>71</v>
      </c>
      <c r="D201" t="s">
        <v>58</v>
      </c>
      <c r="E201" t="s">
        <v>78</v>
      </c>
      <c r="G201" t="s">
        <v>51</v>
      </c>
      <c r="H201" s="1">
        <v>45839</v>
      </c>
      <c r="I201" s="1">
        <v>45857</v>
      </c>
      <c r="J201" t="s">
        <v>332</v>
      </c>
      <c r="K201" t="s">
        <v>383</v>
      </c>
      <c r="L201" t="s">
        <v>637</v>
      </c>
      <c r="N201" t="s">
        <v>25</v>
      </c>
      <c r="O201" t="s">
        <v>26</v>
      </c>
    </row>
    <row r="202" spans="1:15" ht="13.8" x14ac:dyDescent="0.25">
      <c r="A202" t="s">
        <v>638</v>
      </c>
      <c r="B202" t="s">
        <v>639</v>
      </c>
      <c r="C202" t="s">
        <v>640</v>
      </c>
      <c r="D202" t="s">
        <v>58</v>
      </c>
      <c r="E202" t="s">
        <v>72</v>
      </c>
      <c r="F202" t="s">
        <v>165</v>
      </c>
      <c r="G202" t="s">
        <v>172</v>
      </c>
      <c r="H202" s="3">
        <v>45975</v>
      </c>
      <c r="I202" s="3">
        <v>45986</v>
      </c>
      <c r="J202" t="s">
        <v>222</v>
      </c>
      <c r="K202" t="s">
        <v>223</v>
      </c>
      <c r="N202" t="s">
        <v>55</v>
      </c>
      <c r="O202" t="s">
        <v>75</v>
      </c>
    </row>
    <row r="203" spans="1:15" ht="13.8" x14ac:dyDescent="0.25">
      <c r="A203" t="s">
        <v>641</v>
      </c>
      <c r="B203" t="s">
        <v>642</v>
      </c>
      <c r="C203">
        <v>79</v>
      </c>
      <c r="D203" t="s">
        <v>17</v>
      </c>
      <c r="E203" t="s">
        <v>102</v>
      </c>
      <c r="F203" t="s">
        <v>30</v>
      </c>
      <c r="G203" t="s">
        <v>121</v>
      </c>
      <c r="H203" s="1">
        <v>45829</v>
      </c>
      <c r="I203" t="s">
        <v>643</v>
      </c>
      <c r="J203" t="s">
        <v>122</v>
      </c>
      <c r="K203" t="s">
        <v>123</v>
      </c>
      <c r="L203" t="s">
        <v>644</v>
      </c>
      <c r="M203" t="s">
        <v>54</v>
      </c>
      <c r="N203" t="s">
        <v>35</v>
      </c>
      <c r="O203" t="s">
        <v>75</v>
      </c>
    </row>
    <row r="204" spans="1:15" ht="13.8" x14ac:dyDescent="0.25">
      <c r="A204" t="s">
        <v>645</v>
      </c>
      <c r="B204" t="s">
        <v>646</v>
      </c>
      <c r="C204">
        <v>0</v>
      </c>
      <c r="D204" t="s">
        <v>17</v>
      </c>
      <c r="E204" t="s">
        <v>39</v>
      </c>
      <c r="F204" t="s">
        <v>40</v>
      </c>
      <c r="G204" t="s">
        <v>92</v>
      </c>
      <c r="H204" s="1">
        <v>45777</v>
      </c>
      <c r="J204" t="s">
        <v>238</v>
      </c>
      <c r="K204" t="s">
        <v>67</v>
      </c>
      <c r="L204">
        <v>94965.17</v>
      </c>
      <c r="M204" t="s">
        <v>34</v>
      </c>
      <c r="N204" t="s">
        <v>55</v>
      </c>
      <c r="O204" t="s">
        <v>539</v>
      </c>
    </row>
    <row r="205" spans="1:15" ht="13.8" x14ac:dyDescent="0.25">
      <c r="A205" t="s">
        <v>647</v>
      </c>
      <c r="B205" t="s">
        <v>586</v>
      </c>
      <c r="C205">
        <v>18</v>
      </c>
      <c r="D205" t="s">
        <v>17</v>
      </c>
      <c r="E205" t="s">
        <v>59</v>
      </c>
      <c r="F205" t="s">
        <v>30</v>
      </c>
      <c r="G205" t="s">
        <v>256</v>
      </c>
      <c r="H205" s="1">
        <v>45901</v>
      </c>
      <c r="I205" s="1">
        <v>45918</v>
      </c>
      <c r="J205" t="s">
        <v>32</v>
      </c>
      <c r="K205" t="s">
        <v>33</v>
      </c>
      <c r="L205">
        <v>266670.65000000002</v>
      </c>
      <c r="M205" t="s">
        <v>34</v>
      </c>
      <c r="N205" t="s">
        <v>69</v>
      </c>
      <c r="O205" t="s">
        <v>75</v>
      </c>
    </row>
    <row r="206" spans="1:15" ht="13.8" x14ac:dyDescent="0.25">
      <c r="A206" t="s">
        <v>648</v>
      </c>
      <c r="B206" t="s">
        <v>649</v>
      </c>
      <c r="C206">
        <v>27</v>
      </c>
      <c r="D206" t="s">
        <v>17</v>
      </c>
      <c r="E206" t="s">
        <v>39</v>
      </c>
      <c r="F206" t="s">
        <v>650</v>
      </c>
      <c r="H206" s="1">
        <v>45826</v>
      </c>
      <c r="J206" t="s">
        <v>116</v>
      </c>
      <c r="K206" t="s">
        <v>117</v>
      </c>
      <c r="L206">
        <v>52142.03</v>
      </c>
      <c r="M206" t="s">
        <v>24</v>
      </c>
      <c r="N206" t="s">
        <v>74</v>
      </c>
      <c r="O206" t="s">
        <v>45</v>
      </c>
    </row>
    <row r="207" spans="1:15" ht="13.8" x14ac:dyDescent="0.25">
      <c r="A207" t="s">
        <v>651</v>
      </c>
      <c r="B207" t="s">
        <v>652</v>
      </c>
      <c r="C207">
        <v>52</v>
      </c>
      <c r="D207" t="s">
        <v>29</v>
      </c>
      <c r="E207" t="s">
        <v>137</v>
      </c>
      <c r="F207" t="s">
        <v>103</v>
      </c>
      <c r="G207" t="s">
        <v>455</v>
      </c>
      <c r="H207" s="1">
        <v>45931</v>
      </c>
      <c r="J207" t="s">
        <v>294</v>
      </c>
      <c r="K207" t="s">
        <v>336</v>
      </c>
      <c r="L207">
        <v>101756.58</v>
      </c>
      <c r="M207" t="s">
        <v>34</v>
      </c>
      <c r="N207" t="s">
        <v>69</v>
      </c>
      <c r="O207" t="s">
        <v>539</v>
      </c>
    </row>
    <row r="208" spans="1:15" ht="13.8" x14ac:dyDescent="0.25">
      <c r="A208" t="s">
        <v>653</v>
      </c>
      <c r="C208">
        <v>49</v>
      </c>
      <c r="D208" t="s">
        <v>17</v>
      </c>
      <c r="E208" t="s">
        <v>59</v>
      </c>
      <c r="F208" t="s">
        <v>30</v>
      </c>
      <c r="G208" t="s">
        <v>31</v>
      </c>
      <c r="H208" t="s">
        <v>654</v>
      </c>
      <c r="J208" t="s">
        <v>122</v>
      </c>
      <c r="K208" t="s">
        <v>123</v>
      </c>
      <c r="L208">
        <v>291401.61</v>
      </c>
      <c r="M208" t="s">
        <v>24</v>
      </c>
      <c r="N208" t="s">
        <v>35</v>
      </c>
      <c r="O208" t="s">
        <v>45</v>
      </c>
    </row>
    <row r="209" spans="1:15" ht="13.8" x14ac:dyDescent="0.25">
      <c r="A209" t="s">
        <v>655</v>
      </c>
      <c r="B209" t="s">
        <v>656</v>
      </c>
      <c r="C209">
        <v>160</v>
      </c>
      <c r="D209" t="s">
        <v>58</v>
      </c>
      <c r="E209" t="s">
        <v>97</v>
      </c>
      <c r="F209" t="s">
        <v>30</v>
      </c>
      <c r="G209" t="s">
        <v>256</v>
      </c>
      <c r="H209" s="1">
        <v>46000</v>
      </c>
      <c r="I209" s="1">
        <v>46017</v>
      </c>
      <c r="J209" t="s">
        <v>246</v>
      </c>
      <c r="K209" t="s">
        <v>229</v>
      </c>
      <c r="L209">
        <v>41236.160000000003</v>
      </c>
      <c r="M209" t="s">
        <v>162</v>
      </c>
      <c r="N209" t="s">
        <v>25</v>
      </c>
      <c r="O209" t="s">
        <v>633</v>
      </c>
    </row>
    <row r="210" spans="1:15" ht="13.8" x14ac:dyDescent="0.25">
      <c r="A210" t="s">
        <v>657</v>
      </c>
      <c r="B210" t="s">
        <v>136</v>
      </c>
      <c r="C210">
        <v>47</v>
      </c>
      <c r="D210" t="s">
        <v>58</v>
      </c>
      <c r="E210" t="s">
        <v>102</v>
      </c>
      <c r="F210" t="s">
        <v>60</v>
      </c>
      <c r="G210" t="s">
        <v>658</v>
      </c>
      <c r="H210" s="1">
        <v>45927</v>
      </c>
      <c r="I210" s="1">
        <v>45940</v>
      </c>
      <c r="J210" t="s">
        <v>62</v>
      </c>
      <c r="K210" t="s">
        <v>63</v>
      </c>
      <c r="L210">
        <v>224317.54</v>
      </c>
      <c r="M210" t="s">
        <v>34</v>
      </c>
      <c r="N210" t="s">
        <v>55</v>
      </c>
      <c r="O210" t="s">
        <v>26</v>
      </c>
    </row>
    <row r="211" spans="1:15" ht="13.8" x14ac:dyDescent="0.25">
      <c r="A211" t="s">
        <v>659</v>
      </c>
      <c r="B211" t="s">
        <v>660</v>
      </c>
      <c r="C211">
        <v>81</v>
      </c>
      <c r="D211" t="s">
        <v>58</v>
      </c>
      <c r="E211" t="s">
        <v>39</v>
      </c>
      <c r="F211" t="s">
        <v>50</v>
      </c>
      <c r="G211" t="s">
        <v>190</v>
      </c>
      <c r="H211" s="3">
        <v>45861</v>
      </c>
      <c r="I211" s="1">
        <v>45873</v>
      </c>
      <c r="J211" t="s">
        <v>52</v>
      </c>
      <c r="K211" t="s">
        <v>53</v>
      </c>
      <c r="L211" t="s">
        <v>661</v>
      </c>
      <c r="M211" t="s">
        <v>54</v>
      </c>
      <c r="N211" t="s">
        <v>141</v>
      </c>
      <c r="O211" t="s">
        <v>36</v>
      </c>
    </row>
    <row r="212" spans="1:15" ht="13.8" x14ac:dyDescent="0.25">
      <c r="B212" t="s">
        <v>436</v>
      </c>
      <c r="C212">
        <v>87</v>
      </c>
      <c r="D212" t="s">
        <v>58</v>
      </c>
      <c r="E212" t="s">
        <v>78</v>
      </c>
      <c r="F212" t="s">
        <v>103</v>
      </c>
      <c r="G212" t="s">
        <v>455</v>
      </c>
      <c r="H212" s="1">
        <v>45675</v>
      </c>
      <c r="I212" s="1">
        <v>45682</v>
      </c>
      <c r="J212" t="s">
        <v>294</v>
      </c>
      <c r="K212" t="s">
        <v>336</v>
      </c>
      <c r="L212">
        <v>258112.74</v>
      </c>
      <c r="M212" t="s">
        <v>213</v>
      </c>
      <c r="N212" t="s">
        <v>69</v>
      </c>
      <c r="O212" t="s">
        <v>36</v>
      </c>
    </row>
    <row r="213" spans="1:15" ht="13.8" x14ac:dyDescent="0.25">
      <c r="A213" t="s">
        <v>662</v>
      </c>
      <c r="B213" t="s">
        <v>57</v>
      </c>
      <c r="C213">
        <v>16</v>
      </c>
      <c r="D213" t="s">
        <v>58</v>
      </c>
      <c r="E213" t="s">
        <v>39</v>
      </c>
      <c r="F213" t="s">
        <v>165</v>
      </c>
      <c r="G213" t="s">
        <v>166</v>
      </c>
      <c r="H213" s="1">
        <v>45962</v>
      </c>
      <c r="J213" t="s">
        <v>168</v>
      </c>
      <c r="K213" t="s">
        <v>169</v>
      </c>
      <c r="L213">
        <v>255614.72</v>
      </c>
      <c r="M213" t="s">
        <v>54</v>
      </c>
      <c r="N213" t="s">
        <v>141</v>
      </c>
      <c r="O213" t="s">
        <v>45</v>
      </c>
    </row>
    <row r="214" spans="1:15" ht="13.8" x14ac:dyDescent="0.25">
      <c r="A214" t="s">
        <v>663</v>
      </c>
      <c r="B214" t="s">
        <v>664</v>
      </c>
      <c r="C214" t="s">
        <v>665</v>
      </c>
      <c r="E214" t="s">
        <v>137</v>
      </c>
      <c r="F214" t="s">
        <v>60</v>
      </c>
      <c r="G214" t="s">
        <v>177</v>
      </c>
      <c r="H214" s="2">
        <v>45940</v>
      </c>
      <c r="J214" t="s">
        <v>263</v>
      </c>
      <c r="K214" t="s">
        <v>264</v>
      </c>
      <c r="L214">
        <v>317722.57</v>
      </c>
      <c r="M214" t="s">
        <v>54</v>
      </c>
      <c r="N214" t="s">
        <v>55</v>
      </c>
      <c r="O214" t="s">
        <v>45</v>
      </c>
    </row>
    <row r="215" spans="1:15" ht="13.8" x14ac:dyDescent="0.25">
      <c r="A215" t="s">
        <v>666</v>
      </c>
      <c r="B215" t="s">
        <v>667</v>
      </c>
      <c r="C215">
        <v>70</v>
      </c>
      <c r="D215" t="s">
        <v>17</v>
      </c>
      <c r="E215" t="s">
        <v>97</v>
      </c>
      <c r="F215" t="s">
        <v>50</v>
      </c>
      <c r="G215" t="s">
        <v>190</v>
      </c>
      <c r="H215" s="2">
        <v>45962</v>
      </c>
      <c r="I215" s="1">
        <v>45672</v>
      </c>
      <c r="J215" t="s">
        <v>52</v>
      </c>
      <c r="K215" t="s">
        <v>53</v>
      </c>
      <c r="L215" t="s">
        <v>668</v>
      </c>
      <c r="M215" t="s">
        <v>84</v>
      </c>
      <c r="N215" t="s">
        <v>55</v>
      </c>
      <c r="O215" t="s">
        <v>75</v>
      </c>
    </row>
    <row r="216" spans="1:15" ht="13.8" x14ac:dyDescent="0.25">
      <c r="A216" t="s">
        <v>669</v>
      </c>
      <c r="C216">
        <v>29</v>
      </c>
      <c r="D216" t="s">
        <v>17</v>
      </c>
      <c r="E216" t="s">
        <v>72</v>
      </c>
      <c r="F216" t="s">
        <v>103</v>
      </c>
      <c r="G216" t="s">
        <v>138</v>
      </c>
      <c r="H216" s="1">
        <v>45751</v>
      </c>
      <c r="I216" s="1">
        <v>45754</v>
      </c>
      <c r="J216" t="s">
        <v>294</v>
      </c>
      <c r="K216" t="s">
        <v>336</v>
      </c>
      <c r="L216" t="s">
        <v>670</v>
      </c>
      <c r="M216" t="s">
        <v>118</v>
      </c>
      <c r="N216" t="s">
        <v>35</v>
      </c>
    </row>
    <row r="217" spans="1:15" ht="13.8" x14ac:dyDescent="0.25">
      <c r="A217" t="s">
        <v>671</v>
      </c>
      <c r="B217" t="s">
        <v>672</v>
      </c>
      <c r="C217">
        <v>-69</v>
      </c>
      <c r="D217" t="s">
        <v>58</v>
      </c>
      <c r="E217" t="s">
        <v>18</v>
      </c>
      <c r="F217" t="s">
        <v>30</v>
      </c>
      <c r="G217" t="s">
        <v>673</v>
      </c>
      <c r="H217" s="1">
        <v>45761</v>
      </c>
      <c r="J217" t="s">
        <v>32</v>
      </c>
      <c r="K217" t="s">
        <v>33</v>
      </c>
      <c r="L217">
        <v>8472.35</v>
      </c>
      <c r="M217" t="s">
        <v>24</v>
      </c>
      <c r="N217" t="s">
        <v>55</v>
      </c>
      <c r="O217" t="s">
        <v>45</v>
      </c>
    </row>
    <row r="218" spans="1:15" ht="13.8" x14ac:dyDescent="0.25">
      <c r="A218" t="s">
        <v>674</v>
      </c>
      <c r="B218" t="s">
        <v>675</v>
      </c>
      <c r="C218">
        <v>6</v>
      </c>
      <c r="D218" t="s">
        <v>17</v>
      </c>
      <c r="E218" t="s">
        <v>59</v>
      </c>
      <c r="F218" t="s">
        <v>60</v>
      </c>
      <c r="G218" t="s">
        <v>177</v>
      </c>
      <c r="H218" s="1">
        <v>45972</v>
      </c>
      <c r="I218" s="3">
        <v>45984</v>
      </c>
      <c r="J218" t="s">
        <v>132</v>
      </c>
      <c r="K218" t="s">
        <v>133</v>
      </c>
      <c r="L218">
        <v>287606.32</v>
      </c>
      <c r="M218" t="s">
        <v>54</v>
      </c>
      <c r="N218" t="s">
        <v>74</v>
      </c>
      <c r="O218" t="s">
        <v>36</v>
      </c>
    </row>
    <row r="219" spans="1:15" ht="13.8" x14ac:dyDescent="0.25">
      <c r="A219" t="s">
        <v>676</v>
      </c>
      <c r="B219" t="s">
        <v>289</v>
      </c>
      <c r="C219" t="s">
        <v>677</v>
      </c>
      <c r="D219" t="s">
        <v>58</v>
      </c>
      <c r="E219" t="s">
        <v>39</v>
      </c>
      <c r="F219" t="s">
        <v>19</v>
      </c>
      <c r="G219" t="s">
        <v>196</v>
      </c>
      <c r="H219" s="2">
        <v>45753</v>
      </c>
      <c r="J219" t="s">
        <v>233</v>
      </c>
      <c r="K219" t="s">
        <v>234</v>
      </c>
      <c r="L219" t="s">
        <v>678</v>
      </c>
      <c r="M219" t="s">
        <v>68</v>
      </c>
      <c r="N219" t="s">
        <v>74</v>
      </c>
      <c r="O219" t="s">
        <v>45</v>
      </c>
    </row>
    <row r="220" spans="1:15" ht="13.8" x14ac:dyDescent="0.25">
      <c r="A220" t="s">
        <v>679</v>
      </c>
      <c r="B220" t="s">
        <v>680</v>
      </c>
      <c r="C220">
        <v>54</v>
      </c>
      <c r="E220" t="s">
        <v>49</v>
      </c>
      <c r="F220" t="s">
        <v>19</v>
      </c>
      <c r="G220" t="s">
        <v>20</v>
      </c>
      <c r="H220" s="3">
        <v>46003</v>
      </c>
      <c r="I220" s="1">
        <v>46021</v>
      </c>
      <c r="J220" t="s">
        <v>151</v>
      </c>
      <c r="K220" t="s">
        <v>152</v>
      </c>
      <c r="L220">
        <v>33757.449999999997</v>
      </c>
      <c r="M220" t="s">
        <v>54</v>
      </c>
      <c r="N220" t="s">
        <v>681</v>
      </c>
      <c r="O220" t="s">
        <v>112</v>
      </c>
    </row>
    <row r="221" spans="1:15" ht="13.8" x14ac:dyDescent="0.25">
      <c r="A221" t="s">
        <v>682</v>
      </c>
      <c r="B221" t="s">
        <v>683</v>
      </c>
      <c r="C221">
        <v>73</v>
      </c>
      <c r="D221" t="s">
        <v>17</v>
      </c>
      <c r="F221" t="s">
        <v>60</v>
      </c>
      <c r="G221" t="s">
        <v>177</v>
      </c>
      <c r="H221" s="1">
        <v>45851</v>
      </c>
      <c r="I221" s="1">
        <v>45863</v>
      </c>
      <c r="J221" t="s">
        <v>263</v>
      </c>
      <c r="K221" t="s">
        <v>684</v>
      </c>
      <c r="L221">
        <v>137604.06</v>
      </c>
      <c r="M221" t="s">
        <v>68</v>
      </c>
      <c r="N221" t="s">
        <v>35</v>
      </c>
      <c r="O221" t="s">
        <v>75</v>
      </c>
    </row>
    <row r="222" spans="1:15" ht="13.8" x14ac:dyDescent="0.25">
      <c r="A222" t="s">
        <v>685</v>
      </c>
      <c r="B222" t="s">
        <v>686</v>
      </c>
      <c r="C222">
        <v>43</v>
      </c>
      <c r="D222" t="s">
        <v>17</v>
      </c>
      <c r="E222" t="s">
        <v>59</v>
      </c>
      <c r="F222" t="s">
        <v>40</v>
      </c>
      <c r="G222" t="s">
        <v>156</v>
      </c>
      <c r="H222" s="3">
        <v>45693</v>
      </c>
      <c r="I222" t="s">
        <v>687</v>
      </c>
      <c r="J222" t="s">
        <v>116</v>
      </c>
      <c r="K222" t="s">
        <v>117</v>
      </c>
      <c r="L222">
        <v>48497.57</v>
      </c>
      <c r="M222" t="s">
        <v>34</v>
      </c>
      <c r="N222" t="s">
        <v>55</v>
      </c>
      <c r="O222" t="s">
        <v>112</v>
      </c>
    </row>
    <row r="223" spans="1:15" ht="13.8" x14ac:dyDescent="0.25">
      <c r="A223" t="s">
        <v>688</v>
      </c>
      <c r="B223" t="s">
        <v>689</v>
      </c>
      <c r="C223">
        <v>65</v>
      </c>
      <c r="D223" t="s">
        <v>58</v>
      </c>
      <c r="E223" t="s">
        <v>49</v>
      </c>
      <c r="F223" t="s">
        <v>165</v>
      </c>
      <c r="G223" t="s">
        <v>166</v>
      </c>
      <c r="H223" s="1">
        <v>45720</v>
      </c>
      <c r="J223" t="s">
        <v>168</v>
      </c>
      <c r="K223" t="s">
        <v>169</v>
      </c>
      <c r="L223">
        <v>270774.19</v>
      </c>
      <c r="M223" t="s">
        <v>34</v>
      </c>
      <c r="O223" t="s">
        <v>45</v>
      </c>
    </row>
    <row r="224" spans="1:15" ht="13.8" x14ac:dyDescent="0.25">
      <c r="A224" t="s">
        <v>690</v>
      </c>
      <c r="B224" t="s">
        <v>691</v>
      </c>
      <c r="C224">
        <v>65</v>
      </c>
      <c r="D224" t="s">
        <v>58</v>
      </c>
      <c r="E224" t="s">
        <v>692</v>
      </c>
      <c r="F224" t="s">
        <v>165</v>
      </c>
      <c r="G224" t="s">
        <v>172</v>
      </c>
      <c r="H224" s="1">
        <v>45737</v>
      </c>
      <c r="I224" s="3">
        <v>45745</v>
      </c>
      <c r="J224" t="s">
        <v>173</v>
      </c>
      <c r="K224" t="s">
        <v>693</v>
      </c>
      <c r="L224">
        <v>337793.92</v>
      </c>
      <c r="M224" t="s">
        <v>213</v>
      </c>
      <c r="N224" t="s">
        <v>35</v>
      </c>
      <c r="O224" t="s">
        <v>75</v>
      </c>
    </row>
    <row r="225" spans="1:15" ht="13.8" x14ac:dyDescent="0.25">
      <c r="A225" t="s">
        <v>694</v>
      </c>
      <c r="B225" t="s">
        <v>695</v>
      </c>
      <c r="C225">
        <v>5</v>
      </c>
      <c r="D225" t="s">
        <v>58</v>
      </c>
      <c r="E225" t="s">
        <v>49</v>
      </c>
      <c r="F225" t="s">
        <v>40</v>
      </c>
      <c r="H225" s="1">
        <v>46014</v>
      </c>
      <c r="J225" t="s">
        <v>42</v>
      </c>
      <c r="K225" t="s">
        <v>43</v>
      </c>
      <c r="L225" t="s">
        <v>696</v>
      </c>
      <c r="M225" t="s">
        <v>44</v>
      </c>
      <c r="N225" t="s">
        <v>74</v>
      </c>
      <c r="O225" t="s">
        <v>45</v>
      </c>
    </row>
    <row r="226" spans="1:15" ht="13.8" x14ac:dyDescent="0.25">
      <c r="A226" t="s">
        <v>697</v>
      </c>
      <c r="B226" t="s">
        <v>498</v>
      </c>
      <c r="C226">
        <v>16</v>
      </c>
      <c r="D226" t="s">
        <v>17</v>
      </c>
      <c r="E226" t="s">
        <v>180</v>
      </c>
      <c r="F226" t="s">
        <v>40</v>
      </c>
      <c r="G226" t="s">
        <v>156</v>
      </c>
      <c r="H226" s="3">
        <v>45851</v>
      </c>
      <c r="I226" s="1">
        <v>45860</v>
      </c>
      <c r="J226" t="s">
        <v>93</v>
      </c>
      <c r="K226" t="s">
        <v>94</v>
      </c>
      <c r="L226">
        <v>330046.03999999998</v>
      </c>
      <c r="M226" t="s">
        <v>68</v>
      </c>
      <c r="N226" t="s">
        <v>35</v>
      </c>
      <c r="O226" t="s">
        <v>36</v>
      </c>
    </row>
    <row r="227" spans="1:15" ht="13.8" x14ac:dyDescent="0.25">
      <c r="A227" t="s">
        <v>698</v>
      </c>
      <c r="B227" t="s">
        <v>699</v>
      </c>
      <c r="C227">
        <v>31</v>
      </c>
      <c r="D227" t="s">
        <v>58</v>
      </c>
      <c r="E227" t="s">
        <v>97</v>
      </c>
      <c r="F227" t="s">
        <v>40</v>
      </c>
      <c r="G227" t="s">
        <v>212</v>
      </c>
      <c r="J227" t="s">
        <v>700</v>
      </c>
      <c r="K227" t="s">
        <v>67</v>
      </c>
      <c r="L227" t="s">
        <v>701</v>
      </c>
      <c r="M227" t="s">
        <v>54</v>
      </c>
      <c r="N227" t="s">
        <v>55</v>
      </c>
      <c r="O227" t="s">
        <v>45</v>
      </c>
    </row>
    <row r="228" spans="1:15" ht="13.8" x14ac:dyDescent="0.25">
      <c r="A228" t="s">
        <v>702</v>
      </c>
      <c r="B228" t="s">
        <v>160</v>
      </c>
      <c r="C228">
        <v>84</v>
      </c>
      <c r="D228" t="s">
        <v>17</v>
      </c>
      <c r="E228" t="s">
        <v>59</v>
      </c>
      <c r="F228" t="s">
        <v>60</v>
      </c>
      <c r="G228" t="s">
        <v>177</v>
      </c>
      <c r="H228" s="1">
        <v>45667</v>
      </c>
      <c r="I228" s="1">
        <v>45668</v>
      </c>
      <c r="K228" t="s">
        <v>133</v>
      </c>
      <c r="L228" t="s">
        <v>703</v>
      </c>
      <c r="M228" t="s">
        <v>44</v>
      </c>
      <c r="N228" t="s">
        <v>35</v>
      </c>
      <c r="O228" t="s">
        <v>36</v>
      </c>
    </row>
    <row r="229" spans="1:15" ht="13.8" x14ac:dyDescent="0.25">
      <c r="A229" t="s">
        <v>704</v>
      </c>
      <c r="B229" t="s">
        <v>150</v>
      </c>
      <c r="C229">
        <v>63</v>
      </c>
      <c r="D229" t="s">
        <v>17</v>
      </c>
      <c r="E229" t="s">
        <v>72</v>
      </c>
      <c r="F229" t="s">
        <v>30</v>
      </c>
      <c r="G229" t="s">
        <v>31</v>
      </c>
      <c r="H229" s="1">
        <v>45818</v>
      </c>
      <c r="J229" t="s">
        <v>32</v>
      </c>
      <c r="K229" t="s">
        <v>33</v>
      </c>
      <c r="L229">
        <v>82982.5</v>
      </c>
      <c r="M229" t="s">
        <v>118</v>
      </c>
      <c r="N229" t="s">
        <v>69</v>
      </c>
    </row>
    <row r="230" spans="1:15" ht="13.8" x14ac:dyDescent="0.25">
      <c r="A230" t="s">
        <v>705</v>
      </c>
      <c r="B230" t="s">
        <v>683</v>
      </c>
      <c r="C230">
        <v>40</v>
      </c>
      <c r="D230" t="s">
        <v>17</v>
      </c>
      <c r="E230" t="s">
        <v>137</v>
      </c>
      <c r="F230" t="s">
        <v>40</v>
      </c>
      <c r="G230" t="s">
        <v>156</v>
      </c>
      <c r="H230" s="1">
        <v>45783</v>
      </c>
      <c r="J230" t="s">
        <v>93</v>
      </c>
      <c r="K230" t="s">
        <v>94</v>
      </c>
      <c r="L230">
        <v>99999999</v>
      </c>
      <c r="M230" t="s">
        <v>44</v>
      </c>
      <c r="N230" t="s">
        <v>35</v>
      </c>
      <c r="O230" t="s">
        <v>45</v>
      </c>
    </row>
    <row r="231" spans="1:15" ht="13.8" x14ac:dyDescent="0.25">
      <c r="A231" t="s">
        <v>706</v>
      </c>
      <c r="B231" t="s">
        <v>707</v>
      </c>
      <c r="C231">
        <v>64</v>
      </c>
      <c r="E231" t="s">
        <v>137</v>
      </c>
      <c r="F231" t="s">
        <v>269</v>
      </c>
      <c r="G231" t="s">
        <v>201</v>
      </c>
      <c r="H231" s="2">
        <v>45779</v>
      </c>
      <c r="I231" s="1">
        <v>45707</v>
      </c>
      <c r="J231" t="s">
        <v>191</v>
      </c>
      <c r="K231" t="s">
        <v>192</v>
      </c>
      <c r="L231">
        <v>324747.28000000003</v>
      </c>
      <c r="M231" t="s">
        <v>68</v>
      </c>
      <c r="N231" t="s">
        <v>55</v>
      </c>
      <c r="O231" t="s">
        <v>112</v>
      </c>
    </row>
    <row r="232" spans="1:15" ht="13.8" x14ac:dyDescent="0.25">
      <c r="A232" t="s">
        <v>708</v>
      </c>
      <c r="B232" t="s">
        <v>709</v>
      </c>
      <c r="C232">
        <v>43</v>
      </c>
      <c r="D232" t="s">
        <v>17</v>
      </c>
      <c r="E232" t="s">
        <v>59</v>
      </c>
      <c r="F232" t="s">
        <v>40</v>
      </c>
      <c r="G232" t="s">
        <v>543</v>
      </c>
      <c r="H232" s="1">
        <v>45659</v>
      </c>
      <c r="I232" s="1">
        <v>45660</v>
      </c>
      <c r="J232" t="s">
        <v>238</v>
      </c>
      <c r="K232" t="s">
        <v>67</v>
      </c>
      <c r="M232" t="s">
        <v>34</v>
      </c>
      <c r="N232" t="s">
        <v>74</v>
      </c>
      <c r="O232" t="s">
        <v>36</v>
      </c>
    </row>
    <row r="233" spans="1:15" ht="13.8" x14ac:dyDescent="0.25">
      <c r="A233" t="s">
        <v>710</v>
      </c>
      <c r="B233" t="s">
        <v>711</v>
      </c>
      <c r="C233">
        <v>82</v>
      </c>
      <c r="D233" t="s">
        <v>287</v>
      </c>
      <c r="E233" t="s">
        <v>39</v>
      </c>
      <c r="F233" t="s">
        <v>60</v>
      </c>
      <c r="G233" t="s">
        <v>79</v>
      </c>
      <c r="H233" s="1">
        <v>45786</v>
      </c>
      <c r="I233" t="s">
        <v>21</v>
      </c>
      <c r="J233" t="s">
        <v>62</v>
      </c>
      <c r="K233" t="s">
        <v>63</v>
      </c>
      <c r="L233" t="s">
        <v>712</v>
      </c>
      <c r="M233" t="s">
        <v>84</v>
      </c>
      <c r="N233" t="s">
        <v>569</v>
      </c>
      <c r="O233" t="s">
        <v>75</v>
      </c>
    </row>
    <row r="234" spans="1:15" ht="13.8" x14ac:dyDescent="0.25">
      <c r="A234" t="s">
        <v>713</v>
      </c>
      <c r="B234" t="s">
        <v>327</v>
      </c>
      <c r="C234">
        <v>21</v>
      </c>
      <c r="D234" t="s">
        <v>29</v>
      </c>
      <c r="E234" t="s">
        <v>39</v>
      </c>
      <c r="F234" t="s">
        <v>50</v>
      </c>
      <c r="G234" t="s">
        <v>51</v>
      </c>
      <c r="I234" t="s">
        <v>714</v>
      </c>
      <c r="J234" t="s">
        <v>253</v>
      </c>
      <c r="K234" t="s">
        <v>53</v>
      </c>
      <c r="L234">
        <v>327792.19</v>
      </c>
      <c r="N234" t="s">
        <v>74</v>
      </c>
      <c r="O234" t="s">
        <v>75</v>
      </c>
    </row>
    <row r="235" spans="1:15" ht="13.8" x14ac:dyDescent="0.25">
      <c r="A235" t="s">
        <v>715</v>
      </c>
      <c r="B235" t="s">
        <v>506</v>
      </c>
      <c r="C235">
        <v>-8</v>
      </c>
      <c r="D235" t="s">
        <v>58</v>
      </c>
      <c r="E235" t="s">
        <v>18</v>
      </c>
      <c r="F235" t="s">
        <v>60</v>
      </c>
      <c r="G235" t="s">
        <v>61</v>
      </c>
      <c r="H235" s="1">
        <v>45978</v>
      </c>
      <c r="J235" t="s">
        <v>132</v>
      </c>
      <c r="K235" t="s">
        <v>133</v>
      </c>
      <c r="L235">
        <v>-287384.84000000003</v>
      </c>
      <c r="M235" t="s">
        <v>68</v>
      </c>
      <c r="N235" t="s">
        <v>69</v>
      </c>
      <c r="O235" t="s">
        <v>26</v>
      </c>
    </row>
    <row r="236" spans="1:15" ht="13.8" x14ac:dyDescent="0.25">
      <c r="A236" t="s">
        <v>716</v>
      </c>
      <c r="C236">
        <v>83</v>
      </c>
      <c r="D236" t="s">
        <v>58</v>
      </c>
      <c r="E236" t="s">
        <v>97</v>
      </c>
      <c r="F236" t="s">
        <v>60</v>
      </c>
      <c r="G236" t="s">
        <v>79</v>
      </c>
      <c r="H236" s="1">
        <v>45686</v>
      </c>
      <c r="I236" s="1">
        <v>45701</v>
      </c>
      <c r="J236" t="s">
        <v>81</v>
      </c>
      <c r="K236" t="s">
        <v>82</v>
      </c>
      <c r="L236" t="s">
        <v>717</v>
      </c>
      <c r="M236" t="s">
        <v>118</v>
      </c>
      <c r="N236" t="s">
        <v>74</v>
      </c>
      <c r="O236" t="s">
        <v>26</v>
      </c>
    </row>
    <row r="237" spans="1:15" ht="13.8" x14ac:dyDescent="0.25">
      <c r="A237" t="s">
        <v>718</v>
      </c>
      <c r="C237">
        <v>22</v>
      </c>
      <c r="D237" t="s">
        <v>17</v>
      </c>
      <c r="E237" t="s">
        <v>78</v>
      </c>
      <c r="F237" t="s">
        <v>19</v>
      </c>
      <c r="G237" t="s">
        <v>388</v>
      </c>
      <c r="H237" s="1">
        <v>45941</v>
      </c>
      <c r="I237" t="s">
        <v>719</v>
      </c>
      <c r="K237" t="s">
        <v>234</v>
      </c>
      <c r="L237">
        <v>260747.8</v>
      </c>
      <c r="M237" t="s">
        <v>44</v>
      </c>
      <c r="N237" t="s">
        <v>55</v>
      </c>
      <c r="O237" t="s">
        <v>125</v>
      </c>
    </row>
    <row r="238" spans="1:15" ht="13.8" x14ac:dyDescent="0.25">
      <c r="A238" t="s">
        <v>720</v>
      </c>
      <c r="B238" t="s">
        <v>721</v>
      </c>
      <c r="C238">
        <v>57</v>
      </c>
      <c r="D238" t="s">
        <v>58</v>
      </c>
      <c r="E238" t="s">
        <v>78</v>
      </c>
      <c r="H238" s="3">
        <v>45895</v>
      </c>
      <c r="I238" s="1">
        <v>45908</v>
      </c>
      <c r="J238" t="s">
        <v>294</v>
      </c>
      <c r="K238" t="s">
        <v>336</v>
      </c>
      <c r="L238" t="s">
        <v>722</v>
      </c>
      <c r="M238" t="s">
        <v>68</v>
      </c>
      <c r="N238" t="s">
        <v>35</v>
      </c>
      <c r="O238" t="s">
        <v>723</v>
      </c>
    </row>
    <row r="239" spans="1:15" ht="13.8" x14ac:dyDescent="0.25">
      <c r="A239" t="s">
        <v>724</v>
      </c>
      <c r="C239">
        <v>86</v>
      </c>
      <c r="D239" t="s">
        <v>58</v>
      </c>
      <c r="E239" t="s">
        <v>59</v>
      </c>
      <c r="F239" t="s">
        <v>30</v>
      </c>
      <c r="G239" t="s">
        <v>256</v>
      </c>
      <c r="H239" s="1">
        <v>45716</v>
      </c>
      <c r="I239" s="1">
        <v>45734</v>
      </c>
      <c r="J239" t="s">
        <v>246</v>
      </c>
      <c r="K239" t="s">
        <v>229</v>
      </c>
      <c r="L239">
        <v>114030.49</v>
      </c>
      <c r="M239" t="s">
        <v>54</v>
      </c>
      <c r="N239" t="s">
        <v>25</v>
      </c>
      <c r="O239" t="s">
        <v>75</v>
      </c>
    </row>
    <row r="240" spans="1:15" ht="13.8" x14ac:dyDescent="0.25">
      <c r="A240" t="s">
        <v>725</v>
      </c>
      <c r="B240" t="s">
        <v>726</v>
      </c>
      <c r="C240">
        <v>27</v>
      </c>
      <c r="D240" t="s">
        <v>17</v>
      </c>
      <c r="E240" t="s">
        <v>18</v>
      </c>
      <c r="F240" t="s">
        <v>19</v>
      </c>
      <c r="G240" t="s">
        <v>388</v>
      </c>
      <c r="H240" s="1">
        <v>45701</v>
      </c>
      <c r="I240" t="s">
        <v>727</v>
      </c>
      <c r="J240" t="s">
        <v>151</v>
      </c>
      <c r="K240" t="s">
        <v>152</v>
      </c>
      <c r="L240">
        <v>66855.98</v>
      </c>
      <c r="M240" t="s">
        <v>68</v>
      </c>
      <c r="N240" t="s">
        <v>74</v>
      </c>
      <c r="O240" t="s">
        <v>112</v>
      </c>
    </row>
    <row r="241" spans="1:15" ht="13.8" x14ac:dyDescent="0.25">
      <c r="A241" t="s">
        <v>728</v>
      </c>
      <c r="B241" t="s">
        <v>729</v>
      </c>
      <c r="C241">
        <v>52</v>
      </c>
      <c r="D241" t="s">
        <v>58</v>
      </c>
      <c r="E241" t="s">
        <v>137</v>
      </c>
      <c r="F241" t="s">
        <v>165</v>
      </c>
      <c r="G241" t="s">
        <v>166</v>
      </c>
      <c r="H241" s="3">
        <v>45890</v>
      </c>
      <c r="I241" s="3">
        <v>45897</v>
      </c>
      <c r="J241" t="s">
        <v>511</v>
      </c>
      <c r="K241" t="s">
        <v>174</v>
      </c>
      <c r="L241">
        <v>266163.46999999997</v>
      </c>
      <c r="M241" t="s">
        <v>34</v>
      </c>
      <c r="N241" t="s">
        <v>55</v>
      </c>
      <c r="O241" t="s">
        <v>26</v>
      </c>
    </row>
    <row r="242" spans="1:15" ht="13.8" x14ac:dyDescent="0.25">
      <c r="A242" t="s">
        <v>730</v>
      </c>
      <c r="B242" t="s">
        <v>275</v>
      </c>
      <c r="C242">
        <v>32</v>
      </c>
      <c r="D242" t="s">
        <v>17</v>
      </c>
      <c r="E242" t="s">
        <v>18</v>
      </c>
      <c r="F242" t="s">
        <v>19</v>
      </c>
      <c r="G242" t="s">
        <v>127</v>
      </c>
      <c r="H242" s="1">
        <v>45912</v>
      </c>
      <c r="J242" t="s">
        <v>233</v>
      </c>
      <c r="K242" t="s">
        <v>234</v>
      </c>
      <c r="L242" t="s">
        <v>731</v>
      </c>
      <c r="M242" t="s">
        <v>44</v>
      </c>
      <c r="N242" t="s">
        <v>141</v>
      </c>
      <c r="O242" t="s">
        <v>45</v>
      </c>
    </row>
    <row r="243" spans="1:15" ht="13.8" x14ac:dyDescent="0.25">
      <c r="A243" t="s">
        <v>732</v>
      </c>
      <c r="B243" t="s">
        <v>733</v>
      </c>
      <c r="C243" t="s">
        <v>734</v>
      </c>
      <c r="D243" t="s">
        <v>58</v>
      </c>
      <c r="E243" t="s">
        <v>18</v>
      </c>
      <c r="F243" t="s">
        <v>50</v>
      </c>
      <c r="G243" t="s">
        <v>300</v>
      </c>
      <c r="H243" s="1">
        <v>46003</v>
      </c>
      <c r="J243" t="s">
        <v>332</v>
      </c>
      <c r="K243" t="s">
        <v>383</v>
      </c>
      <c r="L243">
        <v>165780.85</v>
      </c>
      <c r="M243" t="s">
        <v>54</v>
      </c>
      <c r="N243" t="s">
        <v>35</v>
      </c>
      <c r="O243" t="s">
        <v>112</v>
      </c>
    </row>
    <row r="244" spans="1:15" ht="13.8" x14ac:dyDescent="0.25">
      <c r="A244" t="s">
        <v>735</v>
      </c>
      <c r="B244" t="s">
        <v>733</v>
      </c>
      <c r="C244">
        <v>45</v>
      </c>
      <c r="D244" t="s">
        <v>58</v>
      </c>
      <c r="E244" t="s">
        <v>72</v>
      </c>
      <c r="F244" t="s">
        <v>269</v>
      </c>
      <c r="G244" t="s">
        <v>300</v>
      </c>
      <c r="H244" s="3">
        <v>45731</v>
      </c>
      <c r="I244" s="3">
        <v>45738</v>
      </c>
      <c r="J244" t="s">
        <v>52</v>
      </c>
      <c r="K244" t="s">
        <v>53</v>
      </c>
      <c r="L244" t="s">
        <v>736</v>
      </c>
      <c r="M244" t="s">
        <v>44</v>
      </c>
      <c r="N244" t="s">
        <v>25</v>
      </c>
      <c r="O244" t="s">
        <v>26</v>
      </c>
    </row>
    <row r="245" spans="1:15" ht="13.8" x14ac:dyDescent="0.25">
      <c r="A245" t="s">
        <v>737</v>
      </c>
      <c r="B245" t="s">
        <v>738</v>
      </c>
      <c r="C245">
        <v>49</v>
      </c>
      <c r="D245" t="s">
        <v>17</v>
      </c>
      <c r="E245" t="s">
        <v>155</v>
      </c>
      <c r="F245" t="s">
        <v>40</v>
      </c>
      <c r="G245" t="s">
        <v>156</v>
      </c>
      <c r="I245" s="1">
        <v>45965</v>
      </c>
      <c r="J245" t="s">
        <v>42</v>
      </c>
      <c r="K245" t="s">
        <v>43</v>
      </c>
      <c r="L245">
        <v>28693.03</v>
      </c>
      <c r="M245" t="s">
        <v>84</v>
      </c>
      <c r="N245" t="s">
        <v>496</v>
      </c>
      <c r="O245" t="s">
        <v>36</v>
      </c>
    </row>
    <row r="246" spans="1:15" ht="13.8" x14ac:dyDescent="0.25">
      <c r="A246" t="s">
        <v>739</v>
      </c>
      <c r="B246" t="s">
        <v>740</v>
      </c>
      <c r="C246" t="s">
        <v>741</v>
      </c>
      <c r="D246" t="s">
        <v>58</v>
      </c>
      <c r="E246" t="s">
        <v>39</v>
      </c>
      <c r="F246" t="s">
        <v>103</v>
      </c>
      <c r="G246" t="s">
        <v>455</v>
      </c>
      <c r="H246" s="1">
        <v>45724</v>
      </c>
      <c r="I246" s="1">
        <v>45726</v>
      </c>
      <c r="J246" t="s">
        <v>249</v>
      </c>
      <c r="K246" t="s">
        <v>250</v>
      </c>
      <c r="L246" t="s">
        <v>742</v>
      </c>
      <c r="M246" t="s">
        <v>34</v>
      </c>
      <c r="N246" t="s">
        <v>35</v>
      </c>
      <c r="O246" t="s">
        <v>36</v>
      </c>
    </row>
    <row r="247" spans="1:15" ht="13.8" x14ac:dyDescent="0.25">
      <c r="A247" t="s">
        <v>743</v>
      </c>
      <c r="C247">
        <v>18</v>
      </c>
      <c r="D247" t="s">
        <v>17</v>
      </c>
      <c r="E247" t="s">
        <v>18</v>
      </c>
      <c r="F247" t="s">
        <v>19</v>
      </c>
      <c r="G247" t="s">
        <v>20</v>
      </c>
      <c r="H247" t="s">
        <v>218</v>
      </c>
      <c r="I247" s="1">
        <v>45820</v>
      </c>
      <c r="J247" t="s">
        <v>151</v>
      </c>
      <c r="K247" t="s">
        <v>152</v>
      </c>
      <c r="L247" t="s">
        <v>744</v>
      </c>
      <c r="M247" t="s">
        <v>118</v>
      </c>
      <c r="N247" t="s">
        <v>35</v>
      </c>
      <c r="O247" t="s">
        <v>75</v>
      </c>
    </row>
    <row r="248" spans="1:15" ht="13.8" x14ac:dyDescent="0.25">
      <c r="A248" t="s">
        <v>745</v>
      </c>
      <c r="B248" t="s">
        <v>746</v>
      </c>
      <c r="C248">
        <v>75</v>
      </c>
      <c r="D248" t="s">
        <v>58</v>
      </c>
      <c r="E248" t="s">
        <v>78</v>
      </c>
      <c r="F248" t="s">
        <v>50</v>
      </c>
      <c r="G248" t="s">
        <v>51</v>
      </c>
      <c r="H248" t="s">
        <v>412</v>
      </c>
      <c r="I248" s="1">
        <v>45806</v>
      </c>
      <c r="J248" t="s">
        <v>315</v>
      </c>
      <c r="K248" t="s">
        <v>204</v>
      </c>
      <c r="L248" t="s">
        <v>747</v>
      </c>
      <c r="M248" t="s">
        <v>84</v>
      </c>
      <c r="N248" t="s">
        <v>69</v>
      </c>
      <c r="O248" t="s">
        <v>75</v>
      </c>
    </row>
    <row r="249" spans="1:15" ht="13.8" x14ac:dyDescent="0.25">
      <c r="A249" t="s">
        <v>748</v>
      </c>
      <c r="B249" t="s">
        <v>709</v>
      </c>
      <c r="C249">
        <v>42</v>
      </c>
      <c r="D249" t="s">
        <v>17</v>
      </c>
      <c r="E249" t="s">
        <v>97</v>
      </c>
      <c r="F249" t="s">
        <v>60</v>
      </c>
      <c r="G249" t="s">
        <v>79</v>
      </c>
      <c r="H249" s="2">
        <v>45879</v>
      </c>
      <c r="J249" t="s">
        <v>132</v>
      </c>
      <c r="K249" t="s">
        <v>133</v>
      </c>
      <c r="L249" t="s">
        <v>749</v>
      </c>
      <c r="M249" t="s">
        <v>44</v>
      </c>
      <c r="N249" t="s">
        <v>25</v>
      </c>
      <c r="O249" t="s">
        <v>45</v>
      </c>
    </row>
    <row r="250" spans="1:15" ht="13.8" x14ac:dyDescent="0.25">
      <c r="A250" t="s">
        <v>750</v>
      </c>
      <c r="B250" t="s">
        <v>751</v>
      </c>
      <c r="C250">
        <v>69</v>
      </c>
      <c r="D250" t="s">
        <v>17</v>
      </c>
      <c r="E250" t="s">
        <v>102</v>
      </c>
      <c r="F250" t="s">
        <v>40</v>
      </c>
      <c r="G250" t="s">
        <v>156</v>
      </c>
      <c r="H250" s="1">
        <v>45767</v>
      </c>
      <c r="I250" s="2">
        <v>45874</v>
      </c>
      <c r="J250" t="s">
        <v>238</v>
      </c>
      <c r="K250" t="s">
        <v>67</v>
      </c>
      <c r="M250" t="s">
        <v>44</v>
      </c>
      <c r="N250" t="s">
        <v>55</v>
      </c>
      <c r="O250" t="s">
        <v>26</v>
      </c>
    </row>
    <row r="251" spans="1:15" ht="13.8" x14ac:dyDescent="0.25">
      <c r="A251" t="s">
        <v>752</v>
      </c>
      <c r="B251" t="s">
        <v>753</v>
      </c>
      <c r="C251">
        <v>8</v>
      </c>
      <c r="D251" t="s">
        <v>17</v>
      </c>
      <c r="E251" t="s">
        <v>137</v>
      </c>
      <c r="F251" t="s">
        <v>30</v>
      </c>
      <c r="G251" t="s">
        <v>256</v>
      </c>
      <c r="H251" s="3">
        <v>45698</v>
      </c>
      <c r="I251" s="1">
        <v>45710</v>
      </c>
      <c r="J251" t="s">
        <v>122</v>
      </c>
      <c r="K251" t="s">
        <v>123</v>
      </c>
      <c r="L251">
        <v>213386.28</v>
      </c>
      <c r="M251" t="s">
        <v>213</v>
      </c>
      <c r="N251" t="s">
        <v>25</v>
      </c>
      <c r="O251" t="s">
        <v>112</v>
      </c>
    </row>
    <row r="252" spans="1:15" ht="13.8" x14ac:dyDescent="0.25">
      <c r="A252" t="s">
        <v>754</v>
      </c>
      <c r="B252" t="s">
        <v>649</v>
      </c>
      <c r="C252">
        <v>25</v>
      </c>
      <c r="D252" t="s">
        <v>17</v>
      </c>
      <c r="E252" t="s">
        <v>72</v>
      </c>
      <c r="F252" t="s">
        <v>60</v>
      </c>
      <c r="G252" t="s">
        <v>61</v>
      </c>
      <c r="H252" t="s">
        <v>755</v>
      </c>
      <c r="I252" s="1">
        <v>45784</v>
      </c>
      <c r="J252" t="s">
        <v>132</v>
      </c>
      <c r="K252" t="s">
        <v>133</v>
      </c>
      <c r="L252">
        <v>155616.21</v>
      </c>
      <c r="M252" t="s">
        <v>34</v>
      </c>
      <c r="N252" t="s">
        <v>25</v>
      </c>
      <c r="O252" t="s">
        <v>723</v>
      </c>
    </row>
    <row r="253" spans="1:15" ht="13.8" x14ac:dyDescent="0.25">
      <c r="A253" t="s">
        <v>756</v>
      </c>
      <c r="B253" t="s">
        <v>757</v>
      </c>
      <c r="C253">
        <v>68</v>
      </c>
      <c r="D253" t="s">
        <v>58</v>
      </c>
      <c r="E253" t="s">
        <v>102</v>
      </c>
      <c r="F253" t="s">
        <v>30</v>
      </c>
      <c r="G253" t="s">
        <v>31</v>
      </c>
      <c r="H253" s="3">
        <v>45710</v>
      </c>
      <c r="I253" s="3">
        <v>45721</v>
      </c>
      <c r="J253" t="s">
        <v>122</v>
      </c>
      <c r="K253" t="s">
        <v>123</v>
      </c>
      <c r="L253">
        <v>114914.67</v>
      </c>
      <c r="M253" t="s">
        <v>118</v>
      </c>
      <c r="N253" t="s">
        <v>55</v>
      </c>
      <c r="O253" t="s">
        <v>75</v>
      </c>
    </row>
    <row r="254" spans="1:15" ht="13.8" x14ac:dyDescent="0.25">
      <c r="A254" t="s">
        <v>758</v>
      </c>
      <c r="B254" t="s">
        <v>759</v>
      </c>
      <c r="C254">
        <v>2</v>
      </c>
      <c r="D254" t="s">
        <v>339</v>
      </c>
      <c r="E254" t="s">
        <v>137</v>
      </c>
      <c r="F254" t="s">
        <v>103</v>
      </c>
      <c r="G254" t="s">
        <v>138</v>
      </c>
      <c r="H254" s="1">
        <v>45905</v>
      </c>
      <c r="I254" s="1">
        <v>45921</v>
      </c>
      <c r="J254" t="s">
        <v>249</v>
      </c>
      <c r="K254" t="s">
        <v>250</v>
      </c>
      <c r="L254" t="s">
        <v>760</v>
      </c>
      <c r="M254" t="s">
        <v>44</v>
      </c>
      <c r="N254" t="s">
        <v>74</v>
      </c>
    </row>
    <row r="255" spans="1:15" ht="13.8" x14ac:dyDescent="0.25">
      <c r="A255" t="s">
        <v>761</v>
      </c>
      <c r="B255" t="s">
        <v>762</v>
      </c>
      <c r="C255">
        <v>31</v>
      </c>
      <c r="D255" t="s">
        <v>115</v>
      </c>
      <c r="E255" t="s">
        <v>102</v>
      </c>
      <c r="F255" t="s">
        <v>40</v>
      </c>
      <c r="G255" t="s">
        <v>212</v>
      </c>
      <c r="H255" s="1">
        <v>45690</v>
      </c>
      <c r="J255" t="s">
        <v>763</v>
      </c>
      <c r="L255" t="s">
        <v>764</v>
      </c>
      <c r="M255" t="s">
        <v>84</v>
      </c>
      <c r="N255" t="s">
        <v>35</v>
      </c>
      <c r="O255" t="s">
        <v>260</v>
      </c>
    </row>
    <row r="256" spans="1:15" ht="13.8" x14ac:dyDescent="0.25">
      <c r="A256" t="s">
        <v>765</v>
      </c>
      <c r="B256" t="s">
        <v>652</v>
      </c>
      <c r="C256">
        <v>59</v>
      </c>
      <c r="D256" t="s">
        <v>58</v>
      </c>
      <c r="E256" t="s">
        <v>18</v>
      </c>
      <c r="F256" t="s">
        <v>165</v>
      </c>
      <c r="G256" t="s">
        <v>302</v>
      </c>
      <c r="H256" s="1">
        <v>45819</v>
      </c>
      <c r="I256" t="s">
        <v>766</v>
      </c>
      <c r="J256" t="s">
        <v>183</v>
      </c>
      <c r="K256" t="s">
        <v>184</v>
      </c>
      <c r="L256">
        <v>344782.51</v>
      </c>
      <c r="M256" t="s">
        <v>118</v>
      </c>
      <c r="N256" t="s">
        <v>35</v>
      </c>
    </row>
    <row r="257" spans="1:15" ht="13.8" x14ac:dyDescent="0.25">
      <c r="A257" t="s">
        <v>767</v>
      </c>
      <c r="B257" t="s">
        <v>77</v>
      </c>
      <c r="C257">
        <v>55</v>
      </c>
      <c r="D257" t="s">
        <v>17</v>
      </c>
      <c r="E257" t="s">
        <v>39</v>
      </c>
      <c r="F257" t="s">
        <v>19</v>
      </c>
      <c r="G257" t="s">
        <v>196</v>
      </c>
      <c r="H257" s="1">
        <v>45864</v>
      </c>
      <c r="I257" s="3">
        <v>45867</v>
      </c>
      <c r="J257" t="s">
        <v>151</v>
      </c>
      <c r="K257" t="s">
        <v>768</v>
      </c>
      <c r="L257">
        <v>110914.54</v>
      </c>
      <c r="M257" t="s">
        <v>24</v>
      </c>
      <c r="N257" t="s">
        <v>35</v>
      </c>
      <c r="O257" t="s">
        <v>36</v>
      </c>
    </row>
    <row r="258" spans="1:15" ht="13.8" x14ac:dyDescent="0.25">
      <c r="A258" t="s">
        <v>769</v>
      </c>
      <c r="B258" t="s">
        <v>770</v>
      </c>
      <c r="C258">
        <v>87</v>
      </c>
      <c r="D258" t="s">
        <v>17</v>
      </c>
      <c r="E258" t="s">
        <v>59</v>
      </c>
      <c r="F258" t="s">
        <v>30</v>
      </c>
      <c r="G258" t="s">
        <v>31</v>
      </c>
      <c r="H258" s="1">
        <v>45751</v>
      </c>
      <c r="I258" t="s">
        <v>771</v>
      </c>
      <c r="J258" t="s">
        <v>246</v>
      </c>
      <c r="K258" t="s">
        <v>229</v>
      </c>
      <c r="L258">
        <v>235154.38</v>
      </c>
      <c r="M258" t="s">
        <v>68</v>
      </c>
      <c r="N258" t="s">
        <v>35</v>
      </c>
      <c r="O258" t="s">
        <v>75</v>
      </c>
    </row>
    <row r="259" spans="1:15" ht="13.8" x14ac:dyDescent="0.25">
      <c r="A259" t="s">
        <v>772</v>
      </c>
      <c r="B259" t="s">
        <v>549</v>
      </c>
      <c r="C259">
        <v>31</v>
      </c>
      <c r="D259" t="s">
        <v>58</v>
      </c>
      <c r="E259" t="s">
        <v>137</v>
      </c>
      <c r="F259" t="s">
        <v>103</v>
      </c>
      <c r="G259" t="s">
        <v>104</v>
      </c>
      <c r="H259" s="1">
        <v>45764</v>
      </c>
      <c r="I259" s="1">
        <v>45771</v>
      </c>
      <c r="J259" t="s">
        <v>249</v>
      </c>
      <c r="K259" t="s">
        <v>250</v>
      </c>
      <c r="L259">
        <v>161347.78</v>
      </c>
      <c r="M259" t="s">
        <v>24</v>
      </c>
      <c r="N259" t="s">
        <v>35</v>
      </c>
      <c r="O259" t="s">
        <v>26</v>
      </c>
    </row>
    <row r="260" spans="1:15" ht="13.8" x14ac:dyDescent="0.25">
      <c r="A260" t="s">
        <v>773</v>
      </c>
      <c r="B260" t="s">
        <v>774</v>
      </c>
      <c r="C260">
        <v>57</v>
      </c>
      <c r="D260" t="s">
        <v>17</v>
      </c>
      <c r="E260" t="s">
        <v>18</v>
      </c>
      <c r="F260" t="s">
        <v>30</v>
      </c>
      <c r="G260" t="s">
        <v>31</v>
      </c>
      <c r="H260" s="2">
        <v>45717</v>
      </c>
      <c r="I260" s="1">
        <v>45662</v>
      </c>
      <c r="J260" t="s">
        <v>32</v>
      </c>
      <c r="K260" t="s">
        <v>33</v>
      </c>
      <c r="L260">
        <v>138047.97</v>
      </c>
      <c r="M260" t="s">
        <v>54</v>
      </c>
      <c r="N260" t="s">
        <v>74</v>
      </c>
      <c r="O260" t="s">
        <v>36</v>
      </c>
    </row>
    <row r="261" spans="1:15" ht="13.8" x14ac:dyDescent="0.25">
      <c r="A261" t="s">
        <v>775</v>
      </c>
      <c r="B261" t="s">
        <v>776</v>
      </c>
      <c r="C261">
        <v>35</v>
      </c>
      <c r="D261" t="s">
        <v>17</v>
      </c>
      <c r="E261" t="s">
        <v>18</v>
      </c>
      <c r="F261" t="s">
        <v>50</v>
      </c>
      <c r="G261" t="s">
        <v>777</v>
      </c>
      <c r="H261" s="1">
        <v>45853</v>
      </c>
      <c r="I261" s="1">
        <v>45863</v>
      </c>
      <c r="J261" t="s">
        <v>413</v>
      </c>
      <c r="K261" t="s">
        <v>383</v>
      </c>
      <c r="L261" t="s">
        <v>778</v>
      </c>
      <c r="M261" t="s">
        <v>34</v>
      </c>
      <c r="N261" t="s">
        <v>55</v>
      </c>
      <c r="O261" t="s">
        <v>75</v>
      </c>
    </row>
    <row r="262" spans="1:15" ht="13.8" x14ac:dyDescent="0.25">
      <c r="A262" t="s">
        <v>779</v>
      </c>
      <c r="B262" t="s">
        <v>549</v>
      </c>
      <c r="C262">
        <v>87</v>
      </c>
      <c r="D262" t="s">
        <v>58</v>
      </c>
      <c r="E262" t="s">
        <v>18</v>
      </c>
      <c r="F262" t="s">
        <v>40</v>
      </c>
      <c r="G262" t="s">
        <v>92</v>
      </c>
      <c r="H262" s="1">
        <v>45978</v>
      </c>
      <c r="I262" t="s">
        <v>780</v>
      </c>
      <c r="J262" t="s">
        <v>42</v>
      </c>
      <c r="K262" t="s">
        <v>43</v>
      </c>
      <c r="L262">
        <v>34509.769999999997</v>
      </c>
      <c r="N262" t="s">
        <v>55</v>
      </c>
      <c r="O262" t="s">
        <v>26</v>
      </c>
    </row>
    <row r="263" spans="1:15" ht="13.8" x14ac:dyDescent="0.25">
      <c r="A263" t="s">
        <v>781</v>
      </c>
      <c r="B263" t="s">
        <v>782</v>
      </c>
      <c r="C263">
        <v>19</v>
      </c>
      <c r="D263" t="s">
        <v>17</v>
      </c>
      <c r="E263" t="s">
        <v>97</v>
      </c>
      <c r="F263" t="s">
        <v>60</v>
      </c>
      <c r="G263" t="s">
        <v>177</v>
      </c>
      <c r="H263" s="1">
        <v>45758</v>
      </c>
      <c r="I263" t="s">
        <v>380</v>
      </c>
      <c r="J263" t="s">
        <v>132</v>
      </c>
      <c r="K263" t="s">
        <v>133</v>
      </c>
      <c r="L263" t="s">
        <v>783</v>
      </c>
      <c r="M263" t="s">
        <v>24</v>
      </c>
      <c r="N263" t="s">
        <v>69</v>
      </c>
      <c r="O263" t="s">
        <v>75</v>
      </c>
    </row>
    <row r="264" spans="1:15" ht="13.8" x14ac:dyDescent="0.25">
      <c r="A264" t="s">
        <v>784</v>
      </c>
      <c r="B264" t="s">
        <v>431</v>
      </c>
      <c r="C264">
        <v>9</v>
      </c>
      <c r="D264" t="s">
        <v>17</v>
      </c>
      <c r="E264" t="s">
        <v>72</v>
      </c>
      <c r="F264" t="s">
        <v>19</v>
      </c>
      <c r="G264" t="s">
        <v>20</v>
      </c>
      <c r="H264" t="s">
        <v>785</v>
      </c>
      <c r="J264" t="s">
        <v>151</v>
      </c>
      <c r="K264" t="s">
        <v>152</v>
      </c>
      <c r="L264">
        <v>221324.78</v>
      </c>
      <c r="N264" t="s">
        <v>55</v>
      </c>
      <c r="O264" t="s">
        <v>45</v>
      </c>
    </row>
    <row r="265" spans="1:15" ht="13.8" x14ac:dyDescent="0.25">
      <c r="A265" t="s">
        <v>786</v>
      </c>
      <c r="B265" t="s">
        <v>726</v>
      </c>
      <c r="C265">
        <v>66</v>
      </c>
      <c r="D265" t="s">
        <v>17</v>
      </c>
      <c r="E265" t="s">
        <v>78</v>
      </c>
      <c r="F265" t="s">
        <v>50</v>
      </c>
      <c r="G265" t="s">
        <v>51</v>
      </c>
      <c r="H265" s="3">
        <v>46007</v>
      </c>
      <c r="J265" t="s">
        <v>787</v>
      </c>
      <c r="K265" t="s">
        <v>192</v>
      </c>
      <c r="M265" t="s">
        <v>34</v>
      </c>
      <c r="N265" t="s">
        <v>69</v>
      </c>
      <c r="O265" t="s">
        <v>45</v>
      </c>
    </row>
    <row r="266" spans="1:15" ht="13.8" x14ac:dyDescent="0.25">
      <c r="A266" t="s">
        <v>788</v>
      </c>
      <c r="B266" t="s">
        <v>447</v>
      </c>
      <c r="C266">
        <v>10</v>
      </c>
      <c r="D266" t="s">
        <v>17</v>
      </c>
      <c r="E266" t="s">
        <v>789</v>
      </c>
      <c r="F266" t="s">
        <v>103</v>
      </c>
      <c r="G266" t="s">
        <v>138</v>
      </c>
      <c r="H266" s="2">
        <v>45789</v>
      </c>
      <c r="I266" s="3">
        <v>46007</v>
      </c>
      <c r="K266" t="s">
        <v>790</v>
      </c>
      <c r="L266">
        <v>337690.34</v>
      </c>
      <c r="M266" t="s">
        <v>213</v>
      </c>
      <c r="N266" t="s">
        <v>55</v>
      </c>
      <c r="O266" t="s">
        <v>36</v>
      </c>
    </row>
    <row r="267" spans="1:15" ht="13.8" x14ac:dyDescent="0.25">
      <c r="A267" t="s">
        <v>791</v>
      </c>
      <c r="B267" t="s">
        <v>342</v>
      </c>
      <c r="C267">
        <v>64</v>
      </c>
      <c r="D267" t="s">
        <v>58</v>
      </c>
      <c r="E267" t="s">
        <v>102</v>
      </c>
      <c r="F267" t="s">
        <v>30</v>
      </c>
      <c r="G267" t="s">
        <v>121</v>
      </c>
      <c r="H267" s="1">
        <v>46007</v>
      </c>
      <c r="I267" s="3">
        <v>46012</v>
      </c>
      <c r="J267" t="s">
        <v>122</v>
      </c>
      <c r="K267" t="s">
        <v>123</v>
      </c>
      <c r="L267" t="s">
        <v>792</v>
      </c>
      <c r="M267" t="s">
        <v>24</v>
      </c>
      <c r="N267" t="s">
        <v>681</v>
      </c>
      <c r="O267" t="s">
        <v>75</v>
      </c>
    </row>
    <row r="268" spans="1:15" ht="13.8" x14ac:dyDescent="0.25">
      <c r="A268" t="s">
        <v>793</v>
      </c>
      <c r="B268" t="s">
        <v>794</v>
      </c>
      <c r="C268">
        <v>12</v>
      </c>
      <c r="D268" t="s">
        <v>58</v>
      </c>
      <c r="E268" t="s">
        <v>39</v>
      </c>
      <c r="F268" t="s">
        <v>40</v>
      </c>
      <c r="G268" t="s">
        <v>212</v>
      </c>
      <c r="H268" s="1">
        <v>45668</v>
      </c>
      <c r="I268" s="3">
        <v>45670</v>
      </c>
      <c r="J268" t="s">
        <v>93</v>
      </c>
      <c r="K268" t="s">
        <v>94</v>
      </c>
      <c r="L268">
        <v>197038.65</v>
      </c>
      <c r="M268" t="s">
        <v>24</v>
      </c>
      <c r="N268" t="s">
        <v>55</v>
      </c>
      <c r="O268" t="s">
        <v>260</v>
      </c>
    </row>
    <row r="269" spans="1:15" ht="13.8" x14ac:dyDescent="0.25">
      <c r="A269" t="s">
        <v>795</v>
      </c>
      <c r="B269" t="s">
        <v>614</v>
      </c>
      <c r="C269">
        <v>72</v>
      </c>
      <c r="D269" t="s">
        <v>17</v>
      </c>
      <c r="E269" t="s">
        <v>18</v>
      </c>
      <c r="F269" t="s">
        <v>19</v>
      </c>
      <c r="G269" t="s">
        <v>196</v>
      </c>
      <c r="H269" s="1">
        <v>45659</v>
      </c>
      <c r="J269" t="s">
        <v>233</v>
      </c>
      <c r="K269" t="s">
        <v>234</v>
      </c>
      <c r="L269">
        <v>68996.850000000006</v>
      </c>
      <c r="M269" t="s">
        <v>84</v>
      </c>
      <c r="N269" t="s">
        <v>55</v>
      </c>
      <c r="O269" t="s">
        <v>45</v>
      </c>
    </row>
    <row r="270" spans="1:15" ht="13.8" x14ac:dyDescent="0.25">
      <c r="A270" t="s">
        <v>796</v>
      </c>
      <c r="B270" t="s">
        <v>797</v>
      </c>
      <c r="C270">
        <v>34</v>
      </c>
      <c r="D270" t="s">
        <v>17</v>
      </c>
      <c r="E270" t="s">
        <v>510</v>
      </c>
      <c r="F270" t="s">
        <v>165</v>
      </c>
      <c r="G270" t="s">
        <v>172</v>
      </c>
      <c r="H270" s="1">
        <v>45736</v>
      </c>
      <c r="I270" s="1">
        <v>45739</v>
      </c>
      <c r="J270" t="s">
        <v>168</v>
      </c>
      <c r="K270" t="s">
        <v>169</v>
      </c>
      <c r="L270">
        <v>53213.08</v>
      </c>
      <c r="M270" t="s">
        <v>24</v>
      </c>
      <c r="N270" t="s">
        <v>74</v>
      </c>
      <c r="O270" t="s">
        <v>26</v>
      </c>
    </row>
    <row r="271" spans="1:15" ht="13.8" x14ac:dyDescent="0.25">
      <c r="A271" t="s">
        <v>798</v>
      </c>
      <c r="B271" t="s">
        <v>468</v>
      </c>
      <c r="C271">
        <v>45</v>
      </c>
      <c r="D271" t="s">
        <v>287</v>
      </c>
      <c r="E271" t="s">
        <v>18</v>
      </c>
      <c r="F271" t="s">
        <v>50</v>
      </c>
      <c r="G271" t="s">
        <v>51</v>
      </c>
      <c r="H271" s="2">
        <v>45756</v>
      </c>
      <c r="I271" s="1">
        <v>45920</v>
      </c>
      <c r="J271" t="s">
        <v>52</v>
      </c>
      <c r="K271" t="s">
        <v>53</v>
      </c>
      <c r="L271">
        <v>280669.32</v>
      </c>
      <c r="M271" t="s">
        <v>44</v>
      </c>
      <c r="N271" t="s">
        <v>69</v>
      </c>
      <c r="O271" t="s">
        <v>26</v>
      </c>
    </row>
    <row r="272" spans="1:15" ht="13.8" x14ac:dyDescent="0.25">
      <c r="A272" t="s">
        <v>799</v>
      </c>
      <c r="B272" t="s">
        <v>428</v>
      </c>
      <c r="C272">
        <v>31</v>
      </c>
      <c r="D272" t="s">
        <v>17</v>
      </c>
      <c r="E272" t="s">
        <v>59</v>
      </c>
      <c r="F272" t="s">
        <v>165</v>
      </c>
      <c r="G272" t="s">
        <v>166</v>
      </c>
      <c r="H272" s="1">
        <v>45751</v>
      </c>
      <c r="J272" t="s">
        <v>168</v>
      </c>
      <c r="K272" t="s">
        <v>169</v>
      </c>
      <c r="L272">
        <v>260700.39</v>
      </c>
      <c r="M272" t="s">
        <v>54</v>
      </c>
      <c r="N272" t="s">
        <v>25</v>
      </c>
      <c r="O272" t="s">
        <v>112</v>
      </c>
    </row>
    <row r="273" spans="1:15" ht="13.8" x14ac:dyDescent="0.25">
      <c r="A273" t="s">
        <v>800</v>
      </c>
      <c r="B273" t="s">
        <v>150</v>
      </c>
      <c r="C273">
        <v>31</v>
      </c>
      <c r="D273" t="s">
        <v>17</v>
      </c>
      <c r="E273" t="s">
        <v>155</v>
      </c>
      <c r="F273" t="s">
        <v>60</v>
      </c>
      <c r="G273" t="s">
        <v>61</v>
      </c>
      <c r="H273" s="1">
        <v>45849</v>
      </c>
      <c r="K273" t="s">
        <v>133</v>
      </c>
      <c r="L273">
        <v>270122.58</v>
      </c>
      <c r="M273" t="s">
        <v>54</v>
      </c>
      <c r="N273" t="s">
        <v>74</v>
      </c>
      <c r="O273" t="s">
        <v>26</v>
      </c>
    </row>
    <row r="274" spans="1:15" ht="13.8" x14ac:dyDescent="0.25">
      <c r="A274" t="s">
        <v>801</v>
      </c>
      <c r="B274" t="s">
        <v>802</v>
      </c>
      <c r="C274">
        <v>28</v>
      </c>
      <c r="D274" t="s">
        <v>17</v>
      </c>
      <c r="E274" t="s">
        <v>59</v>
      </c>
      <c r="F274" t="s">
        <v>103</v>
      </c>
      <c r="G274" t="s">
        <v>455</v>
      </c>
      <c r="H274" s="1">
        <v>45712</v>
      </c>
      <c r="I274" s="1">
        <v>45726</v>
      </c>
      <c r="J274" t="s">
        <v>106</v>
      </c>
      <c r="K274" t="s">
        <v>110</v>
      </c>
      <c r="L274">
        <v>57284.61</v>
      </c>
      <c r="M274" t="s">
        <v>68</v>
      </c>
      <c r="N274" t="s">
        <v>69</v>
      </c>
      <c r="O274" t="s">
        <v>36</v>
      </c>
    </row>
    <row r="275" spans="1:15" ht="13.8" x14ac:dyDescent="0.25">
      <c r="A275" t="s">
        <v>803</v>
      </c>
      <c r="B275" t="s">
        <v>804</v>
      </c>
      <c r="C275">
        <v>69</v>
      </c>
      <c r="D275" t="s">
        <v>58</v>
      </c>
      <c r="E275" t="s">
        <v>97</v>
      </c>
      <c r="F275" t="s">
        <v>30</v>
      </c>
      <c r="G275" t="s">
        <v>121</v>
      </c>
      <c r="H275" s="1">
        <v>45873</v>
      </c>
      <c r="I275" t="s">
        <v>805</v>
      </c>
      <c r="J275" t="s">
        <v>88</v>
      </c>
      <c r="K275" t="s">
        <v>89</v>
      </c>
      <c r="L275" t="s">
        <v>806</v>
      </c>
      <c r="M275" t="s">
        <v>24</v>
      </c>
      <c r="N275" t="s">
        <v>35</v>
      </c>
      <c r="O275" t="s">
        <v>75</v>
      </c>
    </row>
    <row r="276" spans="1:15" ht="13.8" x14ac:dyDescent="0.25">
      <c r="A276" t="s">
        <v>807</v>
      </c>
      <c r="B276" t="s">
        <v>746</v>
      </c>
      <c r="C276">
        <v>9</v>
      </c>
      <c r="D276" t="s">
        <v>58</v>
      </c>
      <c r="E276" t="s">
        <v>97</v>
      </c>
      <c r="F276" t="s">
        <v>19</v>
      </c>
      <c r="G276" t="s">
        <v>127</v>
      </c>
      <c r="H276" s="3">
        <v>45882</v>
      </c>
      <c r="I276" s="1">
        <v>45890</v>
      </c>
      <c r="J276" t="s">
        <v>233</v>
      </c>
      <c r="K276" t="s">
        <v>234</v>
      </c>
      <c r="L276" t="s">
        <v>808</v>
      </c>
      <c r="M276" t="s">
        <v>44</v>
      </c>
      <c r="N276" t="s">
        <v>55</v>
      </c>
      <c r="O276" t="s">
        <v>112</v>
      </c>
    </row>
    <row r="277" spans="1:15" ht="13.8" x14ac:dyDescent="0.25">
      <c r="A277" t="s">
        <v>809</v>
      </c>
      <c r="B277" t="s">
        <v>538</v>
      </c>
      <c r="C277">
        <v>29</v>
      </c>
      <c r="D277" t="s">
        <v>58</v>
      </c>
      <c r="E277" t="s">
        <v>18</v>
      </c>
      <c r="F277" t="s">
        <v>19</v>
      </c>
      <c r="H277" s="3">
        <v>45732</v>
      </c>
      <c r="I277" t="s">
        <v>810</v>
      </c>
      <c r="K277" t="s">
        <v>234</v>
      </c>
      <c r="L277">
        <v>201132.98</v>
      </c>
      <c r="M277" t="s">
        <v>118</v>
      </c>
      <c r="N277" t="s">
        <v>35</v>
      </c>
      <c r="O277" t="s">
        <v>26</v>
      </c>
    </row>
    <row r="278" spans="1:15" ht="13.8" x14ac:dyDescent="0.25">
      <c r="A278" t="s">
        <v>811</v>
      </c>
      <c r="B278" t="s">
        <v>812</v>
      </c>
      <c r="C278">
        <v>68</v>
      </c>
      <c r="D278" t="s">
        <v>29</v>
      </c>
      <c r="E278" t="s">
        <v>102</v>
      </c>
      <c r="F278" t="s">
        <v>50</v>
      </c>
      <c r="G278" t="s">
        <v>300</v>
      </c>
      <c r="H278" s="1">
        <v>45720</v>
      </c>
      <c r="I278" s="1">
        <v>45733</v>
      </c>
      <c r="J278" t="s">
        <v>315</v>
      </c>
      <c r="K278" t="s">
        <v>204</v>
      </c>
      <c r="L278">
        <v>185996.43</v>
      </c>
      <c r="M278" t="s">
        <v>68</v>
      </c>
      <c r="N278" t="s">
        <v>69</v>
      </c>
      <c r="O278" t="s">
        <v>75</v>
      </c>
    </row>
    <row r="279" spans="1:15" ht="13.8" x14ac:dyDescent="0.25">
      <c r="A279" t="s">
        <v>813</v>
      </c>
      <c r="B279" t="s">
        <v>114</v>
      </c>
      <c r="C279">
        <v>21</v>
      </c>
      <c r="D279" t="s">
        <v>17</v>
      </c>
      <c r="E279" t="s">
        <v>39</v>
      </c>
      <c r="F279" t="s">
        <v>19</v>
      </c>
      <c r="G279" t="s">
        <v>20</v>
      </c>
      <c r="H279" s="1">
        <v>45668</v>
      </c>
      <c r="I279" s="1">
        <v>45675</v>
      </c>
      <c r="J279" t="s">
        <v>151</v>
      </c>
      <c r="K279" t="s">
        <v>152</v>
      </c>
      <c r="L279" t="s">
        <v>814</v>
      </c>
      <c r="M279" t="s">
        <v>24</v>
      </c>
      <c r="N279" t="s">
        <v>55</v>
      </c>
      <c r="O279" t="s">
        <v>75</v>
      </c>
    </row>
    <row r="280" spans="1:15" ht="13.8" x14ac:dyDescent="0.25">
      <c r="A280" t="s">
        <v>815</v>
      </c>
      <c r="B280" t="s">
        <v>816</v>
      </c>
      <c r="C280">
        <v>85</v>
      </c>
      <c r="D280" t="s">
        <v>287</v>
      </c>
      <c r="E280" t="s">
        <v>97</v>
      </c>
      <c r="F280" t="s">
        <v>165</v>
      </c>
      <c r="G280" t="s">
        <v>166</v>
      </c>
      <c r="H280" s="3">
        <v>45985</v>
      </c>
      <c r="I280" s="2">
        <v>45973</v>
      </c>
      <c r="J280" t="s">
        <v>222</v>
      </c>
      <c r="K280" t="s">
        <v>223</v>
      </c>
      <c r="L280">
        <v>222845.48</v>
      </c>
      <c r="M280" t="s">
        <v>24</v>
      </c>
      <c r="N280" t="s">
        <v>74</v>
      </c>
      <c r="O280" t="s">
        <v>198</v>
      </c>
    </row>
    <row r="281" spans="1:15" ht="13.8" x14ac:dyDescent="0.25">
      <c r="A281" t="s">
        <v>817</v>
      </c>
      <c r="B281" t="s">
        <v>586</v>
      </c>
      <c r="C281">
        <v>53</v>
      </c>
      <c r="D281" t="s">
        <v>17</v>
      </c>
      <c r="E281" t="s">
        <v>39</v>
      </c>
      <c r="F281" t="s">
        <v>19</v>
      </c>
      <c r="G281" t="s">
        <v>127</v>
      </c>
      <c r="H281" s="1">
        <v>46002</v>
      </c>
      <c r="I281" s="1">
        <v>46015</v>
      </c>
      <c r="J281" t="s">
        <v>366</v>
      </c>
      <c r="K281" t="s">
        <v>367</v>
      </c>
      <c r="L281">
        <v>263822.09000000003</v>
      </c>
      <c r="M281" t="s">
        <v>68</v>
      </c>
      <c r="N281" t="s">
        <v>35</v>
      </c>
      <c r="O281" t="s">
        <v>112</v>
      </c>
    </row>
    <row r="282" spans="1:15" ht="13.8" x14ac:dyDescent="0.25">
      <c r="A282" t="s">
        <v>818</v>
      </c>
      <c r="B282" t="s">
        <v>545</v>
      </c>
      <c r="C282">
        <v>42</v>
      </c>
      <c r="D282" t="s">
        <v>58</v>
      </c>
      <c r="E282" t="s">
        <v>78</v>
      </c>
      <c r="F282" t="s">
        <v>19</v>
      </c>
      <c r="G282" t="s">
        <v>127</v>
      </c>
      <c r="H282" s="1">
        <v>45845</v>
      </c>
      <c r="I282" s="1">
        <v>45847</v>
      </c>
      <c r="K282" t="s">
        <v>234</v>
      </c>
      <c r="L282">
        <v>104636.58</v>
      </c>
      <c r="M282" t="s">
        <v>68</v>
      </c>
      <c r="N282" t="s">
        <v>69</v>
      </c>
      <c r="O282" t="s">
        <v>36</v>
      </c>
    </row>
    <row r="283" spans="1:15" ht="13.8" x14ac:dyDescent="0.25">
      <c r="A283" t="s">
        <v>819</v>
      </c>
      <c r="B283" t="s">
        <v>820</v>
      </c>
      <c r="C283">
        <v>43</v>
      </c>
      <c r="D283" t="s">
        <v>58</v>
      </c>
      <c r="F283" t="s">
        <v>40</v>
      </c>
      <c r="G283" t="s">
        <v>92</v>
      </c>
      <c r="H283" s="1">
        <v>45889</v>
      </c>
      <c r="I283" s="1">
        <v>45893</v>
      </c>
      <c r="J283" t="s">
        <v>42</v>
      </c>
      <c r="K283" t="s">
        <v>43</v>
      </c>
      <c r="L283" t="s">
        <v>821</v>
      </c>
      <c r="M283" t="s">
        <v>34</v>
      </c>
      <c r="N283" t="s">
        <v>74</v>
      </c>
      <c r="O283" t="s">
        <v>36</v>
      </c>
    </row>
    <row r="284" spans="1:15" ht="13.8" x14ac:dyDescent="0.25">
      <c r="A284" t="s">
        <v>822</v>
      </c>
      <c r="B284" t="s">
        <v>823</v>
      </c>
      <c r="C284">
        <v>65</v>
      </c>
      <c r="D284" t="s">
        <v>48</v>
      </c>
      <c r="E284" t="s">
        <v>97</v>
      </c>
      <c r="F284" t="s">
        <v>40</v>
      </c>
      <c r="G284" t="s">
        <v>212</v>
      </c>
      <c r="H284" s="1">
        <v>45944</v>
      </c>
      <c r="I284" s="1">
        <v>45957</v>
      </c>
      <c r="J284" t="s">
        <v>93</v>
      </c>
      <c r="K284" t="s">
        <v>94</v>
      </c>
      <c r="L284" t="s">
        <v>824</v>
      </c>
      <c r="M284" t="s">
        <v>44</v>
      </c>
      <c r="N284" t="s">
        <v>35</v>
      </c>
      <c r="O284" t="s">
        <v>112</v>
      </c>
    </row>
    <row r="285" spans="1:15" ht="13.8" x14ac:dyDescent="0.25">
      <c r="A285" t="s">
        <v>825</v>
      </c>
      <c r="B285" t="s">
        <v>438</v>
      </c>
      <c r="C285">
        <v>59</v>
      </c>
      <c r="D285" t="s">
        <v>115</v>
      </c>
      <c r="E285" t="s">
        <v>72</v>
      </c>
      <c r="F285" t="s">
        <v>50</v>
      </c>
      <c r="G285" t="s">
        <v>51</v>
      </c>
      <c r="H285" s="2">
        <v>45663</v>
      </c>
      <c r="I285" s="1">
        <v>45819</v>
      </c>
      <c r="J285" t="s">
        <v>315</v>
      </c>
      <c r="K285" t="s">
        <v>204</v>
      </c>
      <c r="M285" t="s">
        <v>84</v>
      </c>
      <c r="N285" t="s">
        <v>74</v>
      </c>
      <c r="O285" t="s">
        <v>112</v>
      </c>
    </row>
    <row r="286" spans="1:15" ht="13.8" x14ac:dyDescent="0.25">
      <c r="A286" t="s">
        <v>826</v>
      </c>
      <c r="C286">
        <v>999</v>
      </c>
      <c r="D286" t="s">
        <v>58</v>
      </c>
      <c r="E286" t="s">
        <v>102</v>
      </c>
      <c r="F286" t="s">
        <v>103</v>
      </c>
      <c r="G286" t="s">
        <v>827</v>
      </c>
      <c r="H286" s="1">
        <v>45806</v>
      </c>
      <c r="J286" t="s">
        <v>249</v>
      </c>
      <c r="K286" t="s">
        <v>250</v>
      </c>
      <c r="L286">
        <v>300360.06</v>
      </c>
      <c r="M286" t="s">
        <v>68</v>
      </c>
      <c r="N286" t="s">
        <v>25</v>
      </c>
      <c r="O286" t="s">
        <v>45</v>
      </c>
    </row>
    <row r="287" spans="1:15" ht="13.8" x14ac:dyDescent="0.25">
      <c r="A287" t="s">
        <v>828</v>
      </c>
      <c r="B287" t="s">
        <v>65</v>
      </c>
      <c r="C287">
        <v>8</v>
      </c>
      <c r="D287" t="s">
        <v>58</v>
      </c>
      <c r="E287" t="s">
        <v>72</v>
      </c>
      <c r="F287" t="s">
        <v>165</v>
      </c>
      <c r="G287" t="s">
        <v>302</v>
      </c>
      <c r="H287" s="1">
        <v>45948</v>
      </c>
      <c r="J287" t="s">
        <v>222</v>
      </c>
      <c r="K287" t="s">
        <v>223</v>
      </c>
      <c r="L287">
        <v>125286.57</v>
      </c>
      <c r="M287" t="s">
        <v>68</v>
      </c>
      <c r="N287" t="s">
        <v>69</v>
      </c>
      <c r="O287" t="s">
        <v>45</v>
      </c>
    </row>
    <row r="288" spans="1:15" ht="13.8" x14ac:dyDescent="0.25">
      <c r="A288" t="s">
        <v>829</v>
      </c>
      <c r="B288" t="s">
        <v>830</v>
      </c>
      <c r="C288">
        <v>79</v>
      </c>
      <c r="D288" t="s">
        <v>17</v>
      </c>
      <c r="E288" t="s">
        <v>59</v>
      </c>
      <c r="F288" t="s">
        <v>30</v>
      </c>
      <c r="G288" t="s">
        <v>673</v>
      </c>
      <c r="H288" t="s">
        <v>643</v>
      </c>
      <c r="I288" s="1">
        <v>45844</v>
      </c>
      <c r="J288" t="s">
        <v>246</v>
      </c>
      <c r="K288" t="s">
        <v>229</v>
      </c>
      <c r="L288">
        <v>-209549.57</v>
      </c>
      <c r="M288" t="s">
        <v>34</v>
      </c>
      <c r="N288" t="s">
        <v>25</v>
      </c>
    </row>
    <row r="289" spans="1:15" ht="13.8" x14ac:dyDescent="0.25">
      <c r="A289" t="s">
        <v>831</v>
      </c>
      <c r="B289" t="s">
        <v>832</v>
      </c>
      <c r="C289">
        <v>65</v>
      </c>
      <c r="D289" t="s">
        <v>58</v>
      </c>
      <c r="E289" t="s">
        <v>78</v>
      </c>
      <c r="G289" t="s">
        <v>31</v>
      </c>
      <c r="H289" s="1">
        <v>45872</v>
      </c>
      <c r="J289" t="s">
        <v>88</v>
      </c>
      <c r="K289" t="s">
        <v>89</v>
      </c>
      <c r="L289">
        <v>-186594.85</v>
      </c>
      <c r="M289" t="s">
        <v>34</v>
      </c>
      <c r="N289" t="s">
        <v>55</v>
      </c>
      <c r="O289" t="s">
        <v>45</v>
      </c>
    </row>
    <row r="290" spans="1:15" ht="13.8" x14ac:dyDescent="0.25">
      <c r="A290" t="s">
        <v>833</v>
      </c>
      <c r="B290" t="s">
        <v>834</v>
      </c>
      <c r="C290">
        <v>53</v>
      </c>
      <c r="D290" t="s">
        <v>17</v>
      </c>
      <c r="E290" t="s">
        <v>72</v>
      </c>
      <c r="F290" t="s">
        <v>165</v>
      </c>
      <c r="G290" t="s">
        <v>302</v>
      </c>
      <c r="H290" s="1">
        <v>45983</v>
      </c>
      <c r="I290" s="3">
        <v>45989</v>
      </c>
      <c r="J290" t="s">
        <v>222</v>
      </c>
      <c r="K290" t="s">
        <v>223</v>
      </c>
      <c r="L290">
        <v>150874.89000000001</v>
      </c>
      <c r="M290" t="s">
        <v>54</v>
      </c>
      <c r="N290" t="s">
        <v>74</v>
      </c>
      <c r="O290" t="s">
        <v>26</v>
      </c>
    </row>
    <row r="291" spans="1:15" ht="13.8" x14ac:dyDescent="0.25">
      <c r="A291" t="s">
        <v>835</v>
      </c>
      <c r="B291" t="s">
        <v>738</v>
      </c>
      <c r="C291">
        <v>16</v>
      </c>
      <c r="D291" t="s">
        <v>17</v>
      </c>
      <c r="E291" t="s">
        <v>72</v>
      </c>
      <c r="F291" t="s">
        <v>19</v>
      </c>
      <c r="G291" t="s">
        <v>196</v>
      </c>
      <c r="H291" s="2">
        <v>45664</v>
      </c>
      <c r="I291" s="1">
        <v>45845</v>
      </c>
      <c r="J291" t="s">
        <v>366</v>
      </c>
      <c r="K291" t="s">
        <v>367</v>
      </c>
      <c r="L291">
        <v>161842.22</v>
      </c>
      <c r="M291" t="s">
        <v>162</v>
      </c>
      <c r="N291" t="s">
        <v>141</v>
      </c>
      <c r="O291" t="s">
        <v>75</v>
      </c>
    </row>
    <row r="292" spans="1:15" ht="13.8" x14ac:dyDescent="0.25">
      <c r="A292" t="s">
        <v>836</v>
      </c>
      <c r="B292" t="s">
        <v>837</v>
      </c>
      <c r="C292">
        <v>53</v>
      </c>
      <c r="D292" t="s">
        <v>58</v>
      </c>
      <c r="E292" t="s">
        <v>49</v>
      </c>
      <c r="F292" t="s">
        <v>221</v>
      </c>
      <c r="G292" t="s">
        <v>172</v>
      </c>
      <c r="H292" s="3">
        <v>45842</v>
      </c>
      <c r="J292" t="s">
        <v>183</v>
      </c>
      <c r="K292" t="s">
        <v>184</v>
      </c>
      <c r="M292" t="s">
        <v>213</v>
      </c>
      <c r="N292" t="s">
        <v>55</v>
      </c>
      <c r="O292" t="s">
        <v>45</v>
      </c>
    </row>
    <row r="293" spans="1:15" ht="13.8" x14ac:dyDescent="0.25">
      <c r="A293" t="s">
        <v>838</v>
      </c>
      <c r="B293" t="s">
        <v>839</v>
      </c>
      <c r="C293">
        <v>3</v>
      </c>
      <c r="D293" t="s">
        <v>58</v>
      </c>
      <c r="F293" t="s">
        <v>30</v>
      </c>
      <c r="G293" t="s">
        <v>256</v>
      </c>
      <c r="H293" s="3">
        <v>45668</v>
      </c>
      <c r="I293" s="1">
        <v>45678</v>
      </c>
      <c r="J293" t="s">
        <v>246</v>
      </c>
      <c r="K293" t="s">
        <v>229</v>
      </c>
      <c r="L293">
        <v>208374.36</v>
      </c>
      <c r="M293" t="s">
        <v>44</v>
      </c>
      <c r="N293" t="s">
        <v>35</v>
      </c>
      <c r="O293" t="s">
        <v>112</v>
      </c>
    </row>
    <row r="294" spans="1:15" ht="13.8" x14ac:dyDescent="0.25">
      <c r="A294" t="s">
        <v>840</v>
      </c>
      <c r="B294" t="s">
        <v>841</v>
      </c>
      <c r="C294">
        <v>66</v>
      </c>
      <c r="D294" t="s">
        <v>17</v>
      </c>
      <c r="E294" t="s">
        <v>155</v>
      </c>
      <c r="F294" t="s">
        <v>103</v>
      </c>
      <c r="G294" t="s">
        <v>842</v>
      </c>
      <c r="H294" s="1">
        <v>45730</v>
      </c>
      <c r="I294" s="1">
        <v>45748</v>
      </c>
      <c r="J294" t="s">
        <v>106</v>
      </c>
      <c r="K294" t="s">
        <v>110</v>
      </c>
      <c r="L294">
        <v>76422.86</v>
      </c>
      <c r="M294" t="s">
        <v>84</v>
      </c>
      <c r="N294" t="s">
        <v>632</v>
      </c>
      <c r="O294" t="s">
        <v>36</v>
      </c>
    </row>
    <row r="295" spans="1:15" ht="13.8" x14ac:dyDescent="0.25">
      <c r="A295" t="s">
        <v>843</v>
      </c>
      <c r="B295" t="s">
        <v>215</v>
      </c>
      <c r="C295">
        <v>88</v>
      </c>
      <c r="D295" t="s">
        <v>17</v>
      </c>
      <c r="E295" t="s">
        <v>155</v>
      </c>
      <c r="F295" t="s">
        <v>30</v>
      </c>
      <c r="G295" t="s">
        <v>121</v>
      </c>
      <c r="H295" s="1">
        <v>45870</v>
      </c>
      <c r="I295" s="1">
        <v>45873</v>
      </c>
      <c r="J295" t="s">
        <v>122</v>
      </c>
      <c r="L295">
        <v>215647.84</v>
      </c>
      <c r="M295" t="s">
        <v>24</v>
      </c>
      <c r="N295" t="s">
        <v>35</v>
      </c>
      <c r="O295" t="s">
        <v>36</v>
      </c>
    </row>
    <row r="296" spans="1:15" ht="13.8" x14ac:dyDescent="0.25">
      <c r="A296" t="s">
        <v>844</v>
      </c>
      <c r="B296" t="s">
        <v>232</v>
      </c>
      <c r="C296">
        <v>37</v>
      </c>
      <c r="D296" t="s">
        <v>58</v>
      </c>
      <c r="E296" t="s">
        <v>97</v>
      </c>
      <c r="F296" t="s">
        <v>30</v>
      </c>
      <c r="G296" t="s">
        <v>256</v>
      </c>
      <c r="H296" t="s">
        <v>582</v>
      </c>
      <c r="I296" s="1">
        <v>45694</v>
      </c>
      <c r="J296" t="s">
        <v>122</v>
      </c>
      <c r="K296" t="s">
        <v>123</v>
      </c>
      <c r="L296" t="s">
        <v>845</v>
      </c>
      <c r="M296" t="s">
        <v>84</v>
      </c>
      <c r="N296" t="s">
        <v>55</v>
      </c>
      <c r="O296" t="s">
        <v>112</v>
      </c>
    </row>
    <row r="297" spans="1:15" ht="13.8" x14ac:dyDescent="0.25">
      <c r="A297" t="s">
        <v>846</v>
      </c>
      <c r="B297" t="s">
        <v>691</v>
      </c>
      <c r="C297">
        <v>65</v>
      </c>
      <c r="D297" t="s">
        <v>58</v>
      </c>
      <c r="E297" t="s">
        <v>97</v>
      </c>
      <c r="F297" t="s">
        <v>165</v>
      </c>
      <c r="G297" t="s">
        <v>166</v>
      </c>
      <c r="H297" s="1">
        <v>45674</v>
      </c>
      <c r="I297" s="3">
        <v>45679</v>
      </c>
      <c r="J297" t="s">
        <v>183</v>
      </c>
      <c r="K297" t="s">
        <v>184</v>
      </c>
      <c r="L297">
        <v>92369.02</v>
      </c>
      <c r="M297" t="s">
        <v>34</v>
      </c>
      <c r="N297" t="s">
        <v>35</v>
      </c>
      <c r="O297" t="s">
        <v>75</v>
      </c>
    </row>
    <row r="298" spans="1:15" ht="13.8" x14ac:dyDescent="0.25">
      <c r="A298" t="s">
        <v>847</v>
      </c>
      <c r="B298" t="s">
        <v>691</v>
      </c>
      <c r="C298" t="s">
        <v>848</v>
      </c>
      <c r="D298" t="s">
        <v>58</v>
      </c>
      <c r="E298" t="s">
        <v>18</v>
      </c>
      <c r="F298" t="s">
        <v>269</v>
      </c>
      <c r="G298" t="s">
        <v>300</v>
      </c>
      <c r="H298" s="1">
        <v>45750</v>
      </c>
      <c r="I298" s="2">
        <v>45873</v>
      </c>
      <c r="J298" t="s">
        <v>52</v>
      </c>
      <c r="K298" t="s">
        <v>53</v>
      </c>
      <c r="L298" t="s">
        <v>849</v>
      </c>
      <c r="M298" t="s">
        <v>24</v>
      </c>
      <c r="N298" t="s">
        <v>69</v>
      </c>
      <c r="O298" t="s">
        <v>36</v>
      </c>
    </row>
    <row r="299" spans="1:15" ht="13.8" x14ac:dyDescent="0.25">
      <c r="A299" t="s">
        <v>850</v>
      </c>
      <c r="B299" t="s">
        <v>851</v>
      </c>
      <c r="C299">
        <v>20</v>
      </c>
      <c r="D299" t="s">
        <v>58</v>
      </c>
      <c r="E299" t="s">
        <v>137</v>
      </c>
      <c r="F299" t="s">
        <v>60</v>
      </c>
      <c r="G299" t="s">
        <v>79</v>
      </c>
      <c r="K299" t="s">
        <v>63</v>
      </c>
      <c r="L299">
        <v>159154.76999999999</v>
      </c>
      <c r="M299" t="s">
        <v>118</v>
      </c>
      <c r="N299" t="s">
        <v>35</v>
      </c>
      <c r="O299" t="s">
        <v>45</v>
      </c>
    </row>
    <row r="300" spans="1:15" ht="13.8" x14ac:dyDescent="0.25">
      <c r="A300" t="s">
        <v>852</v>
      </c>
      <c r="B300" t="s">
        <v>434</v>
      </c>
      <c r="C300">
        <v>31</v>
      </c>
      <c r="D300" t="s">
        <v>58</v>
      </c>
      <c r="E300" t="s">
        <v>78</v>
      </c>
      <c r="F300" t="s">
        <v>19</v>
      </c>
      <c r="G300" t="s">
        <v>196</v>
      </c>
      <c r="H300" s="3">
        <v>45830</v>
      </c>
      <c r="J300" t="s">
        <v>233</v>
      </c>
      <c r="K300" t="s">
        <v>234</v>
      </c>
      <c r="L300">
        <v>137168.85999999999</v>
      </c>
      <c r="M300" t="s">
        <v>44</v>
      </c>
      <c r="N300" t="s">
        <v>35</v>
      </c>
      <c r="O300" t="s">
        <v>112</v>
      </c>
    </row>
    <row r="301" spans="1:15" ht="13.8" x14ac:dyDescent="0.25">
      <c r="A301" t="s">
        <v>853</v>
      </c>
      <c r="B301" t="s">
        <v>733</v>
      </c>
      <c r="C301">
        <v>88</v>
      </c>
      <c r="D301" t="s">
        <v>58</v>
      </c>
      <c r="E301" t="s">
        <v>137</v>
      </c>
      <c r="F301" t="s">
        <v>19</v>
      </c>
      <c r="G301" t="s">
        <v>854</v>
      </c>
      <c r="H301" s="1">
        <v>45671</v>
      </c>
      <c r="I301" s="1">
        <v>45684</v>
      </c>
      <c r="J301" t="s">
        <v>233</v>
      </c>
      <c r="K301" t="s">
        <v>234</v>
      </c>
      <c r="L301">
        <v>99999999</v>
      </c>
      <c r="M301" t="s">
        <v>68</v>
      </c>
      <c r="N301" t="s">
        <v>35</v>
      </c>
      <c r="O301" t="s">
        <v>26</v>
      </c>
    </row>
    <row r="302" spans="1:15" ht="13.8" x14ac:dyDescent="0.25">
      <c r="A302" t="s">
        <v>855</v>
      </c>
      <c r="B302" t="s">
        <v>622</v>
      </c>
      <c r="C302">
        <v>160</v>
      </c>
      <c r="D302" t="s">
        <v>17</v>
      </c>
      <c r="E302" t="s">
        <v>97</v>
      </c>
      <c r="F302" t="s">
        <v>40</v>
      </c>
      <c r="G302" t="s">
        <v>212</v>
      </c>
      <c r="H302" s="1">
        <v>45699</v>
      </c>
      <c r="I302" s="1">
        <v>45713</v>
      </c>
      <c r="J302" t="s">
        <v>42</v>
      </c>
      <c r="K302" t="s">
        <v>43</v>
      </c>
      <c r="L302">
        <v>-234724.28</v>
      </c>
      <c r="M302" t="s">
        <v>68</v>
      </c>
      <c r="N302" t="s">
        <v>35</v>
      </c>
      <c r="O302" t="s">
        <v>112</v>
      </c>
    </row>
    <row r="303" spans="1:15" ht="13.8" x14ac:dyDescent="0.25">
      <c r="A303" t="s">
        <v>856</v>
      </c>
      <c r="B303" t="s">
        <v>164</v>
      </c>
      <c r="C303">
        <v>67</v>
      </c>
      <c r="D303" t="s">
        <v>58</v>
      </c>
      <c r="E303" t="s">
        <v>102</v>
      </c>
      <c r="F303" t="s">
        <v>165</v>
      </c>
      <c r="G303" t="s">
        <v>172</v>
      </c>
      <c r="H303" s="1">
        <v>45744</v>
      </c>
      <c r="I303" s="1">
        <v>45750</v>
      </c>
      <c r="J303" t="s">
        <v>183</v>
      </c>
      <c r="K303" t="s">
        <v>451</v>
      </c>
      <c r="L303" t="s">
        <v>857</v>
      </c>
      <c r="M303" t="s">
        <v>68</v>
      </c>
      <c r="N303" t="s">
        <v>55</v>
      </c>
      <c r="O303" t="s">
        <v>112</v>
      </c>
    </row>
    <row r="304" spans="1:15" ht="13.8" x14ac:dyDescent="0.25">
      <c r="A304" t="s">
        <v>858</v>
      </c>
      <c r="B304" t="s">
        <v>802</v>
      </c>
      <c r="C304">
        <v>57</v>
      </c>
      <c r="D304" t="s">
        <v>115</v>
      </c>
      <c r="E304" t="s">
        <v>72</v>
      </c>
      <c r="F304" t="s">
        <v>19</v>
      </c>
      <c r="G304" t="s">
        <v>127</v>
      </c>
      <c r="H304" t="s">
        <v>859</v>
      </c>
      <c r="J304" t="s">
        <v>233</v>
      </c>
      <c r="K304" t="s">
        <v>234</v>
      </c>
      <c r="L304">
        <v>276343.26</v>
      </c>
      <c r="M304" t="s">
        <v>44</v>
      </c>
      <c r="N304" t="s">
        <v>69</v>
      </c>
      <c r="O304" t="s">
        <v>45</v>
      </c>
    </row>
    <row r="305" spans="1:15" ht="13.8" x14ac:dyDescent="0.25">
      <c r="A305" t="s">
        <v>860</v>
      </c>
      <c r="B305" t="s">
        <v>861</v>
      </c>
      <c r="C305">
        <v>42</v>
      </c>
      <c r="D305" t="s">
        <v>58</v>
      </c>
      <c r="E305" t="s">
        <v>510</v>
      </c>
      <c r="G305" t="s">
        <v>190</v>
      </c>
      <c r="H305" s="1">
        <v>45806</v>
      </c>
      <c r="I305" s="1">
        <v>45824</v>
      </c>
      <c r="J305" t="s">
        <v>315</v>
      </c>
      <c r="K305" t="s">
        <v>204</v>
      </c>
      <c r="L305">
        <v>121793.68</v>
      </c>
      <c r="M305" t="s">
        <v>213</v>
      </c>
      <c r="N305" t="s">
        <v>69</v>
      </c>
      <c r="O305" t="s">
        <v>36</v>
      </c>
    </row>
    <row r="306" spans="1:15" ht="13.8" x14ac:dyDescent="0.25">
      <c r="A306" t="s">
        <v>862</v>
      </c>
      <c r="C306">
        <v>999</v>
      </c>
      <c r="D306" t="s">
        <v>17</v>
      </c>
      <c r="F306" t="s">
        <v>73</v>
      </c>
      <c r="G306" t="s">
        <v>212</v>
      </c>
      <c r="H306" s="3">
        <v>45902</v>
      </c>
      <c r="I306" t="s">
        <v>863</v>
      </c>
      <c r="J306" t="s">
        <v>93</v>
      </c>
      <c r="K306" t="s">
        <v>94</v>
      </c>
      <c r="L306">
        <v>99999999</v>
      </c>
      <c r="M306" t="s">
        <v>118</v>
      </c>
      <c r="N306" t="s">
        <v>74</v>
      </c>
      <c r="O306" t="s">
        <v>112</v>
      </c>
    </row>
    <row r="307" spans="1:15" ht="13.8" x14ac:dyDescent="0.25">
      <c r="A307" t="s">
        <v>864</v>
      </c>
      <c r="B307" t="s">
        <v>865</v>
      </c>
      <c r="C307">
        <v>76</v>
      </c>
      <c r="D307" t="s">
        <v>58</v>
      </c>
      <c r="E307" t="s">
        <v>137</v>
      </c>
      <c r="F307" t="s">
        <v>19</v>
      </c>
      <c r="G307" t="s">
        <v>127</v>
      </c>
      <c r="H307" s="1">
        <v>45810</v>
      </c>
      <c r="I307" s="1">
        <v>45817</v>
      </c>
      <c r="J307" t="s">
        <v>233</v>
      </c>
      <c r="K307" t="s">
        <v>234</v>
      </c>
      <c r="L307">
        <v>35097.68</v>
      </c>
      <c r="M307" t="s">
        <v>44</v>
      </c>
      <c r="N307" t="s">
        <v>35</v>
      </c>
      <c r="O307" t="s">
        <v>26</v>
      </c>
    </row>
    <row r="308" spans="1:15" ht="13.8" x14ac:dyDescent="0.25">
      <c r="A308" t="s">
        <v>866</v>
      </c>
      <c r="B308" t="s">
        <v>733</v>
      </c>
      <c r="C308">
        <v>39</v>
      </c>
      <c r="D308" t="s">
        <v>48</v>
      </c>
      <c r="E308" t="s">
        <v>867</v>
      </c>
      <c r="F308" t="s">
        <v>40</v>
      </c>
      <c r="G308" t="s">
        <v>92</v>
      </c>
      <c r="H308" s="1">
        <v>45788</v>
      </c>
      <c r="I308" s="3">
        <v>45794</v>
      </c>
      <c r="J308" t="s">
        <v>93</v>
      </c>
      <c r="K308" t="s">
        <v>94</v>
      </c>
      <c r="L308" t="s">
        <v>868</v>
      </c>
      <c r="M308" t="s">
        <v>84</v>
      </c>
      <c r="N308" t="s">
        <v>74</v>
      </c>
      <c r="O308" t="s">
        <v>112</v>
      </c>
    </row>
    <row r="309" spans="1:15" ht="13.8" x14ac:dyDescent="0.25">
      <c r="A309" t="s">
        <v>869</v>
      </c>
      <c r="B309" t="s">
        <v>870</v>
      </c>
      <c r="C309">
        <v>45</v>
      </c>
      <c r="D309" t="s">
        <v>58</v>
      </c>
      <c r="E309" t="s">
        <v>155</v>
      </c>
      <c r="F309" t="s">
        <v>30</v>
      </c>
      <c r="G309" t="s">
        <v>256</v>
      </c>
      <c r="H309" s="1">
        <v>45932</v>
      </c>
      <c r="I309" s="1">
        <v>45948</v>
      </c>
      <c r="J309" t="s">
        <v>32</v>
      </c>
      <c r="K309" t="s">
        <v>33</v>
      </c>
      <c r="L309">
        <v>346942.33</v>
      </c>
      <c r="M309" t="s">
        <v>213</v>
      </c>
      <c r="N309" t="s">
        <v>74</v>
      </c>
      <c r="O309" t="s">
        <v>198</v>
      </c>
    </row>
    <row r="310" spans="1:15" ht="13.8" x14ac:dyDescent="0.25">
      <c r="A310" t="s">
        <v>871</v>
      </c>
      <c r="C310">
        <v>75</v>
      </c>
      <c r="D310" t="s">
        <v>17</v>
      </c>
      <c r="E310" t="s">
        <v>39</v>
      </c>
      <c r="F310" t="s">
        <v>103</v>
      </c>
      <c r="G310" t="s">
        <v>455</v>
      </c>
      <c r="H310" s="1">
        <v>45814</v>
      </c>
      <c r="I310" s="1">
        <v>45810</v>
      </c>
      <c r="J310" t="s">
        <v>219</v>
      </c>
      <c r="K310" t="s">
        <v>140</v>
      </c>
      <c r="L310">
        <v>-91922.240000000005</v>
      </c>
      <c r="M310" t="s">
        <v>44</v>
      </c>
      <c r="N310" t="s">
        <v>35</v>
      </c>
      <c r="O310" t="s">
        <v>112</v>
      </c>
    </row>
    <row r="311" spans="1:15" ht="13.8" x14ac:dyDescent="0.25">
      <c r="A311" t="s">
        <v>872</v>
      </c>
      <c r="B311" t="s">
        <v>709</v>
      </c>
      <c r="C311" t="s">
        <v>873</v>
      </c>
      <c r="D311" t="s">
        <v>17</v>
      </c>
      <c r="E311" t="s">
        <v>39</v>
      </c>
      <c r="F311" t="s">
        <v>50</v>
      </c>
      <c r="G311" t="s">
        <v>300</v>
      </c>
      <c r="H311" s="1">
        <v>45953</v>
      </c>
      <c r="I311" s="1">
        <v>45965</v>
      </c>
      <c r="J311" t="s">
        <v>191</v>
      </c>
      <c r="K311" t="s">
        <v>192</v>
      </c>
      <c r="M311" t="s">
        <v>44</v>
      </c>
      <c r="N311" t="s">
        <v>25</v>
      </c>
      <c r="O311" t="s">
        <v>36</v>
      </c>
    </row>
    <row r="312" spans="1:15" ht="13.8" x14ac:dyDescent="0.25">
      <c r="A312" t="s">
        <v>874</v>
      </c>
      <c r="B312" t="s">
        <v>875</v>
      </c>
      <c r="C312">
        <v>39</v>
      </c>
      <c r="D312" t="s">
        <v>17</v>
      </c>
      <c r="E312" t="s">
        <v>18</v>
      </c>
      <c r="F312" t="s">
        <v>60</v>
      </c>
      <c r="G312" t="s">
        <v>79</v>
      </c>
      <c r="H312" t="s">
        <v>876</v>
      </c>
      <c r="I312" s="2">
        <v>45718</v>
      </c>
      <c r="J312" t="s">
        <v>81</v>
      </c>
      <c r="K312" t="s">
        <v>82</v>
      </c>
      <c r="L312" t="s">
        <v>877</v>
      </c>
      <c r="M312" t="s">
        <v>24</v>
      </c>
      <c r="N312" t="s">
        <v>496</v>
      </c>
      <c r="O312" t="s">
        <v>36</v>
      </c>
    </row>
    <row r="313" spans="1:15" ht="13.8" x14ac:dyDescent="0.25">
      <c r="A313" t="s">
        <v>878</v>
      </c>
      <c r="B313" t="s">
        <v>879</v>
      </c>
      <c r="C313">
        <v>-72</v>
      </c>
      <c r="D313" t="s">
        <v>58</v>
      </c>
      <c r="E313" t="s">
        <v>155</v>
      </c>
      <c r="F313" t="s">
        <v>103</v>
      </c>
      <c r="G313" t="s">
        <v>138</v>
      </c>
      <c r="H313" s="2">
        <v>45719</v>
      </c>
      <c r="J313" t="s">
        <v>294</v>
      </c>
      <c r="K313" t="s">
        <v>336</v>
      </c>
      <c r="L313">
        <v>342444.11</v>
      </c>
      <c r="M313" t="s">
        <v>34</v>
      </c>
      <c r="N313" t="s">
        <v>55</v>
      </c>
      <c r="O313" t="s">
        <v>45</v>
      </c>
    </row>
    <row r="314" spans="1:15" ht="13.8" x14ac:dyDescent="0.25">
      <c r="B314" t="s">
        <v>794</v>
      </c>
      <c r="C314">
        <v>58</v>
      </c>
      <c r="D314" t="s">
        <v>58</v>
      </c>
      <c r="E314" t="s">
        <v>72</v>
      </c>
      <c r="F314" t="s">
        <v>50</v>
      </c>
      <c r="G314" t="s">
        <v>880</v>
      </c>
      <c r="H314" s="3">
        <v>45912</v>
      </c>
      <c r="I314" t="s">
        <v>881</v>
      </c>
      <c r="J314" t="s">
        <v>332</v>
      </c>
      <c r="K314" t="s">
        <v>383</v>
      </c>
      <c r="L314">
        <v>320265.67</v>
      </c>
      <c r="M314" t="s">
        <v>34</v>
      </c>
      <c r="N314" t="s">
        <v>35</v>
      </c>
      <c r="O314" t="s">
        <v>112</v>
      </c>
    </row>
    <row r="315" spans="1:15" ht="13.8" x14ac:dyDescent="0.25">
      <c r="A315" t="s">
        <v>882</v>
      </c>
      <c r="B315" t="s">
        <v>883</v>
      </c>
      <c r="D315" t="s">
        <v>58</v>
      </c>
      <c r="E315" t="s">
        <v>18</v>
      </c>
      <c r="F315" t="s">
        <v>50</v>
      </c>
      <c r="G315" t="s">
        <v>300</v>
      </c>
      <c r="H315" s="2">
        <v>45969</v>
      </c>
      <c r="J315" t="s">
        <v>191</v>
      </c>
      <c r="K315" t="s">
        <v>192</v>
      </c>
      <c r="L315">
        <v>269352.28000000003</v>
      </c>
      <c r="M315" t="s">
        <v>118</v>
      </c>
      <c r="N315" t="s">
        <v>35</v>
      </c>
      <c r="O315" t="s">
        <v>45</v>
      </c>
    </row>
    <row r="316" spans="1:15" ht="13.8" x14ac:dyDescent="0.25">
      <c r="A316" t="s">
        <v>884</v>
      </c>
      <c r="B316" t="s">
        <v>425</v>
      </c>
      <c r="C316">
        <v>73</v>
      </c>
      <c r="D316" t="s">
        <v>17</v>
      </c>
      <c r="E316" t="s">
        <v>72</v>
      </c>
      <c r="F316" t="s">
        <v>30</v>
      </c>
      <c r="G316" t="s">
        <v>31</v>
      </c>
      <c r="H316" s="3">
        <v>45818</v>
      </c>
      <c r="I316" s="1">
        <v>45836</v>
      </c>
      <c r="J316" t="s">
        <v>885</v>
      </c>
      <c r="K316" t="s">
        <v>123</v>
      </c>
      <c r="L316" t="s">
        <v>886</v>
      </c>
      <c r="M316" t="s">
        <v>44</v>
      </c>
      <c r="N316" t="s">
        <v>74</v>
      </c>
      <c r="O316" t="s">
        <v>26</v>
      </c>
    </row>
    <row r="317" spans="1:15" ht="13.8" x14ac:dyDescent="0.25">
      <c r="A317" t="s">
        <v>887</v>
      </c>
      <c r="B317" t="s">
        <v>851</v>
      </c>
      <c r="C317">
        <v>-5</v>
      </c>
      <c r="D317" t="s">
        <v>58</v>
      </c>
      <c r="E317" t="s">
        <v>59</v>
      </c>
      <c r="F317" t="s">
        <v>888</v>
      </c>
      <c r="H317" s="1">
        <v>45840</v>
      </c>
      <c r="I317" s="1">
        <v>45843</v>
      </c>
      <c r="J317" t="s">
        <v>366</v>
      </c>
      <c r="K317" t="s">
        <v>367</v>
      </c>
      <c r="L317">
        <v>87118.18</v>
      </c>
      <c r="M317" t="s">
        <v>84</v>
      </c>
      <c r="N317" t="s">
        <v>25</v>
      </c>
      <c r="O317" t="s">
        <v>75</v>
      </c>
    </row>
    <row r="318" spans="1:15" ht="13.8" x14ac:dyDescent="0.25">
      <c r="A318" t="s">
        <v>889</v>
      </c>
      <c r="B318" t="s">
        <v>890</v>
      </c>
      <c r="C318">
        <v>6</v>
      </c>
      <c r="D318" t="s">
        <v>58</v>
      </c>
      <c r="E318" t="s">
        <v>102</v>
      </c>
      <c r="F318" t="s">
        <v>103</v>
      </c>
      <c r="G318" t="s">
        <v>104</v>
      </c>
      <c r="H318" s="3">
        <v>45969</v>
      </c>
      <c r="I318" s="1">
        <v>45975</v>
      </c>
      <c r="J318" t="s">
        <v>891</v>
      </c>
      <c r="K318" t="s">
        <v>336</v>
      </c>
      <c r="L318" t="s">
        <v>892</v>
      </c>
      <c r="M318" t="s">
        <v>54</v>
      </c>
      <c r="N318" t="s">
        <v>25</v>
      </c>
      <c r="O318" t="s">
        <v>26</v>
      </c>
    </row>
    <row r="319" spans="1:15" ht="13.8" x14ac:dyDescent="0.25">
      <c r="A319" t="s">
        <v>893</v>
      </c>
      <c r="B319" t="s">
        <v>894</v>
      </c>
      <c r="C319">
        <v>70</v>
      </c>
      <c r="D319" t="s">
        <v>58</v>
      </c>
      <c r="E319" t="s">
        <v>789</v>
      </c>
      <c r="F319" t="s">
        <v>165</v>
      </c>
      <c r="G319" t="s">
        <v>166</v>
      </c>
      <c r="H319" s="2">
        <v>45997</v>
      </c>
      <c r="I319" s="1">
        <v>45823</v>
      </c>
      <c r="J319" t="s">
        <v>222</v>
      </c>
      <c r="K319" t="s">
        <v>223</v>
      </c>
      <c r="L319">
        <v>183816.01</v>
      </c>
      <c r="M319" t="s">
        <v>118</v>
      </c>
      <c r="N319" t="s">
        <v>35</v>
      </c>
      <c r="O319" t="s">
        <v>36</v>
      </c>
    </row>
    <row r="320" spans="1:15" ht="13.8" x14ac:dyDescent="0.25">
      <c r="A320" t="s">
        <v>895</v>
      </c>
      <c r="B320" t="s">
        <v>870</v>
      </c>
      <c r="C320">
        <v>13</v>
      </c>
      <c r="D320" t="s">
        <v>58</v>
      </c>
      <c r="E320" t="s">
        <v>137</v>
      </c>
      <c r="F320" t="s">
        <v>60</v>
      </c>
      <c r="G320" t="s">
        <v>61</v>
      </c>
      <c r="H320" s="1">
        <v>45881</v>
      </c>
      <c r="I320" s="1">
        <v>45890</v>
      </c>
      <c r="J320" t="s">
        <v>62</v>
      </c>
      <c r="K320" t="s">
        <v>63</v>
      </c>
      <c r="L320">
        <v>43425.63</v>
      </c>
      <c r="M320" t="s">
        <v>24</v>
      </c>
      <c r="N320" t="s">
        <v>35</v>
      </c>
      <c r="O320" t="s">
        <v>26</v>
      </c>
    </row>
    <row r="321" spans="1:15" ht="13.8" x14ac:dyDescent="0.25">
      <c r="A321" t="s">
        <v>896</v>
      </c>
      <c r="B321" t="s">
        <v>897</v>
      </c>
      <c r="C321">
        <v>49</v>
      </c>
      <c r="D321" t="s">
        <v>58</v>
      </c>
      <c r="E321" t="s">
        <v>102</v>
      </c>
      <c r="F321" t="s">
        <v>40</v>
      </c>
      <c r="G321" t="s">
        <v>92</v>
      </c>
      <c r="H321" s="2">
        <v>45819</v>
      </c>
      <c r="I321" s="3">
        <v>45980</v>
      </c>
      <c r="J321" t="s">
        <v>116</v>
      </c>
      <c r="K321" t="s">
        <v>117</v>
      </c>
      <c r="M321" t="s">
        <v>84</v>
      </c>
      <c r="N321" t="s">
        <v>35</v>
      </c>
      <c r="O321" t="s">
        <v>112</v>
      </c>
    </row>
    <row r="322" spans="1:15" ht="13.8" x14ac:dyDescent="0.25">
      <c r="A322" t="s">
        <v>898</v>
      </c>
      <c r="B322" t="s">
        <v>899</v>
      </c>
      <c r="C322">
        <v>44</v>
      </c>
      <c r="D322" t="s">
        <v>17</v>
      </c>
      <c r="E322" t="s">
        <v>78</v>
      </c>
      <c r="F322" t="s">
        <v>40</v>
      </c>
      <c r="G322" t="s">
        <v>212</v>
      </c>
      <c r="H322" t="s">
        <v>630</v>
      </c>
      <c r="J322" t="s">
        <v>42</v>
      </c>
      <c r="K322" t="s">
        <v>43</v>
      </c>
      <c r="L322">
        <v>282262.06</v>
      </c>
      <c r="M322" t="s">
        <v>118</v>
      </c>
      <c r="N322" t="s">
        <v>25</v>
      </c>
      <c r="O322" t="s">
        <v>45</v>
      </c>
    </row>
    <row r="323" spans="1:15" ht="13.8" x14ac:dyDescent="0.25">
      <c r="A323" t="s">
        <v>900</v>
      </c>
      <c r="B323" t="s">
        <v>901</v>
      </c>
      <c r="C323">
        <v>73</v>
      </c>
      <c r="D323" t="s">
        <v>17</v>
      </c>
      <c r="E323" t="s">
        <v>59</v>
      </c>
      <c r="F323" t="s">
        <v>50</v>
      </c>
      <c r="G323" t="s">
        <v>51</v>
      </c>
      <c r="H323" s="2">
        <v>45963</v>
      </c>
      <c r="I323" s="3">
        <v>45700</v>
      </c>
      <c r="J323" t="s">
        <v>191</v>
      </c>
      <c r="K323" t="s">
        <v>192</v>
      </c>
      <c r="L323">
        <v>270260.96999999997</v>
      </c>
      <c r="M323" t="s">
        <v>213</v>
      </c>
      <c r="O323" t="s">
        <v>112</v>
      </c>
    </row>
    <row r="324" spans="1:15" ht="13.8" x14ac:dyDescent="0.25">
      <c r="A324" t="s">
        <v>902</v>
      </c>
      <c r="B324" t="s">
        <v>897</v>
      </c>
      <c r="C324">
        <v>85</v>
      </c>
      <c r="D324" t="s">
        <v>58</v>
      </c>
      <c r="E324" t="s">
        <v>78</v>
      </c>
      <c r="F324" t="s">
        <v>30</v>
      </c>
      <c r="G324" t="s">
        <v>256</v>
      </c>
      <c r="H324" s="3">
        <v>45688</v>
      </c>
      <c r="I324" s="2">
        <v>45932</v>
      </c>
      <c r="J324" t="s">
        <v>246</v>
      </c>
      <c r="K324" t="s">
        <v>229</v>
      </c>
      <c r="L324">
        <v>292075.46000000002</v>
      </c>
      <c r="M324" t="s">
        <v>162</v>
      </c>
      <c r="N324" t="s">
        <v>69</v>
      </c>
      <c r="O324" t="s">
        <v>75</v>
      </c>
    </row>
    <row r="325" spans="1:15" ht="13.8" x14ac:dyDescent="0.25">
      <c r="B325" t="s">
        <v>903</v>
      </c>
      <c r="C325">
        <v>21</v>
      </c>
      <c r="D325" t="s">
        <v>58</v>
      </c>
      <c r="E325" t="s">
        <v>155</v>
      </c>
      <c r="F325" t="s">
        <v>60</v>
      </c>
      <c r="G325" t="s">
        <v>61</v>
      </c>
      <c r="H325" t="s">
        <v>904</v>
      </c>
      <c r="I325" s="1">
        <v>45925</v>
      </c>
      <c r="J325" t="s">
        <v>62</v>
      </c>
      <c r="K325" t="s">
        <v>63</v>
      </c>
      <c r="L325">
        <v>329740.81</v>
      </c>
      <c r="M325" t="s">
        <v>34</v>
      </c>
      <c r="N325" t="s">
        <v>35</v>
      </c>
      <c r="O325" t="s">
        <v>75</v>
      </c>
    </row>
    <row r="326" spans="1:15" ht="13.8" x14ac:dyDescent="0.25">
      <c r="A326" t="s">
        <v>905</v>
      </c>
      <c r="B326" t="s">
        <v>906</v>
      </c>
      <c r="C326">
        <v>58</v>
      </c>
      <c r="D326" t="s">
        <v>17</v>
      </c>
      <c r="E326" t="s">
        <v>72</v>
      </c>
      <c r="F326" t="s">
        <v>103</v>
      </c>
      <c r="G326" t="s">
        <v>138</v>
      </c>
      <c r="H326" s="1">
        <v>45925</v>
      </c>
      <c r="I326" s="1">
        <v>45928</v>
      </c>
      <c r="J326" t="s">
        <v>249</v>
      </c>
      <c r="K326" t="s">
        <v>250</v>
      </c>
      <c r="L326">
        <v>272662.94</v>
      </c>
      <c r="M326" t="s">
        <v>118</v>
      </c>
      <c r="N326" t="s">
        <v>35</v>
      </c>
      <c r="O326" t="s">
        <v>75</v>
      </c>
    </row>
    <row r="327" spans="1:15" ht="13.8" x14ac:dyDescent="0.25">
      <c r="A327" t="s">
        <v>907</v>
      </c>
      <c r="B327" t="s">
        <v>908</v>
      </c>
      <c r="C327">
        <v>53</v>
      </c>
      <c r="D327" t="s">
        <v>58</v>
      </c>
      <c r="E327" t="s">
        <v>72</v>
      </c>
      <c r="G327" t="s">
        <v>190</v>
      </c>
      <c r="H327" t="s">
        <v>909</v>
      </c>
      <c r="I327" s="1">
        <v>45699</v>
      </c>
      <c r="J327" t="s">
        <v>52</v>
      </c>
      <c r="K327" t="s">
        <v>53</v>
      </c>
      <c r="L327">
        <v>179644.78</v>
      </c>
      <c r="M327" t="s">
        <v>34</v>
      </c>
      <c r="O327" t="s">
        <v>75</v>
      </c>
    </row>
    <row r="328" spans="1:15" ht="13.8" x14ac:dyDescent="0.25">
      <c r="A328" t="s">
        <v>910</v>
      </c>
      <c r="B328" t="s">
        <v>47</v>
      </c>
      <c r="C328">
        <v>23</v>
      </c>
      <c r="D328" t="s">
        <v>58</v>
      </c>
      <c r="E328" t="s">
        <v>78</v>
      </c>
      <c r="F328" t="s">
        <v>30</v>
      </c>
      <c r="G328" t="s">
        <v>31</v>
      </c>
      <c r="H328" s="1">
        <v>45680</v>
      </c>
      <c r="I328" s="1">
        <v>45693</v>
      </c>
      <c r="J328" t="s">
        <v>88</v>
      </c>
      <c r="K328" t="s">
        <v>911</v>
      </c>
      <c r="L328" t="s">
        <v>912</v>
      </c>
      <c r="M328" t="s">
        <v>34</v>
      </c>
      <c r="N328" t="s">
        <v>632</v>
      </c>
      <c r="O328" t="s">
        <v>112</v>
      </c>
    </row>
    <row r="329" spans="1:15" ht="13.8" x14ac:dyDescent="0.25">
      <c r="A329" t="s">
        <v>913</v>
      </c>
      <c r="B329" t="s">
        <v>914</v>
      </c>
      <c r="C329">
        <v>13</v>
      </c>
      <c r="D329" t="s">
        <v>58</v>
      </c>
      <c r="E329" t="s">
        <v>155</v>
      </c>
      <c r="F329" t="s">
        <v>30</v>
      </c>
      <c r="G329" t="s">
        <v>31</v>
      </c>
      <c r="H329" s="1">
        <v>45912</v>
      </c>
      <c r="I329" s="1">
        <v>45919</v>
      </c>
      <c r="J329" t="s">
        <v>32</v>
      </c>
      <c r="K329" t="s">
        <v>33</v>
      </c>
      <c r="L329">
        <v>260952.41</v>
      </c>
      <c r="M329" t="s">
        <v>84</v>
      </c>
      <c r="N329" t="s">
        <v>74</v>
      </c>
      <c r="O329" t="s">
        <v>26</v>
      </c>
    </row>
    <row r="330" spans="1:15" ht="13.8" x14ac:dyDescent="0.25">
      <c r="C330">
        <v>11</v>
      </c>
      <c r="D330" t="s">
        <v>17</v>
      </c>
      <c r="E330" t="s">
        <v>78</v>
      </c>
      <c r="F330" t="s">
        <v>165</v>
      </c>
      <c r="G330" t="s">
        <v>302</v>
      </c>
      <c r="H330" t="s">
        <v>915</v>
      </c>
      <c r="I330" s="1">
        <v>45936</v>
      </c>
      <c r="J330" t="s">
        <v>168</v>
      </c>
      <c r="K330" t="s">
        <v>169</v>
      </c>
      <c r="L330">
        <v>207466.81</v>
      </c>
      <c r="M330" t="s">
        <v>84</v>
      </c>
      <c r="N330" t="s">
        <v>69</v>
      </c>
      <c r="O330" t="s">
        <v>36</v>
      </c>
    </row>
    <row r="331" spans="1:15" ht="13.8" x14ac:dyDescent="0.25">
      <c r="A331" t="s">
        <v>916</v>
      </c>
      <c r="D331" t="s">
        <v>287</v>
      </c>
      <c r="E331" t="s">
        <v>692</v>
      </c>
      <c r="F331" t="s">
        <v>165</v>
      </c>
      <c r="G331" t="s">
        <v>172</v>
      </c>
      <c r="H331" t="s">
        <v>492</v>
      </c>
      <c r="J331" t="s">
        <v>168</v>
      </c>
      <c r="K331" t="s">
        <v>169</v>
      </c>
      <c r="L331">
        <v>95338</v>
      </c>
      <c r="M331" t="s">
        <v>34</v>
      </c>
      <c r="N331" t="s">
        <v>25</v>
      </c>
      <c r="O331" t="s">
        <v>45</v>
      </c>
    </row>
    <row r="332" spans="1:15" ht="13.8" x14ac:dyDescent="0.25">
      <c r="A332" t="s">
        <v>917</v>
      </c>
      <c r="B332" t="s">
        <v>365</v>
      </c>
      <c r="C332">
        <v>160</v>
      </c>
      <c r="D332" t="s">
        <v>58</v>
      </c>
      <c r="E332" t="s">
        <v>39</v>
      </c>
      <c r="F332" t="s">
        <v>165</v>
      </c>
      <c r="G332" t="s">
        <v>172</v>
      </c>
      <c r="H332" s="1">
        <v>45838</v>
      </c>
      <c r="I332" s="1">
        <v>45846</v>
      </c>
      <c r="K332" t="s">
        <v>184</v>
      </c>
      <c r="L332">
        <v>14889.03</v>
      </c>
      <c r="M332" t="s">
        <v>24</v>
      </c>
      <c r="N332" t="s">
        <v>25</v>
      </c>
      <c r="O332" t="s">
        <v>112</v>
      </c>
    </row>
    <row r="333" spans="1:15" ht="13.8" x14ac:dyDescent="0.25">
      <c r="A333" t="s">
        <v>918</v>
      </c>
      <c r="B333" t="s">
        <v>211</v>
      </c>
      <c r="C333">
        <v>28</v>
      </c>
      <c r="E333" t="s">
        <v>137</v>
      </c>
      <c r="F333" t="s">
        <v>50</v>
      </c>
      <c r="G333" t="s">
        <v>190</v>
      </c>
      <c r="H333" t="s">
        <v>919</v>
      </c>
      <c r="J333" t="s">
        <v>413</v>
      </c>
      <c r="K333" t="s">
        <v>383</v>
      </c>
      <c r="L333">
        <v>349492.38</v>
      </c>
      <c r="M333" t="s">
        <v>34</v>
      </c>
      <c r="N333" t="s">
        <v>69</v>
      </c>
      <c r="O333" t="s">
        <v>45</v>
      </c>
    </row>
    <row r="334" spans="1:15" ht="13.8" x14ac:dyDescent="0.25">
      <c r="A334" t="s">
        <v>920</v>
      </c>
      <c r="B334" t="s">
        <v>921</v>
      </c>
      <c r="C334">
        <v>75</v>
      </c>
      <c r="D334" t="s">
        <v>58</v>
      </c>
      <c r="E334" t="s">
        <v>102</v>
      </c>
      <c r="F334" t="s">
        <v>30</v>
      </c>
      <c r="G334" t="s">
        <v>121</v>
      </c>
      <c r="I334" t="s">
        <v>218</v>
      </c>
      <c r="J334" t="s">
        <v>32</v>
      </c>
      <c r="K334" t="s">
        <v>33</v>
      </c>
      <c r="L334">
        <v>243735.89</v>
      </c>
      <c r="M334" t="s">
        <v>34</v>
      </c>
      <c r="N334" t="s">
        <v>74</v>
      </c>
      <c r="O334" t="s">
        <v>75</v>
      </c>
    </row>
    <row r="335" spans="1:15" ht="13.8" x14ac:dyDescent="0.25">
      <c r="A335" t="s">
        <v>922</v>
      </c>
      <c r="B335" t="s">
        <v>601</v>
      </c>
      <c r="C335">
        <v>58</v>
      </c>
      <c r="D335" t="s">
        <v>17</v>
      </c>
      <c r="E335" t="s">
        <v>59</v>
      </c>
      <c r="F335" t="s">
        <v>19</v>
      </c>
      <c r="G335" t="s">
        <v>20</v>
      </c>
      <c r="H335" s="1">
        <v>45718</v>
      </c>
      <c r="I335" s="1">
        <v>45732</v>
      </c>
      <c r="J335" t="s">
        <v>22</v>
      </c>
      <c r="K335" t="s">
        <v>23</v>
      </c>
      <c r="L335">
        <v>27887.8</v>
      </c>
      <c r="M335" t="s">
        <v>34</v>
      </c>
      <c r="N335" t="s">
        <v>35</v>
      </c>
      <c r="O335" t="s">
        <v>75</v>
      </c>
    </row>
    <row r="336" spans="1:15" ht="13.8" x14ac:dyDescent="0.25">
      <c r="A336" t="s">
        <v>923</v>
      </c>
      <c r="B336" t="s">
        <v>830</v>
      </c>
      <c r="C336">
        <v>75</v>
      </c>
      <c r="D336" t="s">
        <v>17</v>
      </c>
      <c r="E336" t="s">
        <v>18</v>
      </c>
      <c r="F336" t="s">
        <v>221</v>
      </c>
      <c r="G336" t="s">
        <v>172</v>
      </c>
      <c r="H336" s="1">
        <v>46001</v>
      </c>
      <c r="I336" s="1">
        <v>46015</v>
      </c>
      <c r="J336" t="s">
        <v>924</v>
      </c>
      <c r="K336" t="s">
        <v>169</v>
      </c>
      <c r="L336">
        <v>207167.51</v>
      </c>
      <c r="M336" t="s">
        <v>118</v>
      </c>
      <c r="N336" t="s">
        <v>69</v>
      </c>
      <c r="O336" t="s">
        <v>75</v>
      </c>
    </row>
    <row r="337" spans="1:15" ht="13.8" x14ac:dyDescent="0.25">
      <c r="A337" t="s">
        <v>925</v>
      </c>
      <c r="B337" t="s">
        <v>625</v>
      </c>
      <c r="C337">
        <v>30</v>
      </c>
      <c r="D337" t="s">
        <v>17</v>
      </c>
      <c r="E337" t="s">
        <v>78</v>
      </c>
      <c r="F337" t="s">
        <v>165</v>
      </c>
      <c r="G337" t="s">
        <v>172</v>
      </c>
      <c r="H337" s="2">
        <v>45815</v>
      </c>
      <c r="I337" s="3">
        <v>45846</v>
      </c>
      <c r="J337" t="s">
        <v>183</v>
      </c>
      <c r="K337" t="s">
        <v>184</v>
      </c>
      <c r="L337">
        <v>160039.89000000001</v>
      </c>
      <c r="M337" t="s">
        <v>54</v>
      </c>
      <c r="N337" t="s">
        <v>69</v>
      </c>
      <c r="O337" t="s">
        <v>36</v>
      </c>
    </row>
    <row r="338" spans="1:15" ht="13.8" x14ac:dyDescent="0.25">
      <c r="A338" t="s">
        <v>926</v>
      </c>
      <c r="B338" t="s">
        <v>927</v>
      </c>
      <c r="C338">
        <v>76</v>
      </c>
      <c r="D338" t="s">
        <v>17</v>
      </c>
      <c r="F338" t="s">
        <v>19</v>
      </c>
      <c r="G338" t="s">
        <v>196</v>
      </c>
      <c r="H338" s="1">
        <v>45855</v>
      </c>
      <c r="J338" t="s">
        <v>151</v>
      </c>
      <c r="K338" t="s">
        <v>768</v>
      </c>
      <c r="L338">
        <v>333754.68</v>
      </c>
      <c r="M338" t="s">
        <v>54</v>
      </c>
      <c r="N338" t="s">
        <v>25</v>
      </c>
      <c r="O338" t="s">
        <v>45</v>
      </c>
    </row>
    <row r="339" spans="1:15" ht="13.8" x14ac:dyDescent="0.25">
      <c r="A339" t="s">
        <v>199</v>
      </c>
      <c r="B339" t="s">
        <v>928</v>
      </c>
      <c r="D339" t="s">
        <v>58</v>
      </c>
      <c r="E339" t="s">
        <v>39</v>
      </c>
      <c r="F339" t="s">
        <v>165</v>
      </c>
      <c r="G339" t="s">
        <v>166</v>
      </c>
      <c r="H339" s="3">
        <v>45967</v>
      </c>
      <c r="J339" t="s">
        <v>183</v>
      </c>
      <c r="K339" t="s">
        <v>184</v>
      </c>
      <c r="L339">
        <v>65658.62</v>
      </c>
      <c r="M339" t="s">
        <v>24</v>
      </c>
      <c r="N339" t="s">
        <v>35</v>
      </c>
      <c r="O339" t="s">
        <v>45</v>
      </c>
    </row>
    <row r="340" spans="1:15" ht="13.8" x14ac:dyDescent="0.25">
      <c r="A340" t="s">
        <v>929</v>
      </c>
      <c r="B340" t="s">
        <v>533</v>
      </c>
      <c r="C340">
        <v>47</v>
      </c>
      <c r="D340" t="s">
        <v>17</v>
      </c>
      <c r="E340" t="s">
        <v>78</v>
      </c>
      <c r="F340" t="s">
        <v>19</v>
      </c>
      <c r="G340" t="s">
        <v>127</v>
      </c>
      <c r="H340" s="2">
        <v>45759</v>
      </c>
      <c r="J340" t="s">
        <v>930</v>
      </c>
      <c r="K340" t="s">
        <v>152</v>
      </c>
      <c r="L340" t="s">
        <v>931</v>
      </c>
      <c r="M340" t="s">
        <v>44</v>
      </c>
      <c r="N340" t="s">
        <v>55</v>
      </c>
      <c r="O340" t="s">
        <v>75</v>
      </c>
    </row>
    <row r="341" spans="1:15" ht="13.8" x14ac:dyDescent="0.25">
      <c r="A341" t="s">
        <v>932</v>
      </c>
      <c r="B341" t="s">
        <v>530</v>
      </c>
      <c r="C341">
        <v>19</v>
      </c>
      <c r="D341" t="s">
        <v>29</v>
      </c>
      <c r="E341" t="s">
        <v>18</v>
      </c>
      <c r="F341" t="s">
        <v>103</v>
      </c>
      <c r="G341" t="s">
        <v>138</v>
      </c>
      <c r="H341" s="2">
        <v>45934</v>
      </c>
      <c r="I341" s="3">
        <v>45764</v>
      </c>
      <c r="J341" t="s">
        <v>294</v>
      </c>
      <c r="K341" t="s">
        <v>336</v>
      </c>
      <c r="L341" t="s">
        <v>933</v>
      </c>
      <c r="M341" t="s">
        <v>68</v>
      </c>
      <c r="N341" t="s">
        <v>35</v>
      </c>
      <c r="O341" t="s">
        <v>26</v>
      </c>
    </row>
    <row r="342" spans="1:15" ht="13.8" x14ac:dyDescent="0.25">
      <c r="A342" t="s">
        <v>934</v>
      </c>
      <c r="B342" t="s">
        <v>935</v>
      </c>
      <c r="C342">
        <v>7</v>
      </c>
      <c r="D342" t="s">
        <v>48</v>
      </c>
      <c r="E342" t="s">
        <v>72</v>
      </c>
      <c r="F342" t="s">
        <v>40</v>
      </c>
      <c r="G342" t="s">
        <v>92</v>
      </c>
      <c r="H342" s="1">
        <v>45818</v>
      </c>
      <c r="I342" s="1">
        <v>45835</v>
      </c>
      <c r="J342" t="s">
        <v>763</v>
      </c>
      <c r="K342" t="s">
        <v>43</v>
      </c>
      <c r="L342">
        <v>267165.83</v>
      </c>
      <c r="M342" t="s">
        <v>34</v>
      </c>
      <c r="N342" t="s">
        <v>25</v>
      </c>
      <c r="O342" t="s">
        <v>260</v>
      </c>
    </row>
    <row r="343" spans="1:15" ht="13.8" x14ac:dyDescent="0.25">
      <c r="A343" t="s">
        <v>936</v>
      </c>
      <c r="B343" t="s">
        <v>937</v>
      </c>
      <c r="C343">
        <v>62</v>
      </c>
      <c r="D343" t="s">
        <v>17</v>
      </c>
      <c r="E343" t="s">
        <v>938</v>
      </c>
      <c r="F343" t="s">
        <v>19</v>
      </c>
      <c r="G343" t="s">
        <v>939</v>
      </c>
      <c r="H343" s="1">
        <v>45909</v>
      </c>
      <c r="I343" s="1">
        <v>45923</v>
      </c>
      <c r="J343" t="s">
        <v>366</v>
      </c>
      <c r="K343" t="s">
        <v>367</v>
      </c>
      <c r="L343">
        <v>288098.34000000003</v>
      </c>
      <c r="M343" t="s">
        <v>54</v>
      </c>
      <c r="N343" t="s">
        <v>74</v>
      </c>
      <c r="O343" t="s">
        <v>26</v>
      </c>
    </row>
    <row r="344" spans="1:15" ht="13.8" x14ac:dyDescent="0.25">
      <c r="A344" t="s">
        <v>940</v>
      </c>
      <c r="B344" t="s">
        <v>941</v>
      </c>
      <c r="C344">
        <v>19</v>
      </c>
      <c r="D344" t="s">
        <v>17</v>
      </c>
      <c r="E344" t="s">
        <v>942</v>
      </c>
      <c r="F344" t="s">
        <v>30</v>
      </c>
      <c r="G344" t="s">
        <v>31</v>
      </c>
      <c r="H344" t="s">
        <v>943</v>
      </c>
      <c r="I344" s="1">
        <v>45867</v>
      </c>
      <c r="J344" t="s">
        <v>122</v>
      </c>
      <c r="K344" t="s">
        <v>123</v>
      </c>
      <c r="L344" t="s">
        <v>944</v>
      </c>
      <c r="M344" t="s">
        <v>34</v>
      </c>
      <c r="N344" t="s">
        <v>69</v>
      </c>
      <c r="O344" t="s">
        <v>112</v>
      </c>
    </row>
    <row r="345" spans="1:15" ht="13.8" x14ac:dyDescent="0.25">
      <c r="A345" t="s">
        <v>945</v>
      </c>
      <c r="B345" t="s">
        <v>946</v>
      </c>
      <c r="C345">
        <v>70</v>
      </c>
      <c r="D345" t="s">
        <v>17</v>
      </c>
      <c r="E345" t="s">
        <v>39</v>
      </c>
      <c r="F345" t="s">
        <v>165</v>
      </c>
      <c r="G345" t="s">
        <v>947</v>
      </c>
      <c r="H345" s="3">
        <v>45704</v>
      </c>
      <c r="I345" s="1">
        <v>45710</v>
      </c>
      <c r="J345" t="s">
        <v>222</v>
      </c>
      <c r="K345" t="s">
        <v>223</v>
      </c>
      <c r="L345">
        <v>28856.82</v>
      </c>
      <c r="M345" t="s">
        <v>84</v>
      </c>
      <c r="N345" t="s">
        <v>25</v>
      </c>
      <c r="O345" t="s">
        <v>36</v>
      </c>
    </row>
    <row r="346" spans="1:15" ht="13.8" x14ac:dyDescent="0.25">
      <c r="A346" t="s">
        <v>948</v>
      </c>
      <c r="B346" t="s">
        <v>949</v>
      </c>
      <c r="C346">
        <v>2</v>
      </c>
      <c r="D346" t="s">
        <v>17</v>
      </c>
      <c r="E346" t="s">
        <v>49</v>
      </c>
      <c r="F346" t="s">
        <v>30</v>
      </c>
      <c r="G346" t="s">
        <v>31</v>
      </c>
      <c r="H346" t="s">
        <v>950</v>
      </c>
      <c r="J346" t="s">
        <v>122</v>
      </c>
      <c r="K346" t="s">
        <v>123</v>
      </c>
      <c r="L346">
        <v>302163.73</v>
      </c>
      <c r="M346" t="s">
        <v>118</v>
      </c>
      <c r="N346" t="s">
        <v>55</v>
      </c>
      <c r="O346" t="s">
        <v>45</v>
      </c>
    </row>
    <row r="347" spans="1:15" ht="13.8" x14ac:dyDescent="0.25">
      <c r="A347" t="s">
        <v>951</v>
      </c>
      <c r="B347" t="s">
        <v>28</v>
      </c>
      <c r="C347">
        <v>60</v>
      </c>
      <c r="D347" t="s">
        <v>58</v>
      </c>
      <c r="E347" t="s">
        <v>72</v>
      </c>
      <c r="F347" t="s">
        <v>103</v>
      </c>
      <c r="G347" t="s">
        <v>104</v>
      </c>
      <c r="H347" s="1">
        <v>45790</v>
      </c>
      <c r="J347" t="s">
        <v>294</v>
      </c>
      <c r="K347" t="s">
        <v>336</v>
      </c>
      <c r="L347">
        <v>24847.62</v>
      </c>
      <c r="M347" t="s">
        <v>84</v>
      </c>
      <c r="N347" t="s">
        <v>55</v>
      </c>
      <c r="O347" t="s">
        <v>45</v>
      </c>
    </row>
    <row r="348" spans="1:15" ht="13.8" x14ac:dyDescent="0.25">
      <c r="A348" t="s">
        <v>952</v>
      </c>
      <c r="B348" t="s">
        <v>953</v>
      </c>
      <c r="C348">
        <v>24</v>
      </c>
      <c r="D348" t="s">
        <v>17</v>
      </c>
      <c r="E348" t="s">
        <v>72</v>
      </c>
      <c r="F348" t="s">
        <v>30</v>
      </c>
      <c r="G348" t="s">
        <v>121</v>
      </c>
      <c r="H348" s="1">
        <v>45983</v>
      </c>
      <c r="I348" s="3">
        <v>45991</v>
      </c>
      <c r="J348" t="s">
        <v>954</v>
      </c>
      <c r="K348" t="s">
        <v>89</v>
      </c>
      <c r="L348">
        <v>75690.77</v>
      </c>
      <c r="M348" t="s">
        <v>84</v>
      </c>
      <c r="N348" t="s">
        <v>69</v>
      </c>
      <c r="O348" t="s">
        <v>112</v>
      </c>
    </row>
    <row r="349" spans="1:15" ht="13.8" x14ac:dyDescent="0.25">
      <c r="A349" t="s">
        <v>955</v>
      </c>
      <c r="B349" t="s">
        <v>468</v>
      </c>
      <c r="D349" t="s">
        <v>17</v>
      </c>
      <c r="E349" t="s">
        <v>72</v>
      </c>
      <c r="G349" t="s">
        <v>256</v>
      </c>
      <c r="H349" s="1">
        <v>46017</v>
      </c>
      <c r="I349" s="1">
        <v>46031</v>
      </c>
      <c r="J349" t="s">
        <v>88</v>
      </c>
      <c r="K349" t="s">
        <v>89</v>
      </c>
      <c r="L349">
        <v>292142.3</v>
      </c>
      <c r="M349" t="s">
        <v>68</v>
      </c>
      <c r="N349" t="s">
        <v>69</v>
      </c>
      <c r="O349" t="s">
        <v>36</v>
      </c>
    </row>
    <row r="350" spans="1:15" ht="13.8" x14ac:dyDescent="0.25">
      <c r="A350" t="s">
        <v>956</v>
      </c>
      <c r="B350" t="s">
        <v>957</v>
      </c>
      <c r="C350">
        <v>56</v>
      </c>
      <c r="D350" t="s">
        <v>17</v>
      </c>
      <c r="F350" t="s">
        <v>19</v>
      </c>
      <c r="G350" t="s">
        <v>20</v>
      </c>
      <c r="H350" s="1">
        <v>45977</v>
      </c>
      <c r="J350" t="s">
        <v>22</v>
      </c>
      <c r="K350" t="s">
        <v>23</v>
      </c>
      <c r="L350">
        <v>218516.52</v>
      </c>
      <c r="M350" t="s">
        <v>68</v>
      </c>
      <c r="N350" t="s">
        <v>25</v>
      </c>
      <c r="O350" t="s">
        <v>45</v>
      </c>
    </row>
    <row r="351" spans="1:15" ht="13.8" x14ac:dyDescent="0.25">
      <c r="A351" t="s">
        <v>958</v>
      </c>
      <c r="B351" t="s">
        <v>959</v>
      </c>
      <c r="C351">
        <v>10</v>
      </c>
      <c r="D351" t="s">
        <v>17</v>
      </c>
      <c r="E351" t="s">
        <v>72</v>
      </c>
      <c r="F351" t="s">
        <v>50</v>
      </c>
      <c r="G351" t="s">
        <v>51</v>
      </c>
      <c r="H351" s="3">
        <v>45785</v>
      </c>
      <c r="I351" s="1">
        <v>45799</v>
      </c>
      <c r="J351" t="s">
        <v>52</v>
      </c>
      <c r="K351" t="s">
        <v>53</v>
      </c>
      <c r="L351">
        <v>169398.15</v>
      </c>
      <c r="M351" t="s">
        <v>44</v>
      </c>
      <c r="N351" t="s">
        <v>35</v>
      </c>
      <c r="O351" t="s">
        <v>26</v>
      </c>
    </row>
    <row r="352" spans="1:15" ht="13.8" x14ac:dyDescent="0.25">
      <c r="A352" t="s">
        <v>960</v>
      </c>
      <c r="B352" t="s">
        <v>961</v>
      </c>
      <c r="C352">
        <v>19</v>
      </c>
      <c r="D352" t="s">
        <v>58</v>
      </c>
      <c r="E352" t="s">
        <v>78</v>
      </c>
      <c r="F352" t="s">
        <v>40</v>
      </c>
      <c r="G352" t="s">
        <v>156</v>
      </c>
      <c r="H352" s="1">
        <v>45934</v>
      </c>
      <c r="J352" t="s">
        <v>238</v>
      </c>
      <c r="K352" t="s">
        <v>67</v>
      </c>
      <c r="L352">
        <v>267621</v>
      </c>
      <c r="M352" t="s">
        <v>118</v>
      </c>
      <c r="N352" t="s">
        <v>35</v>
      </c>
      <c r="O352" t="s">
        <v>45</v>
      </c>
    </row>
    <row r="353" spans="1:15" ht="13.8" x14ac:dyDescent="0.25">
      <c r="A353" t="s">
        <v>962</v>
      </c>
      <c r="B353" t="s">
        <v>963</v>
      </c>
      <c r="C353">
        <v>61</v>
      </c>
      <c r="D353" t="s">
        <v>58</v>
      </c>
      <c r="E353" t="s">
        <v>360</v>
      </c>
      <c r="F353" t="s">
        <v>50</v>
      </c>
      <c r="G353" t="s">
        <v>190</v>
      </c>
      <c r="I353" s="3">
        <v>45776</v>
      </c>
      <c r="J353" t="s">
        <v>315</v>
      </c>
      <c r="K353" t="s">
        <v>204</v>
      </c>
      <c r="L353" t="s">
        <v>964</v>
      </c>
      <c r="M353" t="s">
        <v>84</v>
      </c>
      <c r="N353" t="s">
        <v>69</v>
      </c>
      <c r="O353" t="s">
        <v>75</v>
      </c>
    </row>
    <row r="354" spans="1:15" ht="13.8" x14ac:dyDescent="0.25">
      <c r="A354" t="s">
        <v>965</v>
      </c>
      <c r="B354" t="s">
        <v>310</v>
      </c>
      <c r="C354">
        <v>20</v>
      </c>
      <c r="D354" t="s">
        <v>115</v>
      </c>
      <c r="E354" t="s">
        <v>155</v>
      </c>
      <c r="F354" t="s">
        <v>30</v>
      </c>
      <c r="G354" t="s">
        <v>121</v>
      </c>
      <c r="J354" t="s">
        <v>122</v>
      </c>
      <c r="K354" t="s">
        <v>123</v>
      </c>
      <c r="L354">
        <v>65515.33</v>
      </c>
      <c r="M354" t="s">
        <v>54</v>
      </c>
      <c r="N354" t="s">
        <v>74</v>
      </c>
    </row>
    <row r="355" spans="1:15" ht="13.8" x14ac:dyDescent="0.25">
      <c r="A355" t="s">
        <v>966</v>
      </c>
      <c r="B355" t="s">
        <v>622</v>
      </c>
      <c r="C355">
        <v>58</v>
      </c>
      <c r="D355" t="s">
        <v>17</v>
      </c>
      <c r="E355" t="s">
        <v>72</v>
      </c>
      <c r="F355" t="s">
        <v>103</v>
      </c>
      <c r="G355" t="s">
        <v>455</v>
      </c>
      <c r="H355" s="3">
        <v>45708</v>
      </c>
      <c r="I355" s="1">
        <v>45712</v>
      </c>
      <c r="J355" t="s">
        <v>967</v>
      </c>
      <c r="K355" t="s">
        <v>110</v>
      </c>
      <c r="L355">
        <v>11310.31</v>
      </c>
      <c r="M355" t="s">
        <v>44</v>
      </c>
      <c r="N355" t="s">
        <v>74</v>
      </c>
      <c r="O355" t="s">
        <v>75</v>
      </c>
    </row>
    <row r="356" spans="1:15" ht="13.8" x14ac:dyDescent="0.25">
      <c r="A356" t="s">
        <v>968</v>
      </c>
      <c r="B356" t="s">
        <v>969</v>
      </c>
      <c r="C356">
        <v>9</v>
      </c>
      <c r="D356" t="s">
        <v>58</v>
      </c>
      <c r="E356" t="s">
        <v>227</v>
      </c>
      <c r="F356" t="s">
        <v>40</v>
      </c>
      <c r="G356" t="s">
        <v>92</v>
      </c>
      <c r="I356" t="s">
        <v>970</v>
      </c>
      <c r="J356" t="s">
        <v>116</v>
      </c>
      <c r="K356" t="s">
        <v>117</v>
      </c>
      <c r="L356">
        <v>187210.96</v>
      </c>
      <c r="M356" t="s">
        <v>68</v>
      </c>
      <c r="N356" t="s">
        <v>69</v>
      </c>
      <c r="O356" t="s">
        <v>36</v>
      </c>
    </row>
    <row r="357" spans="1:15" ht="13.8" x14ac:dyDescent="0.25">
      <c r="A357" t="s">
        <v>971</v>
      </c>
      <c r="B357" t="s">
        <v>331</v>
      </c>
      <c r="C357">
        <v>75</v>
      </c>
      <c r="D357" t="s">
        <v>58</v>
      </c>
      <c r="E357" t="s">
        <v>39</v>
      </c>
      <c r="F357" t="s">
        <v>40</v>
      </c>
      <c r="G357" t="s">
        <v>92</v>
      </c>
      <c r="H357" s="1">
        <v>45912</v>
      </c>
      <c r="I357" s="1">
        <v>45913</v>
      </c>
      <c r="J357" t="s">
        <v>116</v>
      </c>
      <c r="K357" t="s">
        <v>117</v>
      </c>
      <c r="L357">
        <v>70627.63</v>
      </c>
      <c r="M357" t="s">
        <v>24</v>
      </c>
      <c r="N357" t="s">
        <v>69</v>
      </c>
      <c r="O357" t="s">
        <v>112</v>
      </c>
    </row>
    <row r="358" spans="1:15" ht="13.8" x14ac:dyDescent="0.25">
      <c r="A358" t="s">
        <v>972</v>
      </c>
      <c r="B358" t="s">
        <v>281</v>
      </c>
      <c r="C358">
        <v>79</v>
      </c>
      <c r="D358" t="s">
        <v>58</v>
      </c>
      <c r="E358" t="s">
        <v>97</v>
      </c>
      <c r="F358" t="s">
        <v>103</v>
      </c>
      <c r="G358" t="s">
        <v>138</v>
      </c>
      <c r="H358" s="1">
        <v>45887</v>
      </c>
      <c r="I358" s="1">
        <v>45895</v>
      </c>
      <c r="J358" t="s">
        <v>294</v>
      </c>
      <c r="K358" t="s">
        <v>336</v>
      </c>
      <c r="L358">
        <v>219686.66</v>
      </c>
      <c r="M358" t="s">
        <v>68</v>
      </c>
      <c r="N358" t="s">
        <v>35</v>
      </c>
      <c r="O358" t="s">
        <v>112</v>
      </c>
    </row>
    <row r="359" spans="1:15" ht="13.8" x14ac:dyDescent="0.25">
      <c r="A359" t="s">
        <v>973</v>
      </c>
      <c r="B359" t="s">
        <v>164</v>
      </c>
      <c r="C359">
        <v>72</v>
      </c>
      <c r="D359" t="s">
        <v>58</v>
      </c>
      <c r="E359" t="s">
        <v>49</v>
      </c>
      <c r="F359" t="s">
        <v>165</v>
      </c>
      <c r="G359" t="s">
        <v>166</v>
      </c>
      <c r="H359" s="1">
        <v>45895</v>
      </c>
      <c r="J359" t="s">
        <v>173</v>
      </c>
      <c r="K359" t="s">
        <v>174</v>
      </c>
      <c r="M359" t="s">
        <v>118</v>
      </c>
      <c r="N359" t="s">
        <v>74</v>
      </c>
      <c r="O359" t="s">
        <v>45</v>
      </c>
    </row>
    <row r="360" spans="1:15" ht="13.8" x14ac:dyDescent="0.25">
      <c r="A360" t="s">
        <v>974</v>
      </c>
      <c r="B360" t="s">
        <v>642</v>
      </c>
      <c r="C360">
        <v>44</v>
      </c>
      <c r="D360" t="s">
        <v>115</v>
      </c>
      <c r="F360" t="s">
        <v>50</v>
      </c>
      <c r="G360" t="s">
        <v>300</v>
      </c>
      <c r="H360" t="s">
        <v>975</v>
      </c>
      <c r="I360" s="1">
        <v>45900</v>
      </c>
      <c r="L360" t="s">
        <v>976</v>
      </c>
      <c r="M360" t="s">
        <v>68</v>
      </c>
      <c r="N360" t="s">
        <v>35</v>
      </c>
      <c r="O360" t="s">
        <v>75</v>
      </c>
    </row>
    <row r="361" spans="1:15" ht="13.8" x14ac:dyDescent="0.25">
      <c r="A361" t="s">
        <v>977</v>
      </c>
      <c r="B361" t="s">
        <v>646</v>
      </c>
      <c r="C361">
        <v>39</v>
      </c>
      <c r="D361" t="s">
        <v>17</v>
      </c>
      <c r="E361" t="s">
        <v>39</v>
      </c>
      <c r="F361" t="s">
        <v>30</v>
      </c>
      <c r="G361" t="s">
        <v>31</v>
      </c>
      <c r="H361" t="s">
        <v>766</v>
      </c>
      <c r="I361" s="3">
        <v>45850</v>
      </c>
      <c r="J361" t="s">
        <v>246</v>
      </c>
      <c r="K361" t="s">
        <v>229</v>
      </c>
      <c r="L361">
        <v>239670.57</v>
      </c>
      <c r="M361" t="s">
        <v>54</v>
      </c>
      <c r="N361" t="s">
        <v>74</v>
      </c>
      <c r="O361" t="s">
        <v>112</v>
      </c>
    </row>
    <row r="362" spans="1:15" ht="13.8" x14ac:dyDescent="0.25">
      <c r="A362" t="s">
        <v>978</v>
      </c>
      <c r="B362" t="s">
        <v>979</v>
      </c>
      <c r="C362">
        <v>45</v>
      </c>
      <c r="D362" t="s">
        <v>17</v>
      </c>
      <c r="E362" t="s">
        <v>137</v>
      </c>
      <c r="F362" t="s">
        <v>30</v>
      </c>
      <c r="G362" t="s">
        <v>256</v>
      </c>
      <c r="H362" s="1">
        <v>45835</v>
      </c>
      <c r="J362" t="s">
        <v>88</v>
      </c>
      <c r="K362" t="s">
        <v>89</v>
      </c>
      <c r="L362" t="s">
        <v>980</v>
      </c>
      <c r="M362" t="s">
        <v>24</v>
      </c>
      <c r="N362" t="s">
        <v>265</v>
      </c>
      <c r="O362" t="s">
        <v>45</v>
      </c>
    </row>
    <row r="363" spans="1:15" ht="13.8" x14ac:dyDescent="0.25">
      <c r="A363" t="s">
        <v>981</v>
      </c>
      <c r="B363" t="s">
        <v>797</v>
      </c>
      <c r="C363">
        <v>2</v>
      </c>
      <c r="D363" t="s">
        <v>17</v>
      </c>
      <c r="E363" t="s">
        <v>72</v>
      </c>
      <c r="F363" t="s">
        <v>103</v>
      </c>
      <c r="G363" t="s">
        <v>138</v>
      </c>
      <c r="H363" s="1">
        <v>45806</v>
      </c>
      <c r="J363" t="s">
        <v>106</v>
      </c>
      <c r="K363" t="s">
        <v>110</v>
      </c>
      <c r="L363">
        <v>176910.39</v>
      </c>
      <c r="M363" t="s">
        <v>24</v>
      </c>
      <c r="N363" t="s">
        <v>25</v>
      </c>
      <c r="O363" t="s">
        <v>633</v>
      </c>
    </row>
    <row r="364" spans="1:15" ht="13.8" x14ac:dyDescent="0.25">
      <c r="A364" t="s">
        <v>982</v>
      </c>
      <c r="B364" t="s">
        <v>516</v>
      </c>
      <c r="C364">
        <v>10</v>
      </c>
      <c r="D364" t="s">
        <v>17</v>
      </c>
      <c r="E364" t="s">
        <v>49</v>
      </c>
      <c r="F364" t="s">
        <v>50</v>
      </c>
      <c r="G364" t="s">
        <v>51</v>
      </c>
      <c r="H364" s="1">
        <v>45831</v>
      </c>
      <c r="J364" t="s">
        <v>52</v>
      </c>
      <c r="K364" t="s">
        <v>53</v>
      </c>
      <c r="L364">
        <v>142933.82</v>
      </c>
      <c r="M364" t="s">
        <v>54</v>
      </c>
      <c r="N364" t="s">
        <v>55</v>
      </c>
      <c r="O364" t="s">
        <v>45</v>
      </c>
    </row>
    <row r="365" spans="1:15" ht="13.8" x14ac:dyDescent="0.25">
      <c r="A365" t="s">
        <v>983</v>
      </c>
      <c r="B365" t="s">
        <v>281</v>
      </c>
      <c r="C365">
        <v>81</v>
      </c>
      <c r="D365" t="s">
        <v>58</v>
      </c>
      <c r="E365" t="s">
        <v>442</v>
      </c>
      <c r="F365" t="s">
        <v>60</v>
      </c>
      <c r="G365" t="s">
        <v>79</v>
      </c>
      <c r="H365" s="2">
        <v>45906</v>
      </c>
      <c r="I365" s="1">
        <v>45820</v>
      </c>
      <c r="J365" t="s">
        <v>263</v>
      </c>
      <c r="K365" t="s">
        <v>264</v>
      </c>
      <c r="M365" t="s">
        <v>213</v>
      </c>
      <c r="N365" t="s">
        <v>25</v>
      </c>
      <c r="O365" t="s">
        <v>75</v>
      </c>
    </row>
    <row r="366" spans="1:15" ht="13.8" x14ac:dyDescent="0.25">
      <c r="A366" t="s">
        <v>984</v>
      </c>
      <c r="B366" t="s">
        <v>985</v>
      </c>
      <c r="C366">
        <v>80</v>
      </c>
      <c r="D366" t="s">
        <v>17</v>
      </c>
      <c r="E366" t="s">
        <v>155</v>
      </c>
      <c r="F366" t="s">
        <v>50</v>
      </c>
      <c r="G366" t="s">
        <v>51</v>
      </c>
      <c r="H366" s="1">
        <v>45954</v>
      </c>
      <c r="I366" s="1">
        <v>45956</v>
      </c>
      <c r="J366" t="s">
        <v>315</v>
      </c>
      <c r="K366" t="s">
        <v>204</v>
      </c>
      <c r="L366">
        <v>149246.6</v>
      </c>
      <c r="M366" t="s">
        <v>118</v>
      </c>
      <c r="N366" t="s">
        <v>25</v>
      </c>
      <c r="O366" t="s">
        <v>723</v>
      </c>
    </row>
    <row r="367" spans="1:15" ht="13.8" x14ac:dyDescent="0.25">
      <c r="A367" t="s">
        <v>986</v>
      </c>
      <c r="B367" t="s">
        <v>130</v>
      </c>
      <c r="C367">
        <v>61</v>
      </c>
      <c r="D367" t="s">
        <v>58</v>
      </c>
      <c r="E367" t="s">
        <v>59</v>
      </c>
      <c r="F367" t="s">
        <v>19</v>
      </c>
      <c r="G367" t="s">
        <v>127</v>
      </c>
      <c r="H367" t="s">
        <v>987</v>
      </c>
      <c r="I367" s="3">
        <v>45839</v>
      </c>
      <c r="K367" t="s">
        <v>234</v>
      </c>
      <c r="L367">
        <v>166270.85999999999</v>
      </c>
      <c r="M367" t="s">
        <v>84</v>
      </c>
      <c r="N367" t="s">
        <v>35</v>
      </c>
      <c r="O367" t="s">
        <v>112</v>
      </c>
    </row>
    <row r="368" spans="1:15" ht="13.8" x14ac:dyDescent="0.25">
      <c r="A368" t="s">
        <v>988</v>
      </c>
      <c r="B368" t="s">
        <v>614</v>
      </c>
      <c r="C368">
        <v>6</v>
      </c>
      <c r="D368" t="s">
        <v>17</v>
      </c>
      <c r="E368" t="s">
        <v>78</v>
      </c>
      <c r="F368" t="s">
        <v>19</v>
      </c>
      <c r="G368" t="s">
        <v>20</v>
      </c>
      <c r="H368" s="1">
        <v>45891</v>
      </c>
      <c r="I368" s="1">
        <v>45894</v>
      </c>
      <c r="J368" t="s">
        <v>151</v>
      </c>
      <c r="K368" t="s">
        <v>152</v>
      </c>
      <c r="L368" t="s">
        <v>989</v>
      </c>
      <c r="M368" t="s">
        <v>54</v>
      </c>
      <c r="N368" t="s">
        <v>74</v>
      </c>
      <c r="O368" t="s">
        <v>26</v>
      </c>
    </row>
    <row r="369" spans="1:15" ht="13.8" x14ac:dyDescent="0.25">
      <c r="A369" t="s">
        <v>990</v>
      </c>
      <c r="B369" t="s">
        <v>991</v>
      </c>
      <c r="C369">
        <v>15</v>
      </c>
      <c r="D369" t="s">
        <v>58</v>
      </c>
      <c r="E369" t="s">
        <v>102</v>
      </c>
      <c r="F369" t="s">
        <v>103</v>
      </c>
      <c r="G369" t="s">
        <v>455</v>
      </c>
      <c r="I369" t="s">
        <v>992</v>
      </c>
      <c r="J369" t="s">
        <v>106</v>
      </c>
      <c r="K369" t="s">
        <v>110</v>
      </c>
      <c r="L369">
        <v>176620.05</v>
      </c>
      <c r="M369" t="s">
        <v>44</v>
      </c>
      <c r="N369" t="s">
        <v>74</v>
      </c>
      <c r="O369" t="s">
        <v>36</v>
      </c>
    </row>
    <row r="370" spans="1:15" ht="13.8" x14ac:dyDescent="0.25">
      <c r="A370" t="s">
        <v>993</v>
      </c>
      <c r="B370" t="s">
        <v>114</v>
      </c>
      <c r="C370">
        <v>51</v>
      </c>
      <c r="D370" t="s">
        <v>17</v>
      </c>
      <c r="E370" t="s">
        <v>78</v>
      </c>
      <c r="F370" t="s">
        <v>50</v>
      </c>
      <c r="G370" t="s">
        <v>300</v>
      </c>
      <c r="H370" s="1">
        <v>45842</v>
      </c>
      <c r="J370" t="s">
        <v>52</v>
      </c>
      <c r="K370" t="s">
        <v>53</v>
      </c>
      <c r="L370" t="s">
        <v>994</v>
      </c>
      <c r="M370" t="s">
        <v>54</v>
      </c>
      <c r="N370" t="s">
        <v>25</v>
      </c>
      <c r="O370" t="s">
        <v>45</v>
      </c>
    </row>
    <row r="371" spans="1:15" ht="13.8" x14ac:dyDescent="0.25">
      <c r="A371" t="s">
        <v>995</v>
      </c>
      <c r="B371" t="s">
        <v>373</v>
      </c>
      <c r="C371">
        <v>3</v>
      </c>
      <c r="D371" t="s">
        <v>17</v>
      </c>
      <c r="E371" t="s">
        <v>72</v>
      </c>
      <c r="F371" t="s">
        <v>60</v>
      </c>
      <c r="G371" t="s">
        <v>79</v>
      </c>
      <c r="H371" s="1">
        <v>45920</v>
      </c>
      <c r="I371" s="1">
        <v>45926</v>
      </c>
      <c r="J371" t="s">
        <v>132</v>
      </c>
      <c r="K371" t="s">
        <v>133</v>
      </c>
      <c r="L371">
        <v>168972.32</v>
      </c>
      <c r="M371" t="s">
        <v>118</v>
      </c>
      <c r="N371" t="s">
        <v>265</v>
      </c>
      <c r="O371" t="s">
        <v>26</v>
      </c>
    </row>
    <row r="372" spans="1:15" ht="13.8" x14ac:dyDescent="0.25">
      <c r="A372" t="s">
        <v>996</v>
      </c>
      <c r="B372" t="s">
        <v>208</v>
      </c>
      <c r="C372">
        <v>41</v>
      </c>
      <c r="D372" t="s">
        <v>58</v>
      </c>
      <c r="E372" t="s">
        <v>72</v>
      </c>
      <c r="F372" t="s">
        <v>19</v>
      </c>
      <c r="G372" t="s">
        <v>127</v>
      </c>
      <c r="H372" s="1">
        <v>45681</v>
      </c>
      <c r="I372" s="1">
        <v>45692</v>
      </c>
      <c r="J372" t="s">
        <v>366</v>
      </c>
      <c r="K372" t="s">
        <v>367</v>
      </c>
      <c r="L372">
        <v>153334.01999999999</v>
      </c>
      <c r="M372" t="s">
        <v>68</v>
      </c>
      <c r="N372" t="s">
        <v>35</v>
      </c>
      <c r="O372" t="s">
        <v>75</v>
      </c>
    </row>
    <row r="373" spans="1:15" ht="13.8" x14ac:dyDescent="0.25">
      <c r="A373" t="s">
        <v>997</v>
      </c>
      <c r="B373" t="s">
        <v>894</v>
      </c>
      <c r="C373">
        <v>74</v>
      </c>
      <c r="D373" t="s">
        <v>58</v>
      </c>
      <c r="E373" t="s">
        <v>18</v>
      </c>
      <c r="F373" t="s">
        <v>165</v>
      </c>
      <c r="G373" t="s">
        <v>302</v>
      </c>
      <c r="H373" t="s">
        <v>98</v>
      </c>
      <c r="I373" s="1">
        <v>45704</v>
      </c>
      <c r="J373" t="s">
        <v>168</v>
      </c>
      <c r="K373" t="s">
        <v>169</v>
      </c>
      <c r="N373" t="s">
        <v>55</v>
      </c>
      <c r="O373" t="s">
        <v>36</v>
      </c>
    </row>
    <row r="374" spans="1:15" ht="13.8" x14ac:dyDescent="0.25">
      <c r="A374" t="s">
        <v>998</v>
      </c>
      <c r="B374" t="s">
        <v>928</v>
      </c>
      <c r="C374">
        <v>8</v>
      </c>
      <c r="D374" t="s">
        <v>58</v>
      </c>
      <c r="E374" t="s">
        <v>49</v>
      </c>
      <c r="F374" t="s">
        <v>40</v>
      </c>
      <c r="G374" t="s">
        <v>212</v>
      </c>
      <c r="H374" s="1">
        <v>45822</v>
      </c>
      <c r="I374" s="3">
        <v>45828</v>
      </c>
      <c r="J374" t="s">
        <v>116</v>
      </c>
      <c r="K374" t="s">
        <v>117</v>
      </c>
      <c r="L374">
        <v>273053.57</v>
      </c>
      <c r="M374" t="s">
        <v>68</v>
      </c>
      <c r="N374" t="s">
        <v>69</v>
      </c>
      <c r="O374" t="s">
        <v>26</v>
      </c>
    </row>
    <row r="375" spans="1:15" ht="13.8" x14ac:dyDescent="0.25">
      <c r="A375" t="s">
        <v>999</v>
      </c>
      <c r="B375" t="s">
        <v>355</v>
      </c>
      <c r="C375">
        <v>68</v>
      </c>
      <c r="D375" t="s">
        <v>17</v>
      </c>
      <c r="F375" t="s">
        <v>269</v>
      </c>
      <c r="G375" t="s">
        <v>190</v>
      </c>
      <c r="H375" s="3">
        <v>45799</v>
      </c>
      <c r="I375" s="1">
        <v>45814</v>
      </c>
      <c r="J375" t="s">
        <v>315</v>
      </c>
      <c r="K375" t="s">
        <v>204</v>
      </c>
      <c r="L375">
        <v>42562.48</v>
      </c>
      <c r="M375" t="s">
        <v>118</v>
      </c>
      <c r="N375" t="s">
        <v>69</v>
      </c>
      <c r="O375" t="s">
        <v>723</v>
      </c>
    </row>
    <row r="376" spans="1:15" ht="13.8" x14ac:dyDescent="0.25">
      <c r="A376" t="s">
        <v>1000</v>
      </c>
      <c r="B376" t="s">
        <v>457</v>
      </c>
      <c r="C376">
        <v>-56</v>
      </c>
      <c r="D376" t="s">
        <v>17</v>
      </c>
      <c r="E376" t="s">
        <v>39</v>
      </c>
      <c r="F376" t="s">
        <v>103</v>
      </c>
      <c r="G376" t="s">
        <v>138</v>
      </c>
      <c r="H376" s="1">
        <v>45659</v>
      </c>
      <c r="I376" s="3">
        <v>45677</v>
      </c>
      <c r="J376" t="s">
        <v>106</v>
      </c>
      <c r="K376" t="s">
        <v>110</v>
      </c>
      <c r="L376" t="s">
        <v>1001</v>
      </c>
      <c r="M376" t="s">
        <v>162</v>
      </c>
      <c r="N376" t="s">
        <v>55</v>
      </c>
      <c r="O376" t="s">
        <v>112</v>
      </c>
    </row>
    <row r="377" spans="1:15" ht="13.8" x14ac:dyDescent="0.25">
      <c r="A377" t="s">
        <v>1002</v>
      </c>
      <c r="B377" t="s">
        <v>255</v>
      </c>
      <c r="C377">
        <v>68</v>
      </c>
      <c r="D377" t="s">
        <v>58</v>
      </c>
      <c r="G377" t="s">
        <v>104</v>
      </c>
      <c r="H377" t="s">
        <v>1003</v>
      </c>
      <c r="I377" s="1">
        <v>45908</v>
      </c>
      <c r="J377" t="s">
        <v>219</v>
      </c>
      <c r="K377" t="s">
        <v>140</v>
      </c>
      <c r="L377" t="s">
        <v>1004</v>
      </c>
      <c r="M377" t="s">
        <v>54</v>
      </c>
      <c r="O377" t="s">
        <v>75</v>
      </c>
    </row>
    <row r="378" spans="1:15" ht="13.8" x14ac:dyDescent="0.25">
      <c r="A378" t="s">
        <v>1005</v>
      </c>
      <c r="B378" t="s">
        <v>619</v>
      </c>
      <c r="C378">
        <v>85</v>
      </c>
      <c r="D378" t="s">
        <v>17</v>
      </c>
      <c r="E378" t="s">
        <v>59</v>
      </c>
      <c r="F378" t="s">
        <v>103</v>
      </c>
      <c r="G378" t="s">
        <v>104</v>
      </c>
      <c r="H378" s="1">
        <v>45844</v>
      </c>
      <c r="J378" t="s">
        <v>106</v>
      </c>
      <c r="K378" t="s">
        <v>110</v>
      </c>
      <c r="L378">
        <v>15445.5</v>
      </c>
      <c r="M378" t="s">
        <v>213</v>
      </c>
      <c r="N378" t="s">
        <v>25</v>
      </c>
      <c r="O378" t="s">
        <v>45</v>
      </c>
    </row>
    <row r="379" spans="1:15" ht="13.8" x14ac:dyDescent="0.25">
      <c r="A379" t="s">
        <v>1006</v>
      </c>
      <c r="B379" t="s">
        <v>1007</v>
      </c>
      <c r="C379">
        <v>38</v>
      </c>
      <c r="D379" t="s">
        <v>58</v>
      </c>
      <c r="E379" t="s">
        <v>155</v>
      </c>
      <c r="F379" t="s">
        <v>50</v>
      </c>
      <c r="G379" t="s">
        <v>51</v>
      </c>
      <c r="H379" s="1">
        <v>45673</v>
      </c>
      <c r="J379" t="s">
        <v>253</v>
      </c>
      <c r="K379" t="s">
        <v>53</v>
      </c>
      <c r="L379">
        <v>229227.12</v>
      </c>
      <c r="M379" t="s">
        <v>84</v>
      </c>
      <c r="N379" t="s">
        <v>74</v>
      </c>
      <c r="O379" t="s">
        <v>45</v>
      </c>
    </row>
    <row r="380" spans="1:15" ht="13.8" x14ac:dyDescent="0.25">
      <c r="A380" t="s">
        <v>1008</v>
      </c>
      <c r="B380" t="s">
        <v>751</v>
      </c>
      <c r="C380">
        <v>59</v>
      </c>
      <c r="D380" t="s">
        <v>17</v>
      </c>
      <c r="E380" t="s">
        <v>155</v>
      </c>
      <c r="F380" t="s">
        <v>165</v>
      </c>
      <c r="G380" t="s">
        <v>302</v>
      </c>
      <c r="H380" s="1">
        <v>45803</v>
      </c>
      <c r="I380" s="1">
        <v>45816</v>
      </c>
      <c r="J380" t="s">
        <v>173</v>
      </c>
      <c r="K380" t="s">
        <v>174</v>
      </c>
      <c r="L380">
        <v>92715.25</v>
      </c>
      <c r="M380" t="s">
        <v>84</v>
      </c>
      <c r="N380" t="s">
        <v>25</v>
      </c>
      <c r="O380" t="s">
        <v>112</v>
      </c>
    </row>
    <row r="381" spans="1:15" ht="13.8" x14ac:dyDescent="0.25">
      <c r="A381" t="s">
        <v>1009</v>
      </c>
      <c r="B381" t="s">
        <v>1010</v>
      </c>
      <c r="D381" t="s">
        <v>17</v>
      </c>
      <c r="E381" t="s">
        <v>72</v>
      </c>
      <c r="G381" t="s">
        <v>256</v>
      </c>
      <c r="H381" s="1">
        <v>45683</v>
      </c>
      <c r="I381" s="1">
        <v>45698</v>
      </c>
      <c r="J381" t="s">
        <v>32</v>
      </c>
      <c r="K381" t="s">
        <v>33</v>
      </c>
      <c r="L381">
        <v>39164.58</v>
      </c>
      <c r="M381" t="s">
        <v>24</v>
      </c>
      <c r="N381" t="s">
        <v>632</v>
      </c>
      <c r="O381" t="s">
        <v>112</v>
      </c>
    </row>
    <row r="382" spans="1:15" ht="13.8" x14ac:dyDescent="0.25">
      <c r="A382" t="s">
        <v>1011</v>
      </c>
      <c r="B382" t="s">
        <v>652</v>
      </c>
      <c r="C382">
        <v>72</v>
      </c>
      <c r="D382" t="s">
        <v>58</v>
      </c>
      <c r="E382" t="s">
        <v>39</v>
      </c>
      <c r="F382" t="s">
        <v>103</v>
      </c>
      <c r="G382" t="s">
        <v>842</v>
      </c>
      <c r="H382" s="1">
        <v>45818</v>
      </c>
      <c r="I382" s="1">
        <v>45832</v>
      </c>
      <c r="J382" t="s">
        <v>249</v>
      </c>
      <c r="K382" t="s">
        <v>250</v>
      </c>
      <c r="L382">
        <v>256933.8</v>
      </c>
      <c r="M382" t="s">
        <v>24</v>
      </c>
      <c r="N382" t="s">
        <v>55</v>
      </c>
      <c r="O382" t="s">
        <v>36</v>
      </c>
    </row>
    <row r="383" spans="1:15" ht="13.8" x14ac:dyDescent="0.25">
      <c r="A383" t="s">
        <v>1012</v>
      </c>
      <c r="B383" t="s">
        <v>639</v>
      </c>
      <c r="C383">
        <v>-75</v>
      </c>
      <c r="D383" t="s">
        <v>58</v>
      </c>
      <c r="E383" t="s">
        <v>466</v>
      </c>
      <c r="F383" t="s">
        <v>165</v>
      </c>
      <c r="G383" t="s">
        <v>172</v>
      </c>
      <c r="H383" t="s">
        <v>485</v>
      </c>
      <c r="I383" s="1">
        <v>45874</v>
      </c>
      <c r="J383" t="s">
        <v>183</v>
      </c>
      <c r="K383" t="s">
        <v>184</v>
      </c>
      <c r="L383">
        <v>236941.7</v>
      </c>
      <c r="M383" t="s">
        <v>118</v>
      </c>
      <c r="N383" t="s">
        <v>55</v>
      </c>
      <c r="O383" t="s">
        <v>112</v>
      </c>
    </row>
    <row r="384" spans="1:15" ht="13.8" x14ac:dyDescent="0.25">
      <c r="A384" t="s">
        <v>1013</v>
      </c>
      <c r="B384" t="s">
        <v>901</v>
      </c>
      <c r="C384">
        <v>999</v>
      </c>
      <c r="D384" t="s">
        <v>17</v>
      </c>
      <c r="E384" t="s">
        <v>155</v>
      </c>
      <c r="F384" t="s">
        <v>30</v>
      </c>
      <c r="G384" t="s">
        <v>121</v>
      </c>
      <c r="H384" s="1">
        <v>45874</v>
      </c>
      <c r="I384" t="s">
        <v>1014</v>
      </c>
      <c r="J384" t="s">
        <v>32</v>
      </c>
      <c r="K384" t="s">
        <v>33</v>
      </c>
      <c r="L384">
        <v>192793.17</v>
      </c>
      <c r="M384" t="s">
        <v>34</v>
      </c>
      <c r="N384" t="s">
        <v>55</v>
      </c>
      <c r="O384" t="s">
        <v>75</v>
      </c>
    </row>
    <row r="385" spans="1:15" ht="13.8" x14ac:dyDescent="0.25">
      <c r="A385" t="s">
        <v>1015</v>
      </c>
      <c r="B385" t="s">
        <v>1016</v>
      </c>
      <c r="C385">
        <v>86</v>
      </c>
      <c r="D385" t="s">
        <v>58</v>
      </c>
      <c r="E385" t="s">
        <v>72</v>
      </c>
      <c r="F385" t="s">
        <v>60</v>
      </c>
      <c r="G385" t="s">
        <v>79</v>
      </c>
      <c r="H385" s="1">
        <v>45898</v>
      </c>
      <c r="I385" s="1">
        <v>45897</v>
      </c>
      <c r="J385" t="s">
        <v>81</v>
      </c>
      <c r="K385" t="s">
        <v>82</v>
      </c>
      <c r="L385">
        <v>266992.5</v>
      </c>
      <c r="M385" t="s">
        <v>68</v>
      </c>
      <c r="N385" t="s">
        <v>69</v>
      </c>
      <c r="O385" t="s">
        <v>75</v>
      </c>
    </row>
    <row r="386" spans="1:15" ht="13.8" x14ac:dyDescent="0.25">
      <c r="A386" t="s">
        <v>1017</v>
      </c>
      <c r="B386" t="s">
        <v>1018</v>
      </c>
      <c r="C386">
        <v>77</v>
      </c>
      <c r="D386" t="s">
        <v>58</v>
      </c>
      <c r="E386" t="s">
        <v>155</v>
      </c>
      <c r="F386" t="s">
        <v>165</v>
      </c>
      <c r="G386" t="s">
        <v>302</v>
      </c>
      <c r="H386" s="1">
        <v>45787</v>
      </c>
      <c r="I386" s="3">
        <v>45802</v>
      </c>
      <c r="J386" t="s">
        <v>183</v>
      </c>
      <c r="K386" t="s">
        <v>184</v>
      </c>
      <c r="L386">
        <v>210266.08</v>
      </c>
      <c r="M386" t="s">
        <v>44</v>
      </c>
      <c r="N386" t="s">
        <v>69</v>
      </c>
      <c r="O386" t="s">
        <v>36</v>
      </c>
    </row>
    <row r="387" spans="1:15" ht="13.8" x14ac:dyDescent="0.25">
      <c r="A387" t="s">
        <v>1019</v>
      </c>
      <c r="B387" t="s">
        <v>1020</v>
      </c>
      <c r="C387">
        <v>59</v>
      </c>
      <c r="D387" t="s">
        <v>17</v>
      </c>
      <c r="E387" t="s">
        <v>155</v>
      </c>
      <c r="F387" t="s">
        <v>60</v>
      </c>
      <c r="H387" s="1">
        <v>45978</v>
      </c>
      <c r="I387" s="1">
        <v>45985</v>
      </c>
      <c r="J387" t="s">
        <v>132</v>
      </c>
      <c r="K387" t="s">
        <v>133</v>
      </c>
      <c r="L387">
        <v>45237.98</v>
      </c>
      <c r="M387" t="s">
        <v>54</v>
      </c>
      <c r="N387" t="s">
        <v>69</v>
      </c>
      <c r="O387" t="s">
        <v>75</v>
      </c>
    </row>
    <row r="388" spans="1:15" ht="13.8" x14ac:dyDescent="0.25">
      <c r="A388" t="s">
        <v>1021</v>
      </c>
      <c r="B388" t="s">
        <v>1022</v>
      </c>
      <c r="C388">
        <v>59</v>
      </c>
      <c r="D388" t="s">
        <v>17</v>
      </c>
      <c r="E388" t="s">
        <v>59</v>
      </c>
      <c r="F388" t="s">
        <v>40</v>
      </c>
      <c r="G388" t="s">
        <v>212</v>
      </c>
      <c r="H388" s="3">
        <v>46017</v>
      </c>
      <c r="I388" s="2">
        <v>46357</v>
      </c>
      <c r="J388" t="s">
        <v>116</v>
      </c>
      <c r="K388" t="s">
        <v>117</v>
      </c>
      <c r="L388" t="s">
        <v>1023</v>
      </c>
      <c r="M388" t="s">
        <v>44</v>
      </c>
      <c r="N388" t="s">
        <v>69</v>
      </c>
      <c r="O388" t="s">
        <v>75</v>
      </c>
    </row>
    <row r="389" spans="1:15" ht="13.8" x14ac:dyDescent="0.25">
      <c r="A389" t="s">
        <v>1024</v>
      </c>
      <c r="B389" t="s">
        <v>1025</v>
      </c>
      <c r="C389">
        <v>45</v>
      </c>
      <c r="D389" t="s">
        <v>58</v>
      </c>
      <c r="E389" t="s">
        <v>39</v>
      </c>
      <c r="F389" t="s">
        <v>19</v>
      </c>
      <c r="G389" t="s">
        <v>127</v>
      </c>
      <c r="H389" s="1">
        <v>45963</v>
      </c>
      <c r="I389" s="1">
        <v>45977</v>
      </c>
      <c r="J389" t="s">
        <v>22</v>
      </c>
      <c r="L389">
        <v>321069.3</v>
      </c>
      <c r="N389" t="s">
        <v>74</v>
      </c>
    </row>
    <row r="390" spans="1:15" ht="13.8" x14ac:dyDescent="0.25">
      <c r="A390" t="s">
        <v>1026</v>
      </c>
      <c r="B390" t="s">
        <v>310</v>
      </c>
      <c r="C390">
        <v>11</v>
      </c>
      <c r="D390" t="s">
        <v>58</v>
      </c>
      <c r="E390" t="s">
        <v>78</v>
      </c>
      <c r="F390" t="s">
        <v>50</v>
      </c>
      <c r="G390" t="s">
        <v>190</v>
      </c>
      <c r="H390" t="s">
        <v>1027</v>
      </c>
      <c r="J390" t="s">
        <v>315</v>
      </c>
      <c r="K390" t="s">
        <v>204</v>
      </c>
      <c r="L390">
        <v>284124.01</v>
      </c>
      <c r="M390" t="s">
        <v>68</v>
      </c>
      <c r="N390" t="s">
        <v>55</v>
      </c>
      <c r="O390" t="s">
        <v>45</v>
      </c>
    </row>
    <row r="391" spans="1:15" ht="13.8" x14ac:dyDescent="0.25">
      <c r="A391" t="s">
        <v>1028</v>
      </c>
      <c r="B391" t="s">
        <v>96</v>
      </c>
      <c r="C391">
        <v>25</v>
      </c>
      <c r="D391" t="s">
        <v>17</v>
      </c>
      <c r="E391" t="s">
        <v>155</v>
      </c>
      <c r="F391" t="s">
        <v>103</v>
      </c>
      <c r="G391" t="s">
        <v>455</v>
      </c>
      <c r="H391" s="1">
        <v>45964</v>
      </c>
      <c r="I391" s="1">
        <v>45974</v>
      </c>
      <c r="J391" t="s">
        <v>249</v>
      </c>
      <c r="K391" t="s">
        <v>250</v>
      </c>
      <c r="L391">
        <v>205456.56</v>
      </c>
      <c r="M391" t="s">
        <v>84</v>
      </c>
      <c r="N391" t="s">
        <v>35</v>
      </c>
      <c r="O391" t="s">
        <v>75</v>
      </c>
    </row>
    <row r="392" spans="1:15" ht="13.8" x14ac:dyDescent="0.25">
      <c r="A392" t="s">
        <v>1029</v>
      </c>
      <c r="B392" t="s">
        <v>1030</v>
      </c>
      <c r="C392">
        <v>12</v>
      </c>
      <c r="D392" t="s">
        <v>58</v>
      </c>
      <c r="E392" t="s">
        <v>18</v>
      </c>
      <c r="F392" t="s">
        <v>40</v>
      </c>
      <c r="G392" t="s">
        <v>156</v>
      </c>
      <c r="H392" s="3">
        <v>45681</v>
      </c>
      <c r="I392" s="2">
        <v>45690</v>
      </c>
      <c r="J392" t="s">
        <v>116</v>
      </c>
      <c r="K392" t="s">
        <v>1031</v>
      </c>
      <c r="L392">
        <v>220121.52</v>
      </c>
      <c r="M392" t="s">
        <v>54</v>
      </c>
      <c r="N392" t="s">
        <v>55</v>
      </c>
      <c r="O392" t="s">
        <v>75</v>
      </c>
    </row>
    <row r="393" spans="1:15" ht="13.8" x14ac:dyDescent="0.25">
      <c r="A393" t="s">
        <v>1032</v>
      </c>
      <c r="B393" t="s">
        <v>1033</v>
      </c>
      <c r="C393">
        <v>66</v>
      </c>
      <c r="D393" t="s">
        <v>58</v>
      </c>
      <c r="E393" t="s">
        <v>137</v>
      </c>
      <c r="F393" t="s">
        <v>19</v>
      </c>
      <c r="G393" t="s">
        <v>127</v>
      </c>
      <c r="H393" t="s">
        <v>1034</v>
      </c>
      <c r="I393" s="3">
        <v>45693</v>
      </c>
      <c r="J393" t="s">
        <v>22</v>
      </c>
      <c r="K393" t="s">
        <v>23</v>
      </c>
      <c r="L393">
        <v>45668.1</v>
      </c>
      <c r="N393" t="s">
        <v>55</v>
      </c>
      <c r="O393" t="s">
        <v>26</v>
      </c>
    </row>
    <row r="394" spans="1:15" ht="13.8" x14ac:dyDescent="0.25">
      <c r="A394" t="s">
        <v>1035</v>
      </c>
      <c r="B394" t="s">
        <v>373</v>
      </c>
      <c r="C394">
        <v>9</v>
      </c>
      <c r="D394" t="s">
        <v>287</v>
      </c>
      <c r="E394" t="s">
        <v>938</v>
      </c>
      <c r="F394" t="s">
        <v>40</v>
      </c>
      <c r="G394" t="s">
        <v>156</v>
      </c>
      <c r="H394" s="1">
        <v>45669</v>
      </c>
      <c r="I394" s="3">
        <v>45683</v>
      </c>
      <c r="J394" t="s">
        <v>42</v>
      </c>
      <c r="K394" t="s">
        <v>43</v>
      </c>
      <c r="L394">
        <v>274018.15999999997</v>
      </c>
      <c r="M394" t="s">
        <v>24</v>
      </c>
      <c r="N394" t="s">
        <v>69</v>
      </c>
      <c r="O394" t="s">
        <v>75</v>
      </c>
    </row>
    <row r="395" spans="1:15" ht="13.8" x14ac:dyDescent="0.25">
      <c r="A395" t="s">
        <v>1036</v>
      </c>
      <c r="B395" t="s">
        <v>334</v>
      </c>
      <c r="C395">
        <v>58</v>
      </c>
      <c r="D395" t="s">
        <v>58</v>
      </c>
      <c r="E395" t="s">
        <v>97</v>
      </c>
      <c r="F395" t="s">
        <v>103</v>
      </c>
      <c r="G395" t="s">
        <v>104</v>
      </c>
      <c r="H395" s="1">
        <v>45703</v>
      </c>
      <c r="I395" s="1">
        <v>45705</v>
      </c>
      <c r="J395" t="s">
        <v>106</v>
      </c>
      <c r="K395" t="s">
        <v>110</v>
      </c>
      <c r="L395">
        <v>258752.78</v>
      </c>
      <c r="M395" t="s">
        <v>34</v>
      </c>
      <c r="N395" t="s">
        <v>35</v>
      </c>
      <c r="O395" t="s">
        <v>26</v>
      </c>
    </row>
    <row r="396" spans="1:15" ht="13.8" x14ac:dyDescent="0.25">
      <c r="A396" t="s">
        <v>1037</v>
      </c>
      <c r="B396" t="s">
        <v>612</v>
      </c>
      <c r="C396">
        <v>62</v>
      </c>
      <c r="D396" t="s">
        <v>17</v>
      </c>
      <c r="E396" t="s">
        <v>72</v>
      </c>
      <c r="F396" t="s">
        <v>60</v>
      </c>
      <c r="G396" t="s">
        <v>177</v>
      </c>
      <c r="H396" s="3">
        <v>45988</v>
      </c>
      <c r="J396" t="s">
        <v>81</v>
      </c>
      <c r="K396" t="s">
        <v>82</v>
      </c>
      <c r="L396">
        <v>331071.07</v>
      </c>
      <c r="M396" t="s">
        <v>84</v>
      </c>
      <c r="N396" t="s">
        <v>74</v>
      </c>
    </row>
    <row r="397" spans="1:15" ht="13.8" x14ac:dyDescent="0.25">
      <c r="A397" t="s">
        <v>1038</v>
      </c>
      <c r="B397" t="s">
        <v>164</v>
      </c>
      <c r="C397">
        <v>78</v>
      </c>
      <c r="D397" t="s">
        <v>58</v>
      </c>
      <c r="E397" t="s">
        <v>97</v>
      </c>
      <c r="F397" t="s">
        <v>103</v>
      </c>
      <c r="G397" t="s">
        <v>455</v>
      </c>
      <c r="H397" s="3">
        <v>45887</v>
      </c>
      <c r="I397" s="1">
        <v>45888</v>
      </c>
      <c r="J397" t="s">
        <v>294</v>
      </c>
      <c r="K397" t="s">
        <v>336</v>
      </c>
      <c r="L397">
        <v>98132.13</v>
      </c>
      <c r="M397" t="s">
        <v>118</v>
      </c>
      <c r="N397" t="s">
        <v>25</v>
      </c>
      <c r="O397" t="s">
        <v>36</v>
      </c>
    </row>
    <row r="398" spans="1:15" ht="13.8" x14ac:dyDescent="0.25">
      <c r="A398" t="s">
        <v>1039</v>
      </c>
      <c r="B398" t="s">
        <v>1040</v>
      </c>
      <c r="C398">
        <v>54</v>
      </c>
      <c r="D398" t="s">
        <v>48</v>
      </c>
      <c r="E398" t="s">
        <v>39</v>
      </c>
      <c r="F398" t="s">
        <v>165</v>
      </c>
      <c r="G398" t="s">
        <v>302</v>
      </c>
      <c r="H398" s="3">
        <v>45892</v>
      </c>
      <c r="I398" s="1">
        <v>45901</v>
      </c>
      <c r="J398" t="s">
        <v>183</v>
      </c>
      <c r="K398" t="s">
        <v>184</v>
      </c>
      <c r="L398">
        <v>-251314.05</v>
      </c>
      <c r="M398" t="s">
        <v>68</v>
      </c>
      <c r="O398" t="s">
        <v>75</v>
      </c>
    </row>
    <row r="399" spans="1:15" ht="13.8" x14ac:dyDescent="0.25">
      <c r="A399" t="s">
        <v>1041</v>
      </c>
      <c r="B399" t="s">
        <v>526</v>
      </c>
      <c r="C399">
        <v>65</v>
      </c>
      <c r="D399" t="s">
        <v>339</v>
      </c>
      <c r="E399" t="s">
        <v>97</v>
      </c>
      <c r="F399" t="s">
        <v>50</v>
      </c>
      <c r="G399" t="s">
        <v>300</v>
      </c>
      <c r="H399" t="s">
        <v>392</v>
      </c>
      <c r="I399" s="1">
        <v>45988</v>
      </c>
      <c r="J399" t="s">
        <v>191</v>
      </c>
      <c r="K399" t="s">
        <v>192</v>
      </c>
      <c r="L399" t="s">
        <v>1042</v>
      </c>
      <c r="M399" t="s">
        <v>84</v>
      </c>
      <c r="N399" t="s">
        <v>69</v>
      </c>
      <c r="O399" t="s">
        <v>633</v>
      </c>
    </row>
    <row r="400" spans="1:15" ht="13.8" x14ac:dyDescent="0.25">
      <c r="A400" t="s">
        <v>1043</v>
      </c>
      <c r="B400" t="s">
        <v>1044</v>
      </c>
      <c r="C400">
        <v>85</v>
      </c>
      <c r="D400" t="s">
        <v>29</v>
      </c>
      <c r="E400" t="s">
        <v>18</v>
      </c>
      <c r="F400" t="s">
        <v>60</v>
      </c>
      <c r="G400" t="s">
        <v>177</v>
      </c>
      <c r="H400" s="1">
        <v>45738</v>
      </c>
      <c r="I400" s="1">
        <v>45756</v>
      </c>
      <c r="J400" t="s">
        <v>263</v>
      </c>
      <c r="K400" t="s">
        <v>264</v>
      </c>
      <c r="L400">
        <v>269120.03999999998</v>
      </c>
      <c r="M400" t="s">
        <v>24</v>
      </c>
      <c r="O400" t="s">
        <v>26</v>
      </c>
    </row>
    <row r="401" spans="1:15" ht="13.8" x14ac:dyDescent="0.25">
      <c r="A401" t="s">
        <v>1045</v>
      </c>
      <c r="B401" t="s">
        <v>538</v>
      </c>
      <c r="C401">
        <v>32</v>
      </c>
      <c r="D401" t="s">
        <v>58</v>
      </c>
      <c r="E401" t="s">
        <v>102</v>
      </c>
      <c r="F401" t="s">
        <v>103</v>
      </c>
      <c r="G401" t="s">
        <v>138</v>
      </c>
      <c r="H401" s="1">
        <v>45894</v>
      </c>
      <c r="I401" s="1">
        <v>45896</v>
      </c>
      <c r="J401" t="s">
        <v>219</v>
      </c>
      <c r="K401" t="s">
        <v>140</v>
      </c>
      <c r="L401">
        <v>147820.29</v>
      </c>
      <c r="M401" t="s">
        <v>24</v>
      </c>
      <c r="N401" t="s">
        <v>25</v>
      </c>
      <c r="O401" t="s">
        <v>36</v>
      </c>
    </row>
    <row r="402" spans="1:15" ht="13.8" x14ac:dyDescent="0.25">
      <c r="A402" t="s">
        <v>1046</v>
      </c>
      <c r="B402" t="s">
        <v>1040</v>
      </c>
      <c r="C402">
        <v>31</v>
      </c>
      <c r="D402" t="s">
        <v>58</v>
      </c>
      <c r="E402" t="s">
        <v>502</v>
      </c>
      <c r="F402" t="s">
        <v>30</v>
      </c>
      <c r="G402" t="s">
        <v>256</v>
      </c>
      <c r="H402" s="1">
        <v>45906</v>
      </c>
      <c r="I402" s="2">
        <v>45878</v>
      </c>
      <c r="J402" t="s">
        <v>1047</v>
      </c>
      <c r="K402" t="s">
        <v>229</v>
      </c>
      <c r="L402">
        <v>310729.95</v>
      </c>
      <c r="M402" t="s">
        <v>84</v>
      </c>
      <c r="N402" t="s">
        <v>25</v>
      </c>
      <c r="O402" t="s">
        <v>75</v>
      </c>
    </row>
    <row r="403" spans="1:15" ht="13.8" x14ac:dyDescent="0.25">
      <c r="A403" t="s">
        <v>1048</v>
      </c>
      <c r="B403" t="s">
        <v>1049</v>
      </c>
      <c r="C403">
        <v>34</v>
      </c>
      <c r="D403" t="s">
        <v>17</v>
      </c>
      <c r="E403" t="s">
        <v>39</v>
      </c>
      <c r="F403" t="s">
        <v>40</v>
      </c>
      <c r="G403" t="s">
        <v>212</v>
      </c>
      <c r="H403" s="1">
        <v>45962</v>
      </c>
      <c r="I403" s="1">
        <v>45971</v>
      </c>
      <c r="J403" t="s">
        <v>116</v>
      </c>
      <c r="K403" t="s">
        <v>117</v>
      </c>
      <c r="L403" t="s">
        <v>1050</v>
      </c>
      <c r="M403" t="s">
        <v>68</v>
      </c>
      <c r="N403" t="s">
        <v>55</v>
      </c>
      <c r="O403" t="s">
        <v>36</v>
      </c>
    </row>
    <row r="404" spans="1:15" ht="13.8" x14ac:dyDescent="0.25">
      <c r="A404" t="s">
        <v>1051</v>
      </c>
      <c r="B404" t="s">
        <v>804</v>
      </c>
      <c r="C404">
        <v>7</v>
      </c>
      <c r="D404" t="s">
        <v>58</v>
      </c>
      <c r="E404" t="s">
        <v>39</v>
      </c>
      <c r="F404" t="s">
        <v>165</v>
      </c>
      <c r="G404" t="s">
        <v>166</v>
      </c>
      <c r="H404" s="3">
        <v>45989</v>
      </c>
      <c r="J404" t="s">
        <v>222</v>
      </c>
      <c r="K404" t="s">
        <v>223</v>
      </c>
      <c r="L404">
        <v>316907.76</v>
      </c>
      <c r="M404" t="s">
        <v>24</v>
      </c>
      <c r="N404" t="s">
        <v>25</v>
      </c>
      <c r="O404" t="s">
        <v>45</v>
      </c>
    </row>
    <row r="405" spans="1:15" ht="13.8" x14ac:dyDescent="0.25">
      <c r="A405" t="s">
        <v>1052</v>
      </c>
      <c r="B405" t="s">
        <v>331</v>
      </c>
      <c r="C405">
        <v>69</v>
      </c>
      <c r="D405" t="s">
        <v>58</v>
      </c>
      <c r="E405" t="s">
        <v>102</v>
      </c>
      <c r="F405" t="s">
        <v>19</v>
      </c>
      <c r="I405" s="3">
        <v>45931</v>
      </c>
      <c r="J405" t="s">
        <v>22</v>
      </c>
      <c r="K405" t="s">
        <v>23</v>
      </c>
      <c r="L405">
        <v>142969.68</v>
      </c>
      <c r="M405" t="s">
        <v>213</v>
      </c>
      <c r="N405" t="s">
        <v>74</v>
      </c>
      <c r="O405" t="s">
        <v>112</v>
      </c>
    </row>
    <row r="406" spans="1:15" ht="13.8" x14ac:dyDescent="0.25">
      <c r="A406" t="s">
        <v>1053</v>
      </c>
      <c r="B406" t="s">
        <v>501</v>
      </c>
      <c r="C406">
        <v>35</v>
      </c>
      <c r="D406" t="s">
        <v>17</v>
      </c>
      <c r="E406" t="s">
        <v>49</v>
      </c>
      <c r="F406" t="s">
        <v>60</v>
      </c>
      <c r="G406" t="s">
        <v>79</v>
      </c>
      <c r="H406" s="1">
        <v>45985</v>
      </c>
      <c r="I406" t="s">
        <v>1054</v>
      </c>
      <c r="J406" t="s">
        <v>62</v>
      </c>
      <c r="K406" t="s">
        <v>63</v>
      </c>
      <c r="L406">
        <v>319510.84000000003</v>
      </c>
      <c r="M406" t="s">
        <v>68</v>
      </c>
      <c r="N406" t="s">
        <v>69</v>
      </c>
      <c r="O406" t="s">
        <v>26</v>
      </c>
    </row>
    <row r="407" spans="1:15" ht="13.8" x14ac:dyDescent="0.25">
      <c r="A407" t="s">
        <v>1055</v>
      </c>
      <c r="B407" t="s">
        <v>338</v>
      </c>
      <c r="C407">
        <v>67</v>
      </c>
      <c r="D407" t="s">
        <v>17</v>
      </c>
      <c r="E407" t="s">
        <v>39</v>
      </c>
      <c r="F407" t="s">
        <v>19</v>
      </c>
      <c r="G407" t="s">
        <v>20</v>
      </c>
      <c r="H407" s="3">
        <v>45663</v>
      </c>
      <c r="I407" s="1">
        <v>45677</v>
      </c>
      <c r="J407" t="s">
        <v>366</v>
      </c>
      <c r="K407" t="s">
        <v>367</v>
      </c>
      <c r="L407" t="s">
        <v>1056</v>
      </c>
      <c r="M407" t="s">
        <v>68</v>
      </c>
      <c r="N407" t="s">
        <v>35</v>
      </c>
      <c r="O407" t="s">
        <v>36</v>
      </c>
    </row>
    <row r="408" spans="1:15" ht="13.8" x14ac:dyDescent="0.25">
      <c r="A408" t="s">
        <v>1057</v>
      </c>
      <c r="B408" t="s">
        <v>1058</v>
      </c>
      <c r="C408">
        <v>40</v>
      </c>
      <c r="D408" t="s">
        <v>17</v>
      </c>
      <c r="E408" t="s">
        <v>59</v>
      </c>
      <c r="F408" t="s">
        <v>165</v>
      </c>
      <c r="G408" t="s">
        <v>1059</v>
      </c>
      <c r="H408" s="1">
        <v>45751</v>
      </c>
      <c r="J408" t="s">
        <v>183</v>
      </c>
      <c r="K408" t="s">
        <v>184</v>
      </c>
      <c r="L408">
        <v>165777.60000000001</v>
      </c>
      <c r="M408" t="s">
        <v>84</v>
      </c>
      <c r="N408" t="s">
        <v>74</v>
      </c>
      <c r="O408" t="s">
        <v>45</v>
      </c>
    </row>
    <row r="409" spans="1:15" ht="13.8" x14ac:dyDescent="0.25">
      <c r="A409" t="s">
        <v>1060</v>
      </c>
      <c r="B409" t="s">
        <v>1061</v>
      </c>
      <c r="C409">
        <v>78</v>
      </c>
      <c r="D409" t="s">
        <v>17</v>
      </c>
      <c r="E409" t="s">
        <v>97</v>
      </c>
      <c r="F409" t="s">
        <v>19</v>
      </c>
      <c r="G409" t="s">
        <v>196</v>
      </c>
      <c r="H409" s="2">
        <v>45904</v>
      </c>
      <c r="I409" t="s">
        <v>970</v>
      </c>
      <c r="J409" t="s">
        <v>22</v>
      </c>
      <c r="K409" t="s">
        <v>23</v>
      </c>
      <c r="L409">
        <v>190444.94</v>
      </c>
      <c r="M409" t="s">
        <v>68</v>
      </c>
      <c r="N409" t="s">
        <v>35</v>
      </c>
    </row>
    <row r="410" spans="1:15" ht="13.8" x14ac:dyDescent="0.25">
      <c r="A410" t="s">
        <v>1062</v>
      </c>
      <c r="B410" t="s">
        <v>579</v>
      </c>
      <c r="C410">
        <v>14</v>
      </c>
      <c r="D410" t="s">
        <v>17</v>
      </c>
      <c r="E410" t="s">
        <v>72</v>
      </c>
      <c r="F410" t="s">
        <v>30</v>
      </c>
      <c r="G410" t="s">
        <v>121</v>
      </c>
      <c r="H410" t="s">
        <v>492</v>
      </c>
      <c r="J410" t="s">
        <v>32</v>
      </c>
      <c r="K410" t="s">
        <v>33</v>
      </c>
      <c r="L410">
        <v>107567.59</v>
      </c>
      <c r="M410" t="s">
        <v>54</v>
      </c>
      <c r="N410" t="s">
        <v>69</v>
      </c>
      <c r="O410" t="s">
        <v>45</v>
      </c>
    </row>
    <row r="411" spans="1:15" ht="13.8" x14ac:dyDescent="0.25">
      <c r="A411" t="s">
        <v>1063</v>
      </c>
      <c r="C411">
        <v>45</v>
      </c>
      <c r="D411" t="s">
        <v>58</v>
      </c>
      <c r="E411" t="s">
        <v>97</v>
      </c>
      <c r="F411" t="s">
        <v>30</v>
      </c>
      <c r="G411" t="s">
        <v>31</v>
      </c>
      <c r="H411" s="1">
        <v>45845</v>
      </c>
      <c r="J411" t="s">
        <v>32</v>
      </c>
      <c r="K411" t="s">
        <v>33</v>
      </c>
      <c r="L411" t="s">
        <v>1064</v>
      </c>
      <c r="M411" t="s">
        <v>68</v>
      </c>
      <c r="N411" t="s">
        <v>74</v>
      </c>
      <c r="O411" t="s">
        <v>45</v>
      </c>
    </row>
    <row r="412" spans="1:15" ht="13.8" x14ac:dyDescent="0.25">
      <c r="A412" t="s">
        <v>1065</v>
      </c>
      <c r="B412" t="s">
        <v>1066</v>
      </c>
      <c r="C412">
        <v>5</v>
      </c>
      <c r="D412" t="s">
        <v>58</v>
      </c>
      <c r="E412" t="s">
        <v>155</v>
      </c>
      <c r="F412" t="s">
        <v>40</v>
      </c>
      <c r="G412" t="s">
        <v>212</v>
      </c>
      <c r="H412" s="3">
        <v>45909</v>
      </c>
      <c r="I412" s="1">
        <v>45912</v>
      </c>
      <c r="J412" t="s">
        <v>116</v>
      </c>
      <c r="K412" t="s">
        <v>117</v>
      </c>
      <c r="M412" t="s">
        <v>34</v>
      </c>
      <c r="O412" t="s">
        <v>26</v>
      </c>
    </row>
    <row r="413" spans="1:15" ht="13.8" x14ac:dyDescent="0.25">
      <c r="A413" t="s">
        <v>1067</v>
      </c>
      <c r="B413" t="s">
        <v>1068</v>
      </c>
      <c r="C413">
        <v>47</v>
      </c>
      <c r="D413" t="s">
        <v>58</v>
      </c>
      <c r="E413" t="s">
        <v>18</v>
      </c>
      <c r="F413" t="s">
        <v>30</v>
      </c>
      <c r="G413" t="s">
        <v>31</v>
      </c>
      <c r="J413" t="s">
        <v>32</v>
      </c>
      <c r="K413" t="s">
        <v>33</v>
      </c>
      <c r="L413" t="s">
        <v>1069</v>
      </c>
      <c r="M413" t="s">
        <v>118</v>
      </c>
      <c r="N413" t="s">
        <v>74</v>
      </c>
      <c r="O413" t="s">
        <v>45</v>
      </c>
    </row>
    <row r="414" spans="1:15" ht="13.8" x14ac:dyDescent="0.25">
      <c r="A414" t="s">
        <v>1070</v>
      </c>
      <c r="C414">
        <v>-47</v>
      </c>
      <c r="D414" t="s">
        <v>29</v>
      </c>
      <c r="E414" t="s">
        <v>692</v>
      </c>
      <c r="F414" t="s">
        <v>103</v>
      </c>
      <c r="G414" t="s">
        <v>138</v>
      </c>
      <c r="H414" s="1">
        <v>45722</v>
      </c>
      <c r="J414" t="s">
        <v>249</v>
      </c>
      <c r="K414" t="s">
        <v>250</v>
      </c>
      <c r="L414">
        <v>72763.16</v>
      </c>
      <c r="M414" t="s">
        <v>34</v>
      </c>
      <c r="N414" t="s">
        <v>25</v>
      </c>
      <c r="O414" t="s">
        <v>45</v>
      </c>
    </row>
    <row r="415" spans="1:15" ht="13.8" x14ac:dyDescent="0.25">
      <c r="A415" t="s">
        <v>1071</v>
      </c>
      <c r="B415" t="s">
        <v>285</v>
      </c>
      <c r="C415" t="s">
        <v>626</v>
      </c>
      <c r="D415" t="s">
        <v>17</v>
      </c>
      <c r="E415" t="s">
        <v>102</v>
      </c>
      <c r="F415" t="s">
        <v>40</v>
      </c>
      <c r="G415" t="s">
        <v>212</v>
      </c>
      <c r="H415" s="1">
        <v>45874</v>
      </c>
      <c r="I415" s="2">
        <v>45969</v>
      </c>
      <c r="J415" t="s">
        <v>93</v>
      </c>
      <c r="K415" t="s">
        <v>94</v>
      </c>
      <c r="L415">
        <v>177051.77</v>
      </c>
      <c r="M415" t="s">
        <v>68</v>
      </c>
      <c r="N415" t="s">
        <v>85</v>
      </c>
      <c r="O415" t="s">
        <v>26</v>
      </c>
    </row>
    <row r="416" spans="1:15" ht="13.8" x14ac:dyDescent="0.25">
      <c r="A416" t="s">
        <v>1072</v>
      </c>
      <c r="B416" t="s">
        <v>317</v>
      </c>
      <c r="C416">
        <v>65</v>
      </c>
      <c r="D416" t="s">
        <v>58</v>
      </c>
      <c r="E416" t="s">
        <v>938</v>
      </c>
      <c r="F416" t="s">
        <v>60</v>
      </c>
      <c r="G416" t="s">
        <v>79</v>
      </c>
      <c r="H416" s="1">
        <v>45938</v>
      </c>
      <c r="I416" s="1">
        <v>45954</v>
      </c>
      <c r="K416" t="s">
        <v>82</v>
      </c>
      <c r="L416">
        <v>51762.55</v>
      </c>
      <c r="M416" t="s">
        <v>54</v>
      </c>
      <c r="N416" t="s">
        <v>35</v>
      </c>
      <c r="O416" t="s">
        <v>75</v>
      </c>
    </row>
    <row r="417" spans="1:15" ht="13.8" x14ac:dyDescent="0.25">
      <c r="A417" t="s">
        <v>1073</v>
      </c>
      <c r="B417" t="s">
        <v>1074</v>
      </c>
      <c r="C417">
        <v>-64</v>
      </c>
      <c r="D417" t="s">
        <v>17</v>
      </c>
      <c r="E417" t="s">
        <v>72</v>
      </c>
      <c r="F417" t="s">
        <v>50</v>
      </c>
      <c r="G417" t="s">
        <v>51</v>
      </c>
      <c r="H417" s="1">
        <v>45978</v>
      </c>
      <c r="I417" t="s">
        <v>361</v>
      </c>
      <c r="J417" t="s">
        <v>315</v>
      </c>
      <c r="K417" t="s">
        <v>204</v>
      </c>
      <c r="L417" t="s">
        <v>1075</v>
      </c>
      <c r="M417" t="s">
        <v>84</v>
      </c>
      <c r="N417" t="s">
        <v>69</v>
      </c>
      <c r="O417" t="s">
        <v>36</v>
      </c>
    </row>
    <row r="418" spans="1:15" ht="13.8" x14ac:dyDescent="0.25">
      <c r="B418" t="s">
        <v>275</v>
      </c>
      <c r="C418">
        <v>82</v>
      </c>
      <c r="D418" t="s">
        <v>17</v>
      </c>
      <c r="E418" t="s">
        <v>155</v>
      </c>
      <c r="F418" t="s">
        <v>60</v>
      </c>
      <c r="H418" t="s">
        <v>1076</v>
      </c>
      <c r="I418" s="3">
        <v>45956</v>
      </c>
      <c r="J418" t="s">
        <v>263</v>
      </c>
      <c r="K418" t="s">
        <v>264</v>
      </c>
      <c r="L418">
        <v>221457.33</v>
      </c>
      <c r="M418" t="s">
        <v>44</v>
      </c>
      <c r="N418" t="s">
        <v>55</v>
      </c>
      <c r="O418" t="s">
        <v>26</v>
      </c>
    </row>
    <row r="419" spans="1:15" ht="13.8" x14ac:dyDescent="0.25">
      <c r="A419" t="s">
        <v>1077</v>
      </c>
      <c r="B419" t="s">
        <v>327</v>
      </c>
      <c r="C419">
        <v>38</v>
      </c>
      <c r="D419" t="s">
        <v>58</v>
      </c>
      <c r="E419" t="s">
        <v>78</v>
      </c>
      <c r="F419" t="s">
        <v>50</v>
      </c>
      <c r="G419" t="s">
        <v>51</v>
      </c>
      <c r="H419" s="1">
        <v>45877</v>
      </c>
      <c r="I419" s="1">
        <v>45883</v>
      </c>
      <c r="J419" t="s">
        <v>332</v>
      </c>
      <c r="K419" t="s">
        <v>383</v>
      </c>
      <c r="L419" t="s">
        <v>1078</v>
      </c>
      <c r="M419" t="s">
        <v>68</v>
      </c>
      <c r="N419" t="s">
        <v>25</v>
      </c>
      <c r="O419" t="s">
        <v>112</v>
      </c>
    </row>
    <row r="420" spans="1:15" ht="13.8" x14ac:dyDescent="0.25">
      <c r="A420" t="s">
        <v>1079</v>
      </c>
      <c r="B420" t="s">
        <v>726</v>
      </c>
      <c r="C420">
        <v>17</v>
      </c>
      <c r="D420" t="s">
        <v>17</v>
      </c>
      <c r="E420" t="s">
        <v>18</v>
      </c>
      <c r="F420" t="s">
        <v>165</v>
      </c>
      <c r="G420" t="s">
        <v>302</v>
      </c>
      <c r="H420" s="1">
        <v>45850</v>
      </c>
      <c r="J420" t="s">
        <v>222</v>
      </c>
      <c r="K420" t="s">
        <v>223</v>
      </c>
      <c r="L420">
        <v>154474.9</v>
      </c>
      <c r="M420" t="s">
        <v>118</v>
      </c>
      <c r="N420" t="s">
        <v>55</v>
      </c>
      <c r="O420" t="s">
        <v>45</v>
      </c>
    </row>
    <row r="421" spans="1:15" ht="13.8" x14ac:dyDescent="0.25">
      <c r="A421" t="s">
        <v>1080</v>
      </c>
      <c r="B421" t="s">
        <v>991</v>
      </c>
      <c r="C421">
        <v>28</v>
      </c>
      <c r="D421" t="s">
        <v>58</v>
      </c>
      <c r="E421" t="s">
        <v>78</v>
      </c>
      <c r="F421" t="s">
        <v>165</v>
      </c>
      <c r="G421" t="s">
        <v>172</v>
      </c>
      <c r="H421" s="1">
        <v>45943</v>
      </c>
      <c r="J421" t="s">
        <v>222</v>
      </c>
      <c r="K421" t="s">
        <v>223</v>
      </c>
      <c r="L421">
        <v>-271072.07</v>
      </c>
      <c r="M421" t="s">
        <v>24</v>
      </c>
      <c r="N421" t="s">
        <v>69</v>
      </c>
      <c r="O421" t="s">
        <v>260</v>
      </c>
    </row>
    <row r="422" spans="1:15" ht="13.8" x14ac:dyDescent="0.25">
      <c r="A422" t="s">
        <v>1081</v>
      </c>
      <c r="B422" t="s">
        <v>109</v>
      </c>
      <c r="C422">
        <v>78</v>
      </c>
      <c r="D422" t="s">
        <v>58</v>
      </c>
      <c r="F422" t="s">
        <v>30</v>
      </c>
      <c r="G422" t="s">
        <v>31</v>
      </c>
      <c r="H422" s="3">
        <v>45773</v>
      </c>
      <c r="I422" s="1">
        <v>45791</v>
      </c>
      <c r="J422" t="s">
        <v>88</v>
      </c>
      <c r="K422" t="s">
        <v>89</v>
      </c>
      <c r="M422" t="s">
        <v>68</v>
      </c>
      <c r="N422" t="s">
        <v>55</v>
      </c>
      <c r="O422" t="s">
        <v>75</v>
      </c>
    </row>
    <row r="423" spans="1:15" ht="13.8" x14ac:dyDescent="0.25">
      <c r="A423" t="s">
        <v>1082</v>
      </c>
      <c r="B423" t="s">
        <v>1083</v>
      </c>
      <c r="C423">
        <v>78</v>
      </c>
      <c r="D423" t="s">
        <v>17</v>
      </c>
      <c r="E423" t="s">
        <v>59</v>
      </c>
      <c r="F423" t="s">
        <v>221</v>
      </c>
      <c r="G423" t="s">
        <v>302</v>
      </c>
      <c r="H423" t="s">
        <v>805</v>
      </c>
      <c r="J423" t="s">
        <v>620</v>
      </c>
      <c r="L423">
        <v>218396.94</v>
      </c>
      <c r="M423" t="s">
        <v>213</v>
      </c>
      <c r="N423" t="s">
        <v>69</v>
      </c>
      <c r="O423" t="s">
        <v>45</v>
      </c>
    </row>
    <row r="424" spans="1:15" ht="13.8" x14ac:dyDescent="0.25">
      <c r="A424" t="s">
        <v>1084</v>
      </c>
      <c r="B424" t="s">
        <v>649</v>
      </c>
      <c r="C424">
        <v>86</v>
      </c>
      <c r="D424" t="s">
        <v>17</v>
      </c>
      <c r="E424" t="s">
        <v>49</v>
      </c>
      <c r="G424" t="s">
        <v>104</v>
      </c>
      <c r="H424" s="3">
        <v>45899</v>
      </c>
      <c r="I424" s="1">
        <v>45911</v>
      </c>
      <c r="J424" t="s">
        <v>106</v>
      </c>
      <c r="K424" t="s">
        <v>110</v>
      </c>
      <c r="L424">
        <v>47767.94</v>
      </c>
      <c r="M424" t="s">
        <v>44</v>
      </c>
      <c r="N424" t="s">
        <v>25</v>
      </c>
      <c r="O424" t="s">
        <v>112</v>
      </c>
    </row>
    <row r="425" spans="1:15" ht="13.8" x14ac:dyDescent="0.25">
      <c r="A425" t="s">
        <v>1085</v>
      </c>
      <c r="B425" t="s">
        <v>590</v>
      </c>
      <c r="C425">
        <v>78</v>
      </c>
      <c r="D425" t="s">
        <v>58</v>
      </c>
      <c r="E425" t="s">
        <v>102</v>
      </c>
      <c r="F425" t="s">
        <v>40</v>
      </c>
      <c r="G425" t="s">
        <v>212</v>
      </c>
      <c r="H425" s="1">
        <v>45745</v>
      </c>
      <c r="I425" s="3">
        <v>45751</v>
      </c>
      <c r="J425" t="s">
        <v>238</v>
      </c>
      <c r="K425" t="s">
        <v>67</v>
      </c>
      <c r="L425">
        <v>42917.919999999998</v>
      </c>
      <c r="M425" t="s">
        <v>118</v>
      </c>
      <c r="N425" t="s">
        <v>69</v>
      </c>
      <c r="O425" t="s">
        <v>75</v>
      </c>
    </row>
    <row r="426" spans="1:15" ht="13.8" x14ac:dyDescent="0.25">
      <c r="A426" t="s">
        <v>1086</v>
      </c>
      <c r="B426" t="s">
        <v>431</v>
      </c>
      <c r="C426">
        <v>57</v>
      </c>
      <c r="D426" t="s">
        <v>17</v>
      </c>
      <c r="E426" t="s">
        <v>72</v>
      </c>
      <c r="F426" t="s">
        <v>165</v>
      </c>
      <c r="G426" t="s">
        <v>172</v>
      </c>
      <c r="H426" s="1">
        <v>45675</v>
      </c>
      <c r="I426" s="1">
        <v>45690</v>
      </c>
      <c r="J426" t="s">
        <v>168</v>
      </c>
      <c r="K426" t="s">
        <v>169</v>
      </c>
      <c r="L426">
        <v>276405.78000000003</v>
      </c>
      <c r="M426" t="s">
        <v>34</v>
      </c>
      <c r="O426" t="s">
        <v>36</v>
      </c>
    </row>
    <row r="427" spans="1:15" ht="13.8" x14ac:dyDescent="0.25">
      <c r="A427" t="s">
        <v>1087</v>
      </c>
      <c r="B427" t="s">
        <v>928</v>
      </c>
      <c r="C427">
        <v>32</v>
      </c>
      <c r="D427" t="s">
        <v>58</v>
      </c>
      <c r="E427" t="s">
        <v>78</v>
      </c>
      <c r="F427" t="s">
        <v>60</v>
      </c>
      <c r="G427" t="s">
        <v>177</v>
      </c>
      <c r="H427" s="1">
        <v>45903</v>
      </c>
      <c r="I427" s="2">
        <v>45878</v>
      </c>
      <c r="J427" t="s">
        <v>132</v>
      </c>
      <c r="K427" t="s">
        <v>133</v>
      </c>
      <c r="L427" t="s">
        <v>1088</v>
      </c>
      <c r="M427" t="s">
        <v>118</v>
      </c>
      <c r="N427" t="s">
        <v>35</v>
      </c>
      <c r="O427" t="s">
        <v>75</v>
      </c>
    </row>
    <row r="428" spans="1:15" ht="13.8" x14ac:dyDescent="0.25">
      <c r="A428" t="s">
        <v>1089</v>
      </c>
      <c r="B428" t="s">
        <v>1090</v>
      </c>
      <c r="C428">
        <v>83</v>
      </c>
      <c r="D428" t="s">
        <v>17</v>
      </c>
      <c r="E428" t="s">
        <v>72</v>
      </c>
      <c r="F428" t="s">
        <v>50</v>
      </c>
      <c r="G428" t="s">
        <v>190</v>
      </c>
      <c r="H428" s="1">
        <v>45933</v>
      </c>
      <c r="I428" s="1">
        <v>45945</v>
      </c>
      <c r="J428" t="s">
        <v>203</v>
      </c>
      <c r="K428" t="s">
        <v>204</v>
      </c>
      <c r="L428">
        <v>243996.75</v>
      </c>
      <c r="N428" t="s">
        <v>69</v>
      </c>
      <c r="O428" t="s">
        <v>75</v>
      </c>
    </row>
    <row r="429" spans="1:15" ht="13.8" x14ac:dyDescent="0.25">
      <c r="A429" t="s">
        <v>1091</v>
      </c>
      <c r="C429">
        <v>21</v>
      </c>
      <c r="D429" t="s">
        <v>17</v>
      </c>
      <c r="E429" t="s">
        <v>102</v>
      </c>
      <c r="F429" t="s">
        <v>165</v>
      </c>
      <c r="G429" t="s">
        <v>172</v>
      </c>
      <c r="H429" s="3">
        <v>45698</v>
      </c>
      <c r="J429" t="s">
        <v>222</v>
      </c>
      <c r="K429" t="s">
        <v>223</v>
      </c>
      <c r="L429">
        <v>27887.200000000001</v>
      </c>
      <c r="N429" t="s">
        <v>35</v>
      </c>
      <c r="O429" t="s">
        <v>539</v>
      </c>
    </row>
    <row r="430" spans="1:15" ht="13.8" x14ac:dyDescent="0.25">
      <c r="A430" t="s">
        <v>1092</v>
      </c>
      <c r="B430" t="s">
        <v>1093</v>
      </c>
      <c r="C430">
        <v>48</v>
      </c>
      <c r="D430" t="s">
        <v>17</v>
      </c>
      <c r="E430" t="s">
        <v>137</v>
      </c>
      <c r="F430" t="s">
        <v>30</v>
      </c>
      <c r="G430" t="s">
        <v>256</v>
      </c>
      <c r="H430" s="3">
        <v>45892</v>
      </c>
      <c r="I430" s="1">
        <v>45906</v>
      </c>
      <c r="J430" t="s">
        <v>32</v>
      </c>
      <c r="K430" t="s">
        <v>33</v>
      </c>
      <c r="L430">
        <v>94685.56</v>
      </c>
      <c r="M430" t="s">
        <v>54</v>
      </c>
      <c r="N430" t="s">
        <v>55</v>
      </c>
      <c r="O430" t="s">
        <v>75</v>
      </c>
    </row>
    <row r="431" spans="1:15" ht="13.8" x14ac:dyDescent="0.25">
      <c r="A431" t="s">
        <v>1094</v>
      </c>
      <c r="B431" t="s">
        <v>991</v>
      </c>
      <c r="C431">
        <v>28</v>
      </c>
      <c r="D431" t="s">
        <v>58</v>
      </c>
      <c r="E431" t="s">
        <v>102</v>
      </c>
      <c r="F431" t="s">
        <v>19</v>
      </c>
      <c r="G431" t="s">
        <v>196</v>
      </c>
      <c r="H431" s="1">
        <v>45718</v>
      </c>
      <c r="I431" s="1">
        <v>45721</v>
      </c>
      <c r="J431" t="s">
        <v>22</v>
      </c>
      <c r="K431" t="s">
        <v>23</v>
      </c>
      <c r="L431">
        <v>297160.62</v>
      </c>
      <c r="M431" t="s">
        <v>213</v>
      </c>
      <c r="N431" t="s">
        <v>35</v>
      </c>
      <c r="O431" t="s">
        <v>633</v>
      </c>
    </row>
    <row r="432" spans="1:15" ht="13.8" x14ac:dyDescent="0.25">
      <c r="A432" t="s">
        <v>1095</v>
      </c>
      <c r="B432" t="s">
        <v>770</v>
      </c>
      <c r="C432">
        <v>2</v>
      </c>
      <c r="D432" t="s">
        <v>287</v>
      </c>
      <c r="E432" t="s">
        <v>102</v>
      </c>
      <c r="G432" t="s">
        <v>172</v>
      </c>
      <c r="H432" s="1">
        <v>45866</v>
      </c>
      <c r="I432" s="1">
        <v>45881</v>
      </c>
      <c r="J432" t="s">
        <v>168</v>
      </c>
      <c r="K432" t="s">
        <v>169</v>
      </c>
      <c r="L432">
        <v>226360.94</v>
      </c>
      <c r="M432" t="s">
        <v>54</v>
      </c>
      <c r="N432" t="s">
        <v>74</v>
      </c>
      <c r="O432" t="s">
        <v>112</v>
      </c>
    </row>
    <row r="433" spans="1:15" ht="13.8" x14ac:dyDescent="0.25">
      <c r="A433" t="s">
        <v>1096</v>
      </c>
      <c r="B433" t="s">
        <v>979</v>
      </c>
      <c r="C433">
        <v>19</v>
      </c>
      <c r="D433" t="s">
        <v>17</v>
      </c>
      <c r="E433" t="s">
        <v>102</v>
      </c>
      <c r="F433" t="s">
        <v>30</v>
      </c>
      <c r="G433" t="s">
        <v>31</v>
      </c>
      <c r="H433" s="1">
        <v>45970</v>
      </c>
      <c r="J433" t="s">
        <v>122</v>
      </c>
      <c r="K433" t="s">
        <v>123</v>
      </c>
      <c r="L433">
        <v>67171.45</v>
      </c>
      <c r="M433" t="s">
        <v>24</v>
      </c>
      <c r="N433" t="s">
        <v>69</v>
      </c>
      <c r="O433" t="s">
        <v>45</v>
      </c>
    </row>
    <row r="434" spans="1:15" ht="13.8" x14ac:dyDescent="0.25">
      <c r="A434" t="s">
        <v>1097</v>
      </c>
      <c r="B434" t="s">
        <v>664</v>
      </c>
      <c r="C434">
        <v>6</v>
      </c>
      <c r="D434" t="s">
        <v>17</v>
      </c>
      <c r="E434" t="s">
        <v>72</v>
      </c>
      <c r="F434" t="s">
        <v>19</v>
      </c>
      <c r="G434" t="s">
        <v>196</v>
      </c>
      <c r="H434" s="1">
        <v>45831</v>
      </c>
      <c r="I434" s="1">
        <v>45837</v>
      </c>
      <c r="J434" t="s">
        <v>151</v>
      </c>
      <c r="K434" t="s">
        <v>152</v>
      </c>
      <c r="L434">
        <v>269392.61</v>
      </c>
      <c r="M434" t="s">
        <v>54</v>
      </c>
      <c r="N434" t="s">
        <v>25</v>
      </c>
      <c r="O434" t="s">
        <v>75</v>
      </c>
    </row>
    <row r="435" spans="1:15" ht="13.8" x14ac:dyDescent="0.25">
      <c r="A435" t="s">
        <v>119</v>
      </c>
      <c r="B435" t="s">
        <v>445</v>
      </c>
      <c r="C435">
        <v>19</v>
      </c>
      <c r="D435" t="s">
        <v>17</v>
      </c>
      <c r="E435" t="s">
        <v>180</v>
      </c>
      <c r="F435" t="s">
        <v>165</v>
      </c>
      <c r="G435" t="s">
        <v>166</v>
      </c>
      <c r="H435" s="3">
        <v>45973</v>
      </c>
      <c r="I435" s="3">
        <v>45977</v>
      </c>
      <c r="J435" t="s">
        <v>183</v>
      </c>
      <c r="K435" t="s">
        <v>184</v>
      </c>
      <c r="L435">
        <v>58427.63</v>
      </c>
      <c r="M435" t="s">
        <v>68</v>
      </c>
      <c r="N435" t="s">
        <v>69</v>
      </c>
      <c r="O435" t="s">
        <v>26</v>
      </c>
    </row>
    <row r="436" spans="1:15" ht="13.8" x14ac:dyDescent="0.25">
      <c r="A436" t="s">
        <v>1098</v>
      </c>
      <c r="B436" t="s">
        <v>1099</v>
      </c>
      <c r="C436">
        <v>82</v>
      </c>
      <c r="D436" t="s">
        <v>17</v>
      </c>
      <c r="E436" t="s">
        <v>72</v>
      </c>
      <c r="F436" t="s">
        <v>50</v>
      </c>
      <c r="H436" s="3">
        <v>46000</v>
      </c>
      <c r="I436" s="1">
        <v>46008</v>
      </c>
      <c r="J436" t="s">
        <v>315</v>
      </c>
      <c r="K436" t="s">
        <v>398</v>
      </c>
      <c r="L436">
        <v>231726.06</v>
      </c>
      <c r="M436" t="s">
        <v>34</v>
      </c>
      <c r="N436" t="s">
        <v>69</v>
      </c>
      <c r="O436" t="s">
        <v>75</v>
      </c>
    </row>
    <row r="437" spans="1:15" ht="13.8" x14ac:dyDescent="0.25">
      <c r="A437" t="s">
        <v>1100</v>
      </c>
      <c r="B437" t="s">
        <v>1049</v>
      </c>
      <c r="C437">
        <v>8</v>
      </c>
      <c r="D437" t="s">
        <v>17</v>
      </c>
      <c r="E437" t="s">
        <v>78</v>
      </c>
      <c r="F437" t="s">
        <v>40</v>
      </c>
      <c r="G437" t="s">
        <v>156</v>
      </c>
      <c r="H437" s="3">
        <v>45746</v>
      </c>
      <c r="I437" s="1">
        <v>45762</v>
      </c>
      <c r="J437" t="s">
        <v>116</v>
      </c>
      <c r="K437" t="s">
        <v>117</v>
      </c>
      <c r="M437" t="s">
        <v>84</v>
      </c>
      <c r="N437" t="s">
        <v>35</v>
      </c>
      <c r="O437" t="s">
        <v>26</v>
      </c>
    </row>
    <row r="438" spans="1:15" ht="13.8" x14ac:dyDescent="0.25">
      <c r="A438" t="s">
        <v>1101</v>
      </c>
      <c r="B438" t="s">
        <v>200</v>
      </c>
      <c r="C438">
        <v>17</v>
      </c>
      <c r="D438" t="s">
        <v>17</v>
      </c>
      <c r="E438" t="s">
        <v>39</v>
      </c>
      <c r="F438" t="s">
        <v>30</v>
      </c>
      <c r="G438" t="s">
        <v>121</v>
      </c>
      <c r="H438" s="1">
        <v>45929</v>
      </c>
      <c r="I438" s="2">
        <v>45726</v>
      </c>
      <c r="K438" t="s">
        <v>229</v>
      </c>
      <c r="L438">
        <v>-32263.040000000001</v>
      </c>
      <c r="M438" t="s">
        <v>84</v>
      </c>
      <c r="N438" t="s">
        <v>35</v>
      </c>
      <c r="O438" t="s">
        <v>112</v>
      </c>
    </row>
    <row r="439" spans="1:15" ht="13.8" x14ac:dyDescent="0.25">
      <c r="A439" t="s">
        <v>1102</v>
      </c>
      <c r="B439" t="s">
        <v>506</v>
      </c>
      <c r="C439">
        <v>12</v>
      </c>
      <c r="D439" t="s">
        <v>58</v>
      </c>
      <c r="E439" t="s">
        <v>59</v>
      </c>
      <c r="F439" t="s">
        <v>103</v>
      </c>
      <c r="G439" t="s">
        <v>138</v>
      </c>
      <c r="I439" s="1">
        <v>45711</v>
      </c>
      <c r="J439" t="s">
        <v>106</v>
      </c>
      <c r="K439" t="s">
        <v>110</v>
      </c>
      <c r="L439">
        <v>330944.7</v>
      </c>
      <c r="M439" t="s">
        <v>118</v>
      </c>
      <c r="N439" t="s">
        <v>55</v>
      </c>
      <c r="O439" t="s">
        <v>36</v>
      </c>
    </row>
    <row r="440" spans="1:15" ht="13.8" x14ac:dyDescent="0.25">
      <c r="A440" t="s">
        <v>1103</v>
      </c>
      <c r="B440" t="s">
        <v>416</v>
      </c>
      <c r="C440">
        <v>52</v>
      </c>
      <c r="D440" t="s">
        <v>17</v>
      </c>
      <c r="E440" t="s">
        <v>39</v>
      </c>
      <c r="F440" t="s">
        <v>19</v>
      </c>
      <c r="G440" t="s">
        <v>196</v>
      </c>
      <c r="H440" t="s">
        <v>1104</v>
      </c>
      <c r="I440" s="1">
        <v>45862</v>
      </c>
      <c r="J440" t="s">
        <v>366</v>
      </c>
      <c r="K440" t="s">
        <v>367</v>
      </c>
      <c r="L440" t="s">
        <v>1105</v>
      </c>
      <c r="M440" t="s">
        <v>54</v>
      </c>
      <c r="N440" t="s">
        <v>69</v>
      </c>
      <c r="O440" t="s">
        <v>125</v>
      </c>
    </row>
    <row r="441" spans="1:15" ht="13.8" x14ac:dyDescent="0.25">
      <c r="A441" t="s">
        <v>1106</v>
      </c>
      <c r="B441" t="s">
        <v>317</v>
      </c>
      <c r="C441">
        <v>52</v>
      </c>
      <c r="D441" t="s">
        <v>58</v>
      </c>
      <c r="E441" t="s">
        <v>49</v>
      </c>
      <c r="F441" t="s">
        <v>30</v>
      </c>
      <c r="G441" t="s">
        <v>31</v>
      </c>
      <c r="H441" s="1">
        <v>45826</v>
      </c>
      <c r="I441" s="1">
        <v>45827</v>
      </c>
      <c r="J441" t="s">
        <v>32</v>
      </c>
      <c r="K441" t="s">
        <v>33</v>
      </c>
      <c r="L441">
        <v>15338.44</v>
      </c>
      <c r="M441" t="s">
        <v>84</v>
      </c>
      <c r="N441" t="s">
        <v>35</v>
      </c>
      <c r="O441" t="s">
        <v>112</v>
      </c>
    </row>
    <row r="442" spans="1:15" ht="13.8" x14ac:dyDescent="0.25">
      <c r="A442" t="s">
        <v>1107</v>
      </c>
      <c r="B442" t="s">
        <v>365</v>
      </c>
      <c r="C442">
        <v>73</v>
      </c>
      <c r="D442" t="s">
        <v>58</v>
      </c>
      <c r="E442" t="s">
        <v>137</v>
      </c>
      <c r="F442" t="s">
        <v>30</v>
      </c>
      <c r="G442" t="s">
        <v>31</v>
      </c>
      <c r="H442" s="1">
        <v>45696</v>
      </c>
      <c r="I442" s="1">
        <v>45709</v>
      </c>
      <c r="J442" t="s">
        <v>246</v>
      </c>
      <c r="K442" t="s">
        <v>229</v>
      </c>
      <c r="L442">
        <v>301563.46000000002</v>
      </c>
      <c r="M442" t="s">
        <v>54</v>
      </c>
      <c r="N442" t="s">
        <v>35</v>
      </c>
      <c r="O442" t="s">
        <v>26</v>
      </c>
    </row>
    <row r="443" spans="1:15" ht="13.8" x14ac:dyDescent="0.25">
      <c r="A443" t="s">
        <v>1108</v>
      </c>
      <c r="B443" t="s">
        <v>248</v>
      </c>
      <c r="C443">
        <v>38</v>
      </c>
      <c r="D443" t="s">
        <v>58</v>
      </c>
      <c r="F443" t="s">
        <v>103</v>
      </c>
      <c r="G443" t="s">
        <v>138</v>
      </c>
      <c r="H443" s="3">
        <v>45933</v>
      </c>
      <c r="I443" s="3">
        <v>45946</v>
      </c>
      <c r="J443" t="s">
        <v>249</v>
      </c>
      <c r="K443" t="s">
        <v>250</v>
      </c>
      <c r="L443">
        <v>266848.95</v>
      </c>
      <c r="M443" t="s">
        <v>118</v>
      </c>
      <c r="N443" t="s">
        <v>632</v>
      </c>
      <c r="O443" t="s">
        <v>36</v>
      </c>
    </row>
    <row r="444" spans="1:15" ht="13.8" x14ac:dyDescent="0.25">
      <c r="A444" t="s">
        <v>1109</v>
      </c>
      <c r="B444" t="s">
        <v>1090</v>
      </c>
      <c r="C444">
        <v>-56</v>
      </c>
      <c r="D444" t="s">
        <v>17</v>
      </c>
      <c r="E444" t="s">
        <v>97</v>
      </c>
      <c r="F444" t="s">
        <v>103</v>
      </c>
      <c r="G444" t="s">
        <v>455</v>
      </c>
      <c r="J444" t="s">
        <v>219</v>
      </c>
      <c r="K444" t="s">
        <v>140</v>
      </c>
      <c r="L444">
        <v>-349245.8</v>
      </c>
      <c r="M444" t="s">
        <v>162</v>
      </c>
      <c r="N444" t="s">
        <v>69</v>
      </c>
      <c r="O444" t="s">
        <v>45</v>
      </c>
    </row>
    <row r="445" spans="1:15" ht="13.8" x14ac:dyDescent="0.25">
      <c r="A445" t="s">
        <v>1110</v>
      </c>
      <c r="B445" t="s">
        <v>16</v>
      </c>
      <c r="C445">
        <v>85</v>
      </c>
      <c r="D445" t="s">
        <v>17</v>
      </c>
      <c r="E445" t="s">
        <v>72</v>
      </c>
      <c r="F445" t="s">
        <v>50</v>
      </c>
      <c r="G445" t="s">
        <v>300</v>
      </c>
      <c r="H445" t="s">
        <v>1111</v>
      </c>
      <c r="J445" t="s">
        <v>315</v>
      </c>
      <c r="K445" t="s">
        <v>204</v>
      </c>
      <c r="L445">
        <v>61183.79</v>
      </c>
      <c r="M445" t="s">
        <v>84</v>
      </c>
      <c r="N445" t="s">
        <v>69</v>
      </c>
      <c r="O445" t="s">
        <v>45</v>
      </c>
    </row>
    <row r="446" spans="1:15" ht="13.8" x14ac:dyDescent="0.25">
      <c r="A446" t="s">
        <v>1112</v>
      </c>
      <c r="B446" t="s">
        <v>71</v>
      </c>
      <c r="C446">
        <v>62</v>
      </c>
      <c r="D446" t="s">
        <v>17</v>
      </c>
      <c r="E446" t="s">
        <v>155</v>
      </c>
      <c r="F446" t="s">
        <v>60</v>
      </c>
      <c r="G446" t="s">
        <v>177</v>
      </c>
      <c r="H446" s="1">
        <v>45896</v>
      </c>
      <c r="K446" t="s">
        <v>63</v>
      </c>
      <c r="L446" t="s">
        <v>1113</v>
      </c>
      <c r="M446" t="s">
        <v>118</v>
      </c>
      <c r="N446" t="s">
        <v>55</v>
      </c>
      <c r="O446" t="s">
        <v>45</v>
      </c>
    </row>
    <row r="447" spans="1:15" ht="13.8" x14ac:dyDescent="0.25">
      <c r="A447" t="s">
        <v>1114</v>
      </c>
      <c r="B447" t="s">
        <v>479</v>
      </c>
      <c r="C447">
        <v>80</v>
      </c>
      <c r="D447" t="s">
        <v>17</v>
      </c>
      <c r="E447" t="s">
        <v>18</v>
      </c>
      <c r="F447" t="s">
        <v>30</v>
      </c>
      <c r="G447" t="s">
        <v>31</v>
      </c>
      <c r="H447" s="2">
        <v>45757</v>
      </c>
      <c r="I447" s="1">
        <v>45951</v>
      </c>
      <c r="J447" t="s">
        <v>88</v>
      </c>
      <c r="K447" t="s">
        <v>911</v>
      </c>
      <c r="L447">
        <v>113667.33</v>
      </c>
      <c r="M447" t="s">
        <v>84</v>
      </c>
      <c r="N447" t="s">
        <v>69</v>
      </c>
      <c r="O447" t="s">
        <v>112</v>
      </c>
    </row>
    <row r="448" spans="1:15" ht="13.8" x14ac:dyDescent="0.25">
      <c r="A448" t="s">
        <v>1115</v>
      </c>
      <c r="B448" t="s">
        <v>759</v>
      </c>
      <c r="C448">
        <v>33</v>
      </c>
      <c r="D448" t="s">
        <v>17</v>
      </c>
      <c r="E448" t="s">
        <v>102</v>
      </c>
      <c r="F448" t="s">
        <v>30</v>
      </c>
      <c r="G448" t="s">
        <v>31</v>
      </c>
      <c r="H448" s="1">
        <v>45803</v>
      </c>
      <c r="J448" t="s">
        <v>32</v>
      </c>
      <c r="K448" t="s">
        <v>33</v>
      </c>
      <c r="L448">
        <v>327664.96000000002</v>
      </c>
      <c r="M448" t="s">
        <v>84</v>
      </c>
      <c r="N448" t="s">
        <v>35</v>
      </c>
      <c r="O448" t="s">
        <v>45</v>
      </c>
    </row>
    <row r="449" spans="1:15" ht="13.8" x14ac:dyDescent="0.25">
      <c r="A449" t="s">
        <v>1116</v>
      </c>
      <c r="B449" t="s">
        <v>606</v>
      </c>
      <c r="C449">
        <v>77</v>
      </c>
      <c r="D449" t="s">
        <v>58</v>
      </c>
      <c r="E449" t="s">
        <v>97</v>
      </c>
      <c r="F449" t="s">
        <v>165</v>
      </c>
      <c r="G449" t="s">
        <v>1059</v>
      </c>
      <c r="H449" s="1">
        <v>45735</v>
      </c>
      <c r="I449" s="1">
        <v>45747</v>
      </c>
      <c r="J449" t="s">
        <v>168</v>
      </c>
      <c r="K449" t="s">
        <v>169</v>
      </c>
      <c r="L449" t="s">
        <v>1117</v>
      </c>
      <c r="M449" t="s">
        <v>24</v>
      </c>
      <c r="N449" t="s">
        <v>69</v>
      </c>
      <c r="O449" t="s">
        <v>75</v>
      </c>
    </row>
    <row r="450" spans="1:15" ht="13.8" x14ac:dyDescent="0.25">
      <c r="A450" t="s">
        <v>1118</v>
      </c>
      <c r="B450" t="s">
        <v>1119</v>
      </c>
      <c r="C450">
        <v>69</v>
      </c>
      <c r="D450" t="s">
        <v>58</v>
      </c>
      <c r="E450" t="s">
        <v>137</v>
      </c>
      <c r="F450" t="s">
        <v>282</v>
      </c>
      <c r="G450" t="s">
        <v>61</v>
      </c>
      <c r="H450" s="1">
        <v>45957</v>
      </c>
      <c r="I450" s="1">
        <v>45963</v>
      </c>
      <c r="J450" t="s">
        <v>81</v>
      </c>
      <c r="K450" t="s">
        <v>82</v>
      </c>
      <c r="L450">
        <v>206432.71</v>
      </c>
      <c r="M450" t="s">
        <v>68</v>
      </c>
      <c r="N450" t="s">
        <v>55</v>
      </c>
      <c r="O450" t="s">
        <v>26</v>
      </c>
    </row>
    <row r="451" spans="1:15" ht="13.8" x14ac:dyDescent="0.25">
      <c r="A451" t="s">
        <v>1120</v>
      </c>
      <c r="B451" t="s">
        <v>1121</v>
      </c>
      <c r="C451">
        <v>17</v>
      </c>
      <c r="D451" t="s">
        <v>287</v>
      </c>
      <c r="E451" t="s">
        <v>18</v>
      </c>
      <c r="F451" t="s">
        <v>50</v>
      </c>
      <c r="G451" t="s">
        <v>190</v>
      </c>
      <c r="H451" s="1">
        <v>45781</v>
      </c>
      <c r="I451" s="1">
        <v>45792</v>
      </c>
      <c r="K451" t="s">
        <v>192</v>
      </c>
      <c r="L451">
        <v>-115728.64</v>
      </c>
      <c r="M451" t="s">
        <v>44</v>
      </c>
      <c r="N451" t="s">
        <v>55</v>
      </c>
      <c r="O451" t="s">
        <v>112</v>
      </c>
    </row>
    <row r="452" spans="1:15" ht="13.8" x14ac:dyDescent="0.25">
      <c r="A452" t="s">
        <v>1122</v>
      </c>
      <c r="B452" t="s">
        <v>365</v>
      </c>
      <c r="C452">
        <v>69</v>
      </c>
      <c r="D452" t="s">
        <v>58</v>
      </c>
      <c r="E452" t="s">
        <v>137</v>
      </c>
      <c r="F452" t="s">
        <v>165</v>
      </c>
      <c r="G452" t="s">
        <v>302</v>
      </c>
      <c r="H452" t="s">
        <v>909</v>
      </c>
      <c r="I452" s="1">
        <v>45695</v>
      </c>
      <c r="J452" t="s">
        <v>173</v>
      </c>
      <c r="K452" t="s">
        <v>174</v>
      </c>
      <c r="L452">
        <v>222821.85</v>
      </c>
      <c r="M452" t="s">
        <v>84</v>
      </c>
      <c r="N452" t="s">
        <v>69</v>
      </c>
      <c r="O452" t="s">
        <v>36</v>
      </c>
    </row>
    <row r="453" spans="1:15" ht="13.8" x14ac:dyDescent="0.25">
      <c r="A453" t="s">
        <v>1123</v>
      </c>
      <c r="B453" t="s">
        <v>479</v>
      </c>
      <c r="C453">
        <v>85</v>
      </c>
      <c r="D453" t="s">
        <v>17</v>
      </c>
      <c r="E453" t="s">
        <v>78</v>
      </c>
      <c r="F453" t="s">
        <v>19</v>
      </c>
      <c r="G453" t="s">
        <v>196</v>
      </c>
      <c r="H453" s="1">
        <v>45704</v>
      </c>
      <c r="J453" t="s">
        <v>366</v>
      </c>
      <c r="K453" t="s">
        <v>367</v>
      </c>
      <c r="L453">
        <v>68567.039999999994</v>
      </c>
      <c r="M453" t="s">
        <v>34</v>
      </c>
      <c r="N453" t="s">
        <v>69</v>
      </c>
      <c r="O453" t="s">
        <v>45</v>
      </c>
    </row>
    <row r="454" spans="1:15" ht="13.8" x14ac:dyDescent="0.25">
      <c r="A454" t="s">
        <v>1124</v>
      </c>
      <c r="B454" t="s">
        <v>475</v>
      </c>
      <c r="D454" t="s">
        <v>287</v>
      </c>
      <c r="E454" t="s">
        <v>510</v>
      </c>
      <c r="F454" t="s">
        <v>19</v>
      </c>
      <c r="G454" t="s">
        <v>20</v>
      </c>
      <c r="H454" s="3">
        <v>45709</v>
      </c>
      <c r="I454" s="1">
        <v>45711</v>
      </c>
      <c r="J454" t="s">
        <v>233</v>
      </c>
      <c r="K454" t="s">
        <v>234</v>
      </c>
      <c r="L454">
        <v>245988.96</v>
      </c>
      <c r="N454" t="s">
        <v>35</v>
      </c>
      <c r="O454" t="s">
        <v>36</v>
      </c>
    </row>
    <row r="455" spans="1:15" ht="13.8" x14ac:dyDescent="0.25">
      <c r="A455" t="s">
        <v>1125</v>
      </c>
      <c r="B455" t="s">
        <v>528</v>
      </c>
      <c r="C455" t="s">
        <v>1126</v>
      </c>
      <c r="D455" t="s">
        <v>17</v>
      </c>
      <c r="E455" t="s">
        <v>155</v>
      </c>
      <c r="F455" t="s">
        <v>30</v>
      </c>
      <c r="H455" s="1">
        <v>45825</v>
      </c>
      <c r="I455" s="1">
        <v>45834</v>
      </c>
      <c r="J455" t="s">
        <v>122</v>
      </c>
      <c r="K455" t="s">
        <v>123</v>
      </c>
      <c r="L455">
        <v>75111.69</v>
      </c>
      <c r="M455" t="s">
        <v>44</v>
      </c>
      <c r="N455" t="s">
        <v>69</v>
      </c>
      <c r="O455" t="s">
        <v>26</v>
      </c>
    </row>
    <row r="456" spans="1:15" ht="13.8" x14ac:dyDescent="0.25">
      <c r="A456" t="s">
        <v>1127</v>
      </c>
      <c r="B456" t="s">
        <v>1128</v>
      </c>
      <c r="C456">
        <v>65</v>
      </c>
      <c r="D456" t="s">
        <v>17</v>
      </c>
      <c r="E456" t="s">
        <v>137</v>
      </c>
      <c r="F456" t="s">
        <v>60</v>
      </c>
      <c r="G456" t="s">
        <v>177</v>
      </c>
      <c r="H456" s="1">
        <v>45763</v>
      </c>
      <c r="I456" s="1">
        <v>45766</v>
      </c>
      <c r="J456" t="s">
        <v>81</v>
      </c>
      <c r="K456" t="s">
        <v>82</v>
      </c>
      <c r="L456">
        <v>180878.3</v>
      </c>
      <c r="M456" t="s">
        <v>24</v>
      </c>
      <c r="N456" t="s">
        <v>69</v>
      </c>
      <c r="O456" t="s">
        <v>36</v>
      </c>
    </row>
    <row r="457" spans="1:15" ht="13.8" x14ac:dyDescent="0.25">
      <c r="A457" t="s">
        <v>1129</v>
      </c>
      <c r="B457" t="s">
        <v>901</v>
      </c>
      <c r="C457">
        <v>25</v>
      </c>
      <c r="D457" t="s">
        <v>17</v>
      </c>
      <c r="E457" t="s">
        <v>137</v>
      </c>
      <c r="F457" t="s">
        <v>50</v>
      </c>
      <c r="G457" t="s">
        <v>51</v>
      </c>
      <c r="H457" s="1">
        <v>45738</v>
      </c>
      <c r="I457" s="1">
        <v>45753</v>
      </c>
      <c r="J457" t="s">
        <v>315</v>
      </c>
      <c r="K457" t="s">
        <v>204</v>
      </c>
      <c r="L457" t="s">
        <v>1130</v>
      </c>
      <c r="M457" t="s">
        <v>68</v>
      </c>
      <c r="N457" t="s">
        <v>25</v>
      </c>
      <c r="O457" t="s">
        <v>75</v>
      </c>
    </row>
    <row r="458" spans="1:15" ht="13.8" x14ac:dyDescent="0.25">
      <c r="A458" t="s">
        <v>1131</v>
      </c>
      <c r="B458" t="s">
        <v>28</v>
      </c>
      <c r="C458">
        <v>53</v>
      </c>
      <c r="D458" t="s">
        <v>58</v>
      </c>
      <c r="E458" t="s">
        <v>102</v>
      </c>
      <c r="F458" t="s">
        <v>567</v>
      </c>
      <c r="G458" t="s">
        <v>177</v>
      </c>
      <c r="H458" t="s">
        <v>1132</v>
      </c>
      <c r="I458" s="2">
        <v>45844</v>
      </c>
      <c r="J458" t="s">
        <v>81</v>
      </c>
      <c r="K458" t="s">
        <v>82</v>
      </c>
      <c r="L458">
        <v>349212.27</v>
      </c>
      <c r="N458" t="s">
        <v>55</v>
      </c>
      <c r="O458" t="s">
        <v>26</v>
      </c>
    </row>
    <row r="459" spans="1:15" ht="13.8" x14ac:dyDescent="0.25">
      <c r="A459" t="s">
        <v>1133</v>
      </c>
      <c r="B459" t="s">
        <v>897</v>
      </c>
      <c r="C459">
        <v>58</v>
      </c>
      <c r="E459" t="s">
        <v>59</v>
      </c>
      <c r="F459" t="s">
        <v>50</v>
      </c>
      <c r="H459" s="3">
        <v>45752</v>
      </c>
      <c r="I459" s="1">
        <v>45761</v>
      </c>
      <c r="J459" t="s">
        <v>332</v>
      </c>
      <c r="K459" t="s">
        <v>383</v>
      </c>
      <c r="L459">
        <v>229226.77</v>
      </c>
      <c r="M459" t="s">
        <v>68</v>
      </c>
      <c r="N459" t="s">
        <v>55</v>
      </c>
      <c r="O459" t="s">
        <v>26</v>
      </c>
    </row>
    <row r="460" spans="1:15" ht="13.8" x14ac:dyDescent="0.25">
      <c r="A460" t="s">
        <v>1134</v>
      </c>
      <c r="B460" t="s">
        <v>154</v>
      </c>
      <c r="C460">
        <v>29</v>
      </c>
      <c r="D460" t="s">
        <v>17</v>
      </c>
      <c r="E460" t="s">
        <v>39</v>
      </c>
      <c r="F460" t="s">
        <v>30</v>
      </c>
      <c r="G460" t="s">
        <v>31</v>
      </c>
      <c r="H460" s="1">
        <v>45689</v>
      </c>
      <c r="J460" t="s">
        <v>32</v>
      </c>
      <c r="K460" t="s">
        <v>33</v>
      </c>
      <c r="L460">
        <v>183161.99</v>
      </c>
      <c r="M460" t="s">
        <v>118</v>
      </c>
      <c r="N460" t="s">
        <v>69</v>
      </c>
      <c r="O460" t="s">
        <v>45</v>
      </c>
    </row>
    <row r="461" spans="1:15" ht="13.8" x14ac:dyDescent="0.25">
      <c r="A461" t="s">
        <v>1135</v>
      </c>
      <c r="B461" t="s">
        <v>1136</v>
      </c>
      <c r="C461">
        <v>14</v>
      </c>
      <c r="E461" t="s">
        <v>59</v>
      </c>
      <c r="F461" t="s">
        <v>60</v>
      </c>
      <c r="G461" t="s">
        <v>79</v>
      </c>
      <c r="H461" s="1">
        <v>45755</v>
      </c>
      <c r="I461" s="1">
        <v>45771</v>
      </c>
      <c r="J461" t="s">
        <v>81</v>
      </c>
      <c r="K461" t="s">
        <v>82</v>
      </c>
      <c r="L461">
        <v>129525.51</v>
      </c>
      <c r="M461" t="s">
        <v>84</v>
      </c>
      <c r="N461" t="s">
        <v>270</v>
      </c>
      <c r="O461" t="s">
        <v>36</v>
      </c>
    </row>
    <row r="462" spans="1:15" ht="13.8" x14ac:dyDescent="0.25">
      <c r="A462" t="s">
        <v>1137</v>
      </c>
      <c r="B462" t="s">
        <v>416</v>
      </c>
      <c r="C462">
        <v>3</v>
      </c>
      <c r="D462" t="s">
        <v>17</v>
      </c>
      <c r="E462" t="s">
        <v>137</v>
      </c>
      <c r="F462" t="s">
        <v>50</v>
      </c>
      <c r="G462" t="s">
        <v>190</v>
      </c>
      <c r="H462" s="1">
        <v>45698</v>
      </c>
      <c r="I462" s="1">
        <v>45696</v>
      </c>
      <c r="J462" t="s">
        <v>191</v>
      </c>
      <c r="K462" t="s">
        <v>192</v>
      </c>
      <c r="L462" t="s">
        <v>1138</v>
      </c>
      <c r="M462" t="s">
        <v>118</v>
      </c>
      <c r="N462" t="s">
        <v>25</v>
      </c>
      <c r="O462" t="s">
        <v>36</v>
      </c>
    </row>
    <row r="463" spans="1:15" ht="13.8" x14ac:dyDescent="0.25">
      <c r="A463" t="s">
        <v>1139</v>
      </c>
      <c r="B463" t="s">
        <v>528</v>
      </c>
      <c r="C463">
        <v>83</v>
      </c>
      <c r="D463" t="s">
        <v>17</v>
      </c>
      <c r="E463" t="s">
        <v>59</v>
      </c>
      <c r="F463" t="s">
        <v>40</v>
      </c>
      <c r="G463" t="s">
        <v>156</v>
      </c>
      <c r="H463" s="3">
        <v>46001</v>
      </c>
      <c r="I463" s="1">
        <v>46002</v>
      </c>
      <c r="K463" t="s">
        <v>43</v>
      </c>
      <c r="L463">
        <v>21364.73</v>
      </c>
      <c r="M463" t="s">
        <v>118</v>
      </c>
      <c r="N463" t="s">
        <v>74</v>
      </c>
      <c r="O463" t="s">
        <v>36</v>
      </c>
    </row>
    <row r="464" spans="1:15" ht="13.8" x14ac:dyDescent="0.25">
      <c r="A464" t="s">
        <v>1140</v>
      </c>
      <c r="B464" t="s">
        <v>208</v>
      </c>
      <c r="C464">
        <v>23</v>
      </c>
      <c r="D464" t="s">
        <v>58</v>
      </c>
      <c r="E464" t="s">
        <v>102</v>
      </c>
      <c r="F464" t="s">
        <v>165</v>
      </c>
      <c r="G464" t="s">
        <v>172</v>
      </c>
      <c r="H464" t="s">
        <v>485</v>
      </c>
      <c r="I464" s="3">
        <v>45863</v>
      </c>
      <c r="J464" t="s">
        <v>168</v>
      </c>
      <c r="K464" t="s">
        <v>169</v>
      </c>
      <c r="L464">
        <v>318228</v>
      </c>
      <c r="M464" t="s">
        <v>24</v>
      </c>
      <c r="N464" t="s">
        <v>74</v>
      </c>
      <c r="O464" t="s">
        <v>36</v>
      </c>
    </row>
    <row r="465" spans="1:15" ht="13.8" x14ac:dyDescent="0.25">
      <c r="A465" t="s">
        <v>1141</v>
      </c>
      <c r="B465" t="s">
        <v>158</v>
      </c>
      <c r="C465">
        <v>22</v>
      </c>
      <c r="D465" t="s">
        <v>58</v>
      </c>
      <c r="E465" t="s">
        <v>137</v>
      </c>
      <c r="F465" t="s">
        <v>60</v>
      </c>
      <c r="G465" t="s">
        <v>61</v>
      </c>
      <c r="H465" s="3">
        <v>45689</v>
      </c>
      <c r="I465" s="1">
        <v>45706</v>
      </c>
      <c r="J465" t="s">
        <v>81</v>
      </c>
      <c r="K465" t="s">
        <v>82</v>
      </c>
      <c r="L465">
        <v>344496.24</v>
      </c>
      <c r="M465" t="s">
        <v>68</v>
      </c>
      <c r="N465" t="s">
        <v>35</v>
      </c>
      <c r="O465" t="s">
        <v>75</v>
      </c>
    </row>
    <row r="466" spans="1:15" ht="13.8" x14ac:dyDescent="0.25">
      <c r="A466" t="s">
        <v>1142</v>
      </c>
      <c r="B466" t="s">
        <v>1143</v>
      </c>
      <c r="C466">
        <v>48</v>
      </c>
      <c r="D466" t="s">
        <v>58</v>
      </c>
      <c r="E466" t="s">
        <v>155</v>
      </c>
      <c r="F466" t="s">
        <v>103</v>
      </c>
      <c r="G466" t="s">
        <v>455</v>
      </c>
      <c r="H466" s="1">
        <v>46011</v>
      </c>
      <c r="I466" t="s">
        <v>1144</v>
      </c>
      <c r="K466" t="s">
        <v>140</v>
      </c>
      <c r="L466">
        <v>179146.94</v>
      </c>
      <c r="M466" t="s">
        <v>44</v>
      </c>
      <c r="N466" t="s">
        <v>35</v>
      </c>
      <c r="O466" t="s">
        <v>26</v>
      </c>
    </row>
    <row r="467" spans="1:15" ht="13.8" x14ac:dyDescent="0.25">
      <c r="A467" t="s">
        <v>1145</v>
      </c>
      <c r="B467" t="s">
        <v>1146</v>
      </c>
      <c r="C467">
        <v>26</v>
      </c>
      <c r="E467" t="s">
        <v>102</v>
      </c>
      <c r="F467" t="s">
        <v>60</v>
      </c>
      <c r="G467" t="s">
        <v>61</v>
      </c>
      <c r="H467" s="3">
        <v>45834</v>
      </c>
      <c r="I467" s="2">
        <v>45876</v>
      </c>
      <c r="J467" t="s">
        <v>132</v>
      </c>
      <c r="K467" t="s">
        <v>133</v>
      </c>
      <c r="L467">
        <v>346234.73</v>
      </c>
      <c r="M467" t="s">
        <v>213</v>
      </c>
      <c r="N467" t="s">
        <v>270</v>
      </c>
      <c r="O467" t="s">
        <v>36</v>
      </c>
    </row>
    <row r="468" spans="1:15" ht="13.8" x14ac:dyDescent="0.25">
      <c r="A468" t="s">
        <v>1147</v>
      </c>
      <c r="B468" t="s">
        <v>1148</v>
      </c>
      <c r="C468">
        <v>3</v>
      </c>
      <c r="D468" t="s">
        <v>17</v>
      </c>
      <c r="E468" t="s">
        <v>360</v>
      </c>
      <c r="F468" t="s">
        <v>19</v>
      </c>
      <c r="G468" t="s">
        <v>20</v>
      </c>
      <c r="H468" s="1">
        <v>45887</v>
      </c>
      <c r="J468" t="s">
        <v>22</v>
      </c>
      <c r="K468" t="s">
        <v>23</v>
      </c>
      <c r="L468">
        <v>-228488.28</v>
      </c>
      <c r="M468" t="s">
        <v>84</v>
      </c>
      <c r="N468" t="s">
        <v>69</v>
      </c>
      <c r="O468" t="s">
        <v>45</v>
      </c>
    </row>
    <row r="469" spans="1:15" ht="13.8" x14ac:dyDescent="0.25">
      <c r="A469" t="s">
        <v>1149</v>
      </c>
      <c r="B469" t="s">
        <v>1128</v>
      </c>
      <c r="C469" t="s">
        <v>1150</v>
      </c>
      <c r="D469" t="s">
        <v>17</v>
      </c>
      <c r="E469" t="s">
        <v>137</v>
      </c>
      <c r="F469" t="s">
        <v>103</v>
      </c>
      <c r="G469" t="s">
        <v>138</v>
      </c>
      <c r="H469" s="3">
        <v>45686</v>
      </c>
      <c r="I469" s="2">
        <v>45779</v>
      </c>
      <c r="J469" t="s">
        <v>249</v>
      </c>
      <c r="K469" t="s">
        <v>250</v>
      </c>
      <c r="L469">
        <v>284470.31</v>
      </c>
      <c r="M469" t="s">
        <v>118</v>
      </c>
      <c r="N469" t="s">
        <v>25</v>
      </c>
      <c r="O469" t="s">
        <v>112</v>
      </c>
    </row>
    <row r="470" spans="1:15" ht="13.8" x14ac:dyDescent="0.25">
      <c r="A470" t="s">
        <v>1151</v>
      </c>
      <c r="B470" t="s">
        <v>1152</v>
      </c>
      <c r="C470">
        <v>47</v>
      </c>
      <c r="D470" t="s">
        <v>17</v>
      </c>
      <c r="E470" t="s">
        <v>59</v>
      </c>
      <c r="F470" t="s">
        <v>165</v>
      </c>
      <c r="G470" t="s">
        <v>166</v>
      </c>
      <c r="H470" s="1">
        <v>45998</v>
      </c>
      <c r="J470" t="s">
        <v>168</v>
      </c>
      <c r="K470" t="s">
        <v>169</v>
      </c>
      <c r="L470">
        <v>291337.67</v>
      </c>
      <c r="M470" t="s">
        <v>68</v>
      </c>
      <c r="N470" t="s">
        <v>69</v>
      </c>
      <c r="O470" t="s">
        <v>45</v>
      </c>
    </row>
    <row r="471" spans="1:15" ht="13.8" x14ac:dyDescent="0.25">
      <c r="A471" t="s">
        <v>1153</v>
      </c>
      <c r="B471" t="s">
        <v>751</v>
      </c>
      <c r="C471" t="s">
        <v>1154</v>
      </c>
      <c r="D471" t="s">
        <v>17</v>
      </c>
      <c r="E471" t="s">
        <v>59</v>
      </c>
      <c r="F471" t="s">
        <v>50</v>
      </c>
      <c r="G471" t="s">
        <v>300</v>
      </c>
      <c r="H471" s="3">
        <v>45919</v>
      </c>
      <c r="J471" t="s">
        <v>191</v>
      </c>
      <c r="K471" t="s">
        <v>192</v>
      </c>
      <c r="L471">
        <v>315860.09999999998</v>
      </c>
      <c r="M471" t="s">
        <v>34</v>
      </c>
      <c r="N471" t="s">
        <v>25</v>
      </c>
      <c r="O471" t="s">
        <v>45</v>
      </c>
    </row>
    <row r="472" spans="1:15" ht="13.8" x14ac:dyDescent="0.25">
      <c r="A472" t="s">
        <v>1155</v>
      </c>
      <c r="B472" t="s">
        <v>120</v>
      </c>
      <c r="C472">
        <v>86</v>
      </c>
      <c r="D472" t="s">
        <v>17</v>
      </c>
      <c r="E472" t="s">
        <v>78</v>
      </c>
      <c r="F472" t="s">
        <v>103</v>
      </c>
      <c r="G472" t="s">
        <v>104</v>
      </c>
      <c r="H472" s="1">
        <v>45986</v>
      </c>
      <c r="I472" t="s">
        <v>1054</v>
      </c>
      <c r="J472" t="s">
        <v>106</v>
      </c>
      <c r="K472" t="s">
        <v>110</v>
      </c>
      <c r="M472" t="s">
        <v>34</v>
      </c>
      <c r="N472" t="s">
        <v>25</v>
      </c>
      <c r="O472" t="s">
        <v>1156</v>
      </c>
    </row>
    <row r="473" spans="1:15" ht="13.8" x14ac:dyDescent="0.25">
      <c r="A473" t="s">
        <v>1157</v>
      </c>
      <c r="B473" t="s">
        <v>1158</v>
      </c>
      <c r="C473">
        <v>61</v>
      </c>
      <c r="D473" t="s">
        <v>58</v>
      </c>
      <c r="E473" t="s">
        <v>78</v>
      </c>
      <c r="G473" t="s">
        <v>196</v>
      </c>
      <c r="H473" s="1">
        <v>45668</v>
      </c>
      <c r="I473" s="1">
        <v>45672</v>
      </c>
      <c r="J473" t="s">
        <v>22</v>
      </c>
      <c r="K473" t="s">
        <v>23</v>
      </c>
      <c r="L473" t="s">
        <v>1159</v>
      </c>
      <c r="M473" t="s">
        <v>213</v>
      </c>
      <c r="N473" t="s">
        <v>69</v>
      </c>
      <c r="O473" t="s">
        <v>36</v>
      </c>
    </row>
    <row r="474" spans="1:15" ht="13.8" x14ac:dyDescent="0.25">
      <c r="A474" t="s">
        <v>1160</v>
      </c>
      <c r="B474" t="s">
        <v>991</v>
      </c>
      <c r="C474">
        <v>83</v>
      </c>
      <c r="D474" t="s">
        <v>58</v>
      </c>
      <c r="E474" t="s">
        <v>155</v>
      </c>
      <c r="F474" t="s">
        <v>19</v>
      </c>
      <c r="G474" t="s">
        <v>20</v>
      </c>
      <c r="H474" s="2">
        <v>45721</v>
      </c>
      <c r="I474" s="2">
        <v>45813</v>
      </c>
      <c r="J474" t="s">
        <v>151</v>
      </c>
      <c r="K474" t="s">
        <v>152</v>
      </c>
      <c r="L474">
        <v>81893.210000000006</v>
      </c>
      <c r="M474" t="s">
        <v>34</v>
      </c>
      <c r="N474" t="s">
        <v>632</v>
      </c>
      <c r="O474" t="s">
        <v>112</v>
      </c>
    </row>
    <row r="475" spans="1:15" ht="13.8" x14ac:dyDescent="0.25">
      <c r="A475" t="s">
        <v>1161</v>
      </c>
      <c r="B475" t="s">
        <v>379</v>
      </c>
      <c r="C475">
        <v>49</v>
      </c>
      <c r="D475" t="s">
        <v>17</v>
      </c>
      <c r="E475" t="s">
        <v>137</v>
      </c>
      <c r="F475" t="s">
        <v>19</v>
      </c>
      <c r="G475" t="s">
        <v>20</v>
      </c>
      <c r="H475" t="s">
        <v>1162</v>
      </c>
      <c r="J475" t="s">
        <v>151</v>
      </c>
      <c r="K475" t="s">
        <v>152</v>
      </c>
      <c r="M475" t="s">
        <v>44</v>
      </c>
      <c r="N475" t="s">
        <v>55</v>
      </c>
      <c r="O475" t="s">
        <v>45</v>
      </c>
    </row>
    <row r="476" spans="1:15" ht="13.8" x14ac:dyDescent="0.25">
      <c r="A476" t="s">
        <v>1163</v>
      </c>
      <c r="B476" t="s">
        <v>963</v>
      </c>
      <c r="C476">
        <v>10</v>
      </c>
      <c r="D476" t="s">
        <v>58</v>
      </c>
      <c r="E476" t="s">
        <v>97</v>
      </c>
      <c r="F476" t="s">
        <v>165</v>
      </c>
      <c r="G476" t="s">
        <v>302</v>
      </c>
      <c r="H476" s="3">
        <v>45694</v>
      </c>
      <c r="J476" t="s">
        <v>173</v>
      </c>
      <c r="K476" t="s">
        <v>174</v>
      </c>
      <c r="L476">
        <v>15667.1</v>
      </c>
      <c r="M476" t="s">
        <v>24</v>
      </c>
      <c r="N476" t="s">
        <v>35</v>
      </c>
      <c r="O476" t="s">
        <v>539</v>
      </c>
    </row>
    <row r="477" spans="1:15" ht="13.8" x14ac:dyDescent="0.25">
      <c r="A477" t="s">
        <v>1164</v>
      </c>
      <c r="B477" t="s">
        <v>652</v>
      </c>
      <c r="C477">
        <v>29</v>
      </c>
      <c r="D477" t="s">
        <v>58</v>
      </c>
      <c r="E477" t="s">
        <v>97</v>
      </c>
      <c r="F477" t="s">
        <v>165</v>
      </c>
      <c r="G477" t="s">
        <v>166</v>
      </c>
      <c r="H477" t="s">
        <v>1165</v>
      </c>
      <c r="I477" s="1">
        <v>45974</v>
      </c>
      <c r="J477" t="s">
        <v>173</v>
      </c>
      <c r="K477" t="s">
        <v>174</v>
      </c>
      <c r="L477">
        <v>32457.05</v>
      </c>
      <c r="M477" t="s">
        <v>34</v>
      </c>
      <c r="O477" t="s">
        <v>36</v>
      </c>
    </row>
    <row r="478" spans="1:15" ht="13.8" x14ac:dyDescent="0.25">
      <c r="A478" t="s">
        <v>1166</v>
      </c>
      <c r="B478" t="s">
        <v>1083</v>
      </c>
      <c r="C478">
        <v>88</v>
      </c>
      <c r="D478" t="s">
        <v>17</v>
      </c>
      <c r="E478" t="s">
        <v>49</v>
      </c>
      <c r="F478" t="s">
        <v>567</v>
      </c>
      <c r="G478" t="s">
        <v>177</v>
      </c>
      <c r="H478" s="1">
        <v>45817</v>
      </c>
      <c r="J478" t="s">
        <v>132</v>
      </c>
      <c r="K478" t="s">
        <v>133</v>
      </c>
      <c r="L478">
        <v>328190.71000000002</v>
      </c>
      <c r="M478" t="s">
        <v>118</v>
      </c>
      <c r="N478" t="s">
        <v>55</v>
      </c>
      <c r="O478" t="s">
        <v>45</v>
      </c>
    </row>
    <row r="479" spans="1:15" ht="13.8" x14ac:dyDescent="0.25">
      <c r="A479" t="s">
        <v>1167</v>
      </c>
      <c r="B479" t="s">
        <v>979</v>
      </c>
      <c r="C479">
        <v>-16</v>
      </c>
      <c r="D479" t="s">
        <v>17</v>
      </c>
      <c r="E479" t="s">
        <v>102</v>
      </c>
      <c r="F479" t="s">
        <v>103</v>
      </c>
      <c r="G479" t="s">
        <v>455</v>
      </c>
      <c r="H479" s="3">
        <v>45948</v>
      </c>
      <c r="I479" s="2">
        <v>45668</v>
      </c>
      <c r="J479" t="s">
        <v>294</v>
      </c>
      <c r="K479" t="s">
        <v>336</v>
      </c>
      <c r="L479">
        <v>102588.38</v>
      </c>
      <c r="M479" t="s">
        <v>68</v>
      </c>
      <c r="N479" t="s">
        <v>35</v>
      </c>
      <c r="O479" t="s">
        <v>75</v>
      </c>
    </row>
    <row r="480" spans="1:15" ht="13.8" x14ac:dyDescent="0.25">
      <c r="A480" t="s">
        <v>1168</v>
      </c>
      <c r="B480" t="s">
        <v>794</v>
      </c>
      <c r="D480" t="s">
        <v>58</v>
      </c>
      <c r="E480" t="s">
        <v>72</v>
      </c>
      <c r="F480" t="s">
        <v>60</v>
      </c>
      <c r="H480" s="3">
        <v>45831</v>
      </c>
      <c r="I480" s="1">
        <v>45832</v>
      </c>
      <c r="J480" t="s">
        <v>132</v>
      </c>
      <c r="K480" t="s">
        <v>133</v>
      </c>
      <c r="L480">
        <v>243594.27</v>
      </c>
      <c r="M480" t="s">
        <v>34</v>
      </c>
      <c r="N480" t="s">
        <v>55</v>
      </c>
      <c r="O480" t="s">
        <v>75</v>
      </c>
    </row>
    <row r="481" spans="1:15" ht="13.8" x14ac:dyDescent="0.25">
      <c r="A481" t="s">
        <v>1169</v>
      </c>
      <c r="B481" t="s">
        <v>1170</v>
      </c>
      <c r="C481">
        <v>88</v>
      </c>
      <c r="D481" t="s">
        <v>58</v>
      </c>
      <c r="F481" t="s">
        <v>30</v>
      </c>
      <c r="G481" t="s">
        <v>256</v>
      </c>
      <c r="H481" s="3">
        <v>45871</v>
      </c>
      <c r="J481" t="s">
        <v>122</v>
      </c>
      <c r="K481" t="s">
        <v>123</v>
      </c>
      <c r="L481" t="s">
        <v>1171</v>
      </c>
      <c r="N481" t="s">
        <v>69</v>
      </c>
      <c r="O481" t="s">
        <v>45</v>
      </c>
    </row>
    <row r="482" spans="1:15" ht="13.8" x14ac:dyDescent="0.25">
      <c r="A482" t="s">
        <v>1172</v>
      </c>
      <c r="B482" t="s">
        <v>1173</v>
      </c>
      <c r="C482">
        <v>79</v>
      </c>
      <c r="D482" t="s">
        <v>58</v>
      </c>
      <c r="E482" t="s">
        <v>155</v>
      </c>
      <c r="F482" t="s">
        <v>19</v>
      </c>
      <c r="G482" t="s">
        <v>196</v>
      </c>
      <c r="H482" s="1">
        <v>45840</v>
      </c>
      <c r="I482" s="1">
        <v>45853</v>
      </c>
      <c r="J482" t="s">
        <v>366</v>
      </c>
      <c r="K482" t="s">
        <v>367</v>
      </c>
      <c r="L482">
        <v>80052.56</v>
      </c>
      <c r="M482" t="s">
        <v>68</v>
      </c>
      <c r="N482" t="s">
        <v>496</v>
      </c>
      <c r="O482" t="s">
        <v>75</v>
      </c>
    </row>
    <row r="483" spans="1:15" ht="13.8" x14ac:dyDescent="0.25">
      <c r="A483" t="s">
        <v>1174</v>
      </c>
      <c r="B483" t="s">
        <v>1175</v>
      </c>
      <c r="C483">
        <v>76</v>
      </c>
      <c r="D483" t="s">
        <v>17</v>
      </c>
      <c r="E483" t="s">
        <v>49</v>
      </c>
      <c r="F483" t="s">
        <v>30</v>
      </c>
      <c r="G483" t="s">
        <v>256</v>
      </c>
      <c r="H483" s="1">
        <v>45736</v>
      </c>
      <c r="I483" t="s">
        <v>1176</v>
      </c>
      <c r="J483" t="s">
        <v>88</v>
      </c>
      <c r="K483" t="s">
        <v>89</v>
      </c>
      <c r="L483">
        <v>256542.3</v>
      </c>
      <c r="M483" t="s">
        <v>44</v>
      </c>
      <c r="N483" t="s">
        <v>55</v>
      </c>
      <c r="O483" t="s">
        <v>633</v>
      </c>
    </row>
    <row r="484" spans="1:15" ht="13.8" x14ac:dyDescent="0.25">
      <c r="A484" t="s">
        <v>1177</v>
      </c>
      <c r="B484" t="s">
        <v>1178</v>
      </c>
      <c r="C484">
        <v>15</v>
      </c>
      <c r="D484" t="s">
        <v>287</v>
      </c>
      <c r="E484" t="s">
        <v>97</v>
      </c>
      <c r="F484" t="s">
        <v>165</v>
      </c>
      <c r="G484" t="s">
        <v>172</v>
      </c>
      <c r="H484" s="1">
        <v>45989</v>
      </c>
      <c r="J484" t="s">
        <v>173</v>
      </c>
      <c r="K484" t="s">
        <v>174</v>
      </c>
      <c r="L484">
        <v>285895.32</v>
      </c>
      <c r="M484" t="s">
        <v>118</v>
      </c>
      <c r="N484" t="s">
        <v>55</v>
      </c>
      <c r="O484" t="s">
        <v>45</v>
      </c>
    </row>
    <row r="485" spans="1:15" ht="13.8" x14ac:dyDescent="0.25">
      <c r="A485" t="s">
        <v>1179</v>
      </c>
      <c r="B485" t="s">
        <v>1180</v>
      </c>
      <c r="C485">
        <v>43</v>
      </c>
      <c r="D485" t="s">
        <v>287</v>
      </c>
      <c r="F485" t="s">
        <v>60</v>
      </c>
      <c r="G485" t="s">
        <v>61</v>
      </c>
      <c r="I485" t="s">
        <v>1181</v>
      </c>
      <c r="J485" t="s">
        <v>81</v>
      </c>
      <c r="K485" t="s">
        <v>82</v>
      </c>
      <c r="L485">
        <v>222973.23</v>
      </c>
      <c r="M485" t="s">
        <v>84</v>
      </c>
      <c r="N485" t="s">
        <v>25</v>
      </c>
      <c r="O485" t="s">
        <v>112</v>
      </c>
    </row>
    <row r="486" spans="1:15" ht="13.8" x14ac:dyDescent="0.25">
      <c r="A486" t="s">
        <v>1182</v>
      </c>
      <c r="D486" t="s">
        <v>58</v>
      </c>
      <c r="E486" t="s">
        <v>155</v>
      </c>
      <c r="F486" t="s">
        <v>19</v>
      </c>
      <c r="G486" t="s">
        <v>20</v>
      </c>
      <c r="H486" s="1">
        <v>45981</v>
      </c>
      <c r="I486" s="1">
        <v>45989</v>
      </c>
      <c r="J486" t="s">
        <v>151</v>
      </c>
      <c r="K486" t="s">
        <v>152</v>
      </c>
      <c r="L486" t="s">
        <v>1183</v>
      </c>
      <c r="M486" t="s">
        <v>34</v>
      </c>
      <c r="N486" t="s">
        <v>55</v>
      </c>
      <c r="O486" t="s">
        <v>26</v>
      </c>
    </row>
    <row r="487" spans="1:15" ht="13.8" x14ac:dyDescent="0.25">
      <c r="A487" t="s">
        <v>1184</v>
      </c>
      <c r="B487" t="s">
        <v>1185</v>
      </c>
      <c r="C487">
        <v>80</v>
      </c>
      <c r="D487" t="s">
        <v>58</v>
      </c>
      <c r="E487" t="s">
        <v>137</v>
      </c>
      <c r="F487" t="s">
        <v>30</v>
      </c>
      <c r="G487" t="s">
        <v>256</v>
      </c>
      <c r="H487" s="1">
        <v>45997</v>
      </c>
      <c r="I487" t="s">
        <v>292</v>
      </c>
      <c r="J487" t="s">
        <v>88</v>
      </c>
      <c r="K487" t="s">
        <v>89</v>
      </c>
      <c r="L487" t="s">
        <v>1186</v>
      </c>
      <c r="M487" t="s">
        <v>34</v>
      </c>
      <c r="N487" t="s">
        <v>74</v>
      </c>
      <c r="O487" t="s">
        <v>36</v>
      </c>
    </row>
    <row r="488" spans="1:15" ht="13.8" x14ac:dyDescent="0.25">
      <c r="A488" t="s">
        <v>1187</v>
      </c>
      <c r="B488" t="s">
        <v>1188</v>
      </c>
      <c r="C488">
        <v>38</v>
      </c>
      <c r="D488" t="s">
        <v>17</v>
      </c>
      <c r="E488" t="s">
        <v>18</v>
      </c>
      <c r="F488" t="s">
        <v>30</v>
      </c>
      <c r="G488" t="s">
        <v>121</v>
      </c>
      <c r="H488" s="1">
        <v>45675</v>
      </c>
      <c r="I488" s="1">
        <v>45682</v>
      </c>
      <c r="J488" t="s">
        <v>122</v>
      </c>
      <c r="K488" t="s">
        <v>123</v>
      </c>
      <c r="L488">
        <v>316292.25</v>
      </c>
      <c r="M488" t="s">
        <v>54</v>
      </c>
      <c r="N488" t="s">
        <v>25</v>
      </c>
      <c r="O488" t="s">
        <v>112</v>
      </c>
    </row>
    <row r="489" spans="1:15" ht="13.8" x14ac:dyDescent="0.25">
      <c r="A489" t="s">
        <v>1189</v>
      </c>
      <c r="B489" t="s">
        <v>959</v>
      </c>
      <c r="C489">
        <v>64</v>
      </c>
      <c r="D489" t="s">
        <v>17</v>
      </c>
      <c r="F489" t="s">
        <v>40</v>
      </c>
      <c r="G489" t="s">
        <v>92</v>
      </c>
      <c r="H489" s="3">
        <v>45676</v>
      </c>
      <c r="I489" s="1">
        <v>45677</v>
      </c>
      <c r="J489" t="s">
        <v>42</v>
      </c>
      <c r="L489">
        <v>138512.87</v>
      </c>
      <c r="M489" t="s">
        <v>54</v>
      </c>
      <c r="N489" t="s">
        <v>25</v>
      </c>
      <c r="O489" t="s">
        <v>75</v>
      </c>
    </row>
    <row r="490" spans="1:15" ht="13.8" x14ac:dyDescent="0.25">
      <c r="A490" t="s">
        <v>1190</v>
      </c>
      <c r="B490" t="s">
        <v>639</v>
      </c>
      <c r="C490" t="s">
        <v>1191</v>
      </c>
      <c r="D490" t="s">
        <v>58</v>
      </c>
      <c r="E490" t="s">
        <v>39</v>
      </c>
      <c r="F490" t="s">
        <v>103</v>
      </c>
      <c r="G490" t="s">
        <v>455</v>
      </c>
      <c r="H490" t="s">
        <v>1192</v>
      </c>
      <c r="I490" s="3">
        <v>45979</v>
      </c>
      <c r="J490" t="s">
        <v>106</v>
      </c>
      <c r="K490" t="s">
        <v>110</v>
      </c>
      <c r="L490" t="s">
        <v>1193</v>
      </c>
      <c r="M490" t="s">
        <v>24</v>
      </c>
      <c r="N490" t="s">
        <v>25</v>
      </c>
      <c r="O490" t="s">
        <v>26</v>
      </c>
    </row>
    <row r="491" spans="1:15" ht="13.8" x14ac:dyDescent="0.25">
      <c r="A491" t="s">
        <v>1194</v>
      </c>
      <c r="B491" t="s">
        <v>1195</v>
      </c>
      <c r="C491">
        <v>81</v>
      </c>
      <c r="D491" t="s">
        <v>58</v>
      </c>
      <c r="E491" t="s">
        <v>72</v>
      </c>
      <c r="F491" t="s">
        <v>103</v>
      </c>
      <c r="G491" t="s">
        <v>104</v>
      </c>
      <c r="H491" s="1">
        <v>45828</v>
      </c>
      <c r="I491" s="3">
        <v>45844</v>
      </c>
      <c r="J491" t="s">
        <v>219</v>
      </c>
      <c r="K491" t="s">
        <v>140</v>
      </c>
      <c r="L491">
        <v>164538.67000000001</v>
      </c>
      <c r="M491" t="s">
        <v>24</v>
      </c>
      <c r="N491" t="s">
        <v>69</v>
      </c>
      <c r="O491" t="s">
        <v>26</v>
      </c>
    </row>
    <row r="492" spans="1:15" ht="13.8" x14ac:dyDescent="0.25">
      <c r="A492" t="s">
        <v>1196</v>
      </c>
      <c r="B492" t="s">
        <v>342</v>
      </c>
      <c r="C492">
        <v>31</v>
      </c>
      <c r="D492" t="s">
        <v>58</v>
      </c>
      <c r="E492" t="s">
        <v>78</v>
      </c>
      <c r="F492" t="s">
        <v>60</v>
      </c>
      <c r="G492" t="s">
        <v>177</v>
      </c>
      <c r="H492" s="1">
        <v>45844</v>
      </c>
      <c r="I492" s="1">
        <v>45854</v>
      </c>
      <c r="J492" t="s">
        <v>132</v>
      </c>
      <c r="K492" t="s">
        <v>133</v>
      </c>
      <c r="L492">
        <v>265719.40000000002</v>
      </c>
      <c r="M492" t="s">
        <v>44</v>
      </c>
      <c r="N492" t="s">
        <v>265</v>
      </c>
      <c r="O492" t="s">
        <v>75</v>
      </c>
    </row>
    <row r="493" spans="1:15" ht="13.8" x14ac:dyDescent="0.25">
      <c r="A493" t="s">
        <v>1197</v>
      </c>
      <c r="B493" t="s">
        <v>394</v>
      </c>
      <c r="C493">
        <v>75</v>
      </c>
      <c r="D493" t="s">
        <v>58</v>
      </c>
      <c r="E493" t="s">
        <v>137</v>
      </c>
      <c r="F493" t="s">
        <v>165</v>
      </c>
      <c r="G493" t="s">
        <v>302</v>
      </c>
      <c r="H493" t="s">
        <v>216</v>
      </c>
      <c r="I493" s="2">
        <v>45848</v>
      </c>
      <c r="J493" t="s">
        <v>173</v>
      </c>
      <c r="K493" t="s">
        <v>174</v>
      </c>
      <c r="L493" t="s">
        <v>1198</v>
      </c>
      <c r="M493" t="s">
        <v>68</v>
      </c>
      <c r="N493" t="s">
        <v>69</v>
      </c>
      <c r="O493" t="s">
        <v>75</v>
      </c>
    </row>
    <row r="494" spans="1:15" ht="13.8" x14ac:dyDescent="0.25">
      <c r="A494" t="s">
        <v>1199</v>
      </c>
      <c r="B494" t="s">
        <v>941</v>
      </c>
      <c r="C494">
        <v>41</v>
      </c>
      <c r="D494" t="s">
        <v>17</v>
      </c>
      <c r="E494" t="s">
        <v>39</v>
      </c>
      <c r="F494" t="s">
        <v>60</v>
      </c>
      <c r="G494" t="s">
        <v>1200</v>
      </c>
      <c r="H494" s="3">
        <v>45706</v>
      </c>
      <c r="I494" s="1">
        <v>45712</v>
      </c>
      <c r="J494" t="s">
        <v>263</v>
      </c>
      <c r="K494" t="s">
        <v>264</v>
      </c>
      <c r="L494" t="s">
        <v>1201</v>
      </c>
      <c r="N494" t="s">
        <v>55</v>
      </c>
      <c r="O494" t="s">
        <v>36</v>
      </c>
    </row>
    <row r="495" spans="1:15" ht="13.8" x14ac:dyDescent="0.25">
      <c r="A495" t="s">
        <v>1202</v>
      </c>
      <c r="B495" t="s">
        <v>991</v>
      </c>
      <c r="C495">
        <v>14</v>
      </c>
      <c r="D495" t="s">
        <v>58</v>
      </c>
      <c r="E495" t="s">
        <v>78</v>
      </c>
      <c r="F495" t="s">
        <v>30</v>
      </c>
      <c r="G495" t="s">
        <v>31</v>
      </c>
      <c r="H495" s="3">
        <v>45716</v>
      </c>
      <c r="I495" s="3">
        <v>45721</v>
      </c>
      <c r="J495" t="s">
        <v>122</v>
      </c>
      <c r="K495" t="s">
        <v>123</v>
      </c>
      <c r="L495">
        <v>-153231.04999999999</v>
      </c>
      <c r="M495" t="s">
        <v>68</v>
      </c>
      <c r="N495" t="s">
        <v>25</v>
      </c>
      <c r="O495" t="s">
        <v>26</v>
      </c>
    </row>
    <row r="496" spans="1:15" ht="13.8" x14ac:dyDescent="0.25">
      <c r="A496" t="s">
        <v>1203</v>
      </c>
      <c r="B496" t="s">
        <v>746</v>
      </c>
      <c r="C496">
        <v>64</v>
      </c>
      <c r="D496" t="s">
        <v>58</v>
      </c>
      <c r="E496" t="s">
        <v>39</v>
      </c>
      <c r="F496" t="s">
        <v>60</v>
      </c>
      <c r="G496" t="s">
        <v>79</v>
      </c>
      <c r="H496" s="1">
        <v>45785</v>
      </c>
      <c r="I496" s="3">
        <v>45794</v>
      </c>
      <c r="J496" t="s">
        <v>132</v>
      </c>
      <c r="L496">
        <v>298327.53999999998</v>
      </c>
      <c r="M496" t="s">
        <v>68</v>
      </c>
      <c r="O496" t="s">
        <v>36</v>
      </c>
    </row>
    <row r="497" spans="1:15" ht="13.8" x14ac:dyDescent="0.25">
      <c r="A497" t="s">
        <v>1204</v>
      </c>
      <c r="B497" t="s">
        <v>586</v>
      </c>
      <c r="C497">
        <v>67</v>
      </c>
      <c r="D497" t="s">
        <v>17</v>
      </c>
      <c r="E497" t="s">
        <v>49</v>
      </c>
      <c r="F497" t="s">
        <v>19</v>
      </c>
      <c r="G497" t="s">
        <v>127</v>
      </c>
      <c r="I497" t="s">
        <v>361</v>
      </c>
      <c r="J497" t="s">
        <v>22</v>
      </c>
      <c r="K497" t="s">
        <v>1205</v>
      </c>
      <c r="L497">
        <v>64061.41</v>
      </c>
      <c r="M497" t="s">
        <v>44</v>
      </c>
      <c r="N497" t="s">
        <v>25</v>
      </c>
      <c r="O497" t="s">
        <v>75</v>
      </c>
    </row>
    <row r="498" spans="1:15" ht="13.8" x14ac:dyDescent="0.25">
      <c r="A498" t="s">
        <v>1206</v>
      </c>
      <c r="B498" t="s">
        <v>1207</v>
      </c>
      <c r="C498">
        <v>12</v>
      </c>
      <c r="D498" t="s">
        <v>17</v>
      </c>
      <c r="E498" t="s">
        <v>78</v>
      </c>
      <c r="F498" t="s">
        <v>50</v>
      </c>
      <c r="G498" t="s">
        <v>190</v>
      </c>
      <c r="H498" t="s">
        <v>1208</v>
      </c>
      <c r="I498" s="3">
        <v>45903</v>
      </c>
      <c r="J498" t="s">
        <v>191</v>
      </c>
      <c r="K498" t="s">
        <v>192</v>
      </c>
      <c r="L498" t="s">
        <v>1209</v>
      </c>
      <c r="M498" t="s">
        <v>44</v>
      </c>
      <c r="N498" t="s">
        <v>74</v>
      </c>
      <c r="O498" t="s">
        <v>26</v>
      </c>
    </row>
    <row r="499" spans="1:15" ht="13.8" x14ac:dyDescent="0.25">
      <c r="A499" t="s">
        <v>1210</v>
      </c>
      <c r="B499" t="s">
        <v>1049</v>
      </c>
      <c r="C499">
        <v>12</v>
      </c>
      <c r="D499" t="s">
        <v>17</v>
      </c>
      <c r="E499" t="s">
        <v>78</v>
      </c>
      <c r="F499" t="s">
        <v>30</v>
      </c>
      <c r="G499" t="s">
        <v>31</v>
      </c>
      <c r="I499" s="1">
        <v>45958</v>
      </c>
      <c r="J499" t="s">
        <v>122</v>
      </c>
      <c r="K499" t="s">
        <v>123</v>
      </c>
      <c r="L499">
        <v>314197.02</v>
      </c>
      <c r="M499" t="s">
        <v>84</v>
      </c>
      <c r="N499" t="s">
        <v>55</v>
      </c>
      <c r="O499" t="s">
        <v>26</v>
      </c>
    </row>
    <row r="500" spans="1:15" ht="13.8" x14ac:dyDescent="0.25">
      <c r="A500" t="s">
        <v>1211</v>
      </c>
      <c r="B500" t="s">
        <v>1212</v>
      </c>
      <c r="C500">
        <v>35</v>
      </c>
      <c r="D500" t="s">
        <v>17</v>
      </c>
      <c r="E500" t="s">
        <v>137</v>
      </c>
      <c r="F500" t="s">
        <v>30</v>
      </c>
      <c r="G500" t="s">
        <v>121</v>
      </c>
      <c r="H500" s="2">
        <v>45904</v>
      </c>
      <c r="J500" t="s">
        <v>885</v>
      </c>
      <c r="K500" t="s">
        <v>123</v>
      </c>
      <c r="L500">
        <v>308766.90999999997</v>
      </c>
      <c r="M500" t="s">
        <v>68</v>
      </c>
      <c r="N500" t="s">
        <v>25</v>
      </c>
      <c r="O500" t="s">
        <v>45</v>
      </c>
    </row>
    <row r="501" spans="1:15" ht="13.8" x14ac:dyDescent="0.25">
      <c r="B501" t="s">
        <v>1213</v>
      </c>
      <c r="C501">
        <v>2</v>
      </c>
      <c r="D501" t="s">
        <v>58</v>
      </c>
      <c r="E501" t="s">
        <v>97</v>
      </c>
      <c r="G501" t="s">
        <v>196</v>
      </c>
      <c r="H501" s="1">
        <v>45878</v>
      </c>
      <c r="I501" s="1">
        <v>45889</v>
      </c>
      <c r="J501" t="s">
        <v>366</v>
      </c>
      <c r="K501" t="s">
        <v>367</v>
      </c>
      <c r="L501">
        <v>99999999</v>
      </c>
      <c r="M501" t="s">
        <v>84</v>
      </c>
      <c r="N501" t="s">
        <v>74</v>
      </c>
      <c r="O501" t="s">
        <v>198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8F5B-5EE9-405C-A780-DF6586D638F7}">
  <dimension ref="A1:O376"/>
  <sheetViews>
    <sheetView zoomScale="71" zoomScaleNormal="145" workbookViewId="0">
      <selection activeCell="C1" sqref="C1:C1048576"/>
    </sheetView>
  </sheetViews>
  <sheetFormatPr defaultRowHeight="18" x14ac:dyDescent="0.25"/>
  <cols>
    <col min="1" max="1" width="11.69921875" customWidth="1"/>
    <col min="2" max="2" width="14.8984375" customWidth="1"/>
    <col min="3" max="3" width="9.59765625" customWidth="1"/>
    <col min="4" max="4" width="11.5" customWidth="1"/>
    <col min="5" max="5" width="10.59765625" customWidth="1"/>
    <col min="6" max="6" width="12.69921875" customWidth="1"/>
    <col min="7" max="7" width="21.59765625" customWidth="1"/>
    <col min="8" max="8" width="16.69921875" customWidth="1"/>
    <col min="9" max="9" width="16.09765625" customWidth="1"/>
    <col min="10" max="10" width="31.59765625" customWidth="1"/>
    <col min="11" max="11" width="26.3984375" customWidth="1"/>
    <col min="12" max="12" width="16.5" customWidth="1"/>
    <col min="13" max="13" width="12.796875" customWidth="1"/>
    <col min="14" max="14" width="16.69921875" customWidth="1"/>
    <col min="15" max="15" width="29" customWidth="1"/>
  </cols>
  <sheetData>
    <row r="1" spans="1:15" ht="13.8" x14ac:dyDescent="0.25">
      <c r="A1" t="s">
        <v>0</v>
      </c>
      <c r="B1" t="s">
        <v>1</v>
      </c>
      <c r="C1" t="s">
        <v>1214</v>
      </c>
      <c r="D1" t="s">
        <v>3</v>
      </c>
      <c r="E1" t="s">
        <v>4</v>
      </c>
      <c r="F1" t="s">
        <v>5</v>
      </c>
      <c r="G1" t="s">
        <v>6</v>
      </c>
      <c r="H1" t="s">
        <v>7</v>
      </c>
      <c r="I1" t="s">
        <v>8</v>
      </c>
      <c r="J1" t="s">
        <v>9</v>
      </c>
      <c r="K1" t="s">
        <v>10</v>
      </c>
      <c r="L1" t="s">
        <v>11</v>
      </c>
      <c r="M1" t="s">
        <v>12</v>
      </c>
      <c r="N1" t="s">
        <v>13</v>
      </c>
      <c r="O1" t="s">
        <v>14</v>
      </c>
    </row>
    <row r="2" spans="1:15" ht="13.8" x14ac:dyDescent="0.25">
      <c r="A2" t="s">
        <v>27</v>
      </c>
      <c r="B2" t="s">
        <v>28</v>
      </c>
      <c r="C2">
        <v>55</v>
      </c>
      <c r="D2" t="s">
        <v>58</v>
      </c>
      <c r="E2" t="s">
        <v>1215</v>
      </c>
      <c r="F2" t="s">
        <v>30</v>
      </c>
      <c r="G2" t="s">
        <v>1216</v>
      </c>
      <c r="H2" s="1">
        <v>45992</v>
      </c>
      <c r="I2" s="1">
        <v>45681</v>
      </c>
      <c r="J2" t="s">
        <v>32</v>
      </c>
      <c r="K2" t="s">
        <v>33</v>
      </c>
      <c r="L2">
        <v>100821.63</v>
      </c>
      <c r="M2" t="s">
        <v>34</v>
      </c>
      <c r="N2" t="s">
        <v>35</v>
      </c>
      <c r="O2" t="s">
        <v>36</v>
      </c>
    </row>
    <row r="3" spans="1:15" ht="13.8" x14ac:dyDescent="0.25">
      <c r="A3" t="s">
        <v>37</v>
      </c>
      <c r="B3" t="s">
        <v>38</v>
      </c>
      <c r="C3">
        <v>11</v>
      </c>
      <c r="D3" t="s">
        <v>58</v>
      </c>
      <c r="E3" t="s">
        <v>39</v>
      </c>
      <c r="F3" t="s">
        <v>40</v>
      </c>
      <c r="G3" t="s">
        <v>1217</v>
      </c>
      <c r="H3" s="1">
        <v>45911</v>
      </c>
      <c r="I3" s="1">
        <v>46014</v>
      </c>
      <c r="J3" t="s">
        <v>1218</v>
      </c>
      <c r="K3" t="s">
        <v>43</v>
      </c>
      <c r="L3">
        <v>159034.31</v>
      </c>
      <c r="M3" t="s">
        <v>1219</v>
      </c>
      <c r="N3" t="s">
        <v>25</v>
      </c>
      <c r="O3" t="s">
        <v>45</v>
      </c>
    </row>
    <row r="4" spans="1:15" ht="13.8" x14ac:dyDescent="0.25">
      <c r="A4" t="s">
        <v>1220</v>
      </c>
      <c r="B4" t="s">
        <v>47</v>
      </c>
      <c r="C4">
        <v>42</v>
      </c>
      <c r="D4" t="s">
        <v>58</v>
      </c>
      <c r="E4" t="s">
        <v>49</v>
      </c>
      <c r="F4" t="s">
        <v>50</v>
      </c>
      <c r="G4" t="s">
        <v>1221</v>
      </c>
      <c r="H4" s="1">
        <v>45821</v>
      </c>
      <c r="I4" s="1">
        <v>46014</v>
      </c>
      <c r="J4" t="s">
        <v>1222</v>
      </c>
      <c r="K4" t="s">
        <v>53</v>
      </c>
      <c r="L4">
        <v>201434.4</v>
      </c>
      <c r="M4" t="s">
        <v>54</v>
      </c>
      <c r="N4" t="s">
        <v>55</v>
      </c>
      <c r="O4" t="s">
        <v>45</v>
      </c>
    </row>
    <row r="5" spans="1:15" ht="13.8" x14ac:dyDescent="0.25">
      <c r="A5" t="s">
        <v>56</v>
      </c>
      <c r="B5" t="s">
        <v>57</v>
      </c>
      <c r="C5">
        <v>52</v>
      </c>
      <c r="D5" t="s">
        <v>58</v>
      </c>
      <c r="E5" t="s">
        <v>59</v>
      </c>
      <c r="F5" t="s">
        <v>60</v>
      </c>
      <c r="G5" t="s">
        <v>1223</v>
      </c>
      <c r="H5" s="1">
        <v>45732</v>
      </c>
      <c r="I5" s="1">
        <v>45743</v>
      </c>
      <c r="J5" t="s">
        <v>62</v>
      </c>
      <c r="K5" t="s">
        <v>1224</v>
      </c>
      <c r="L5">
        <v>130701.41</v>
      </c>
      <c r="M5" t="s">
        <v>1219</v>
      </c>
      <c r="N5" t="s">
        <v>35</v>
      </c>
      <c r="O5" t="s">
        <v>36</v>
      </c>
    </row>
    <row r="6" spans="1:15" ht="13.8" x14ac:dyDescent="0.25">
      <c r="A6" t="s">
        <v>64</v>
      </c>
      <c r="B6" t="s">
        <v>65</v>
      </c>
      <c r="C6">
        <v>6</v>
      </c>
      <c r="D6" t="s">
        <v>58</v>
      </c>
      <c r="E6" t="s">
        <v>39</v>
      </c>
      <c r="F6" t="s">
        <v>40</v>
      </c>
      <c r="G6" t="s">
        <v>1217</v>
      </c>
      <c r="H6" s="1">
        <v>45941</v>
      </c>
      <c r="I6" s="1">
        <v>45948</v>
      </c>
      <c r="J6" t="s">
        <v>1215</v>
      </c>
      <c r="K6" t="s">
        <v>67</v>
      </c>
      <c r="L6">
        <v>235214.45</v>
      </c>
      <c r="M6" t="s">
        <v>1225</v>
      </c>
      <c r="N6" t="s">
        <v>69</v>
      </c>
      <c r="O6" t="s">
        <v>1215</v>
      </c>
    </row>
    <row r="7" spans="1:15" ht="13.8" x14ac:dyDescent="0.25">
      <c r="A7" t="s">
        <v>70</v>
      </c>
      <c r="B7" t="s">
        <v>71</v>
      </c>
      <c r="C7">
        <v>44</v>
      </c>
      <c r="D7" t="s">
        <v>17</v>
      </c>
      <c r="E7" t="s">
        <v>72</v>
      </c>
      <c r="F7" t="s">
        <v>40</v>
      </c>
      <c r="G7" t="s">
        <v>1226</v>
      </c>
      <c r="H7" s="1">
        <v>45695</v>
      </c>
      <c r="I7" s="1">
        <v>45847</v>
      </c>
      <c r="J7" t="s">
        <v>1218</v>
      </c>
      <c r="K7" t="s">
        <v>43</v>
      </c>
      <c r="L7">
        <v>64345.01</v>
      </c>
      <c r="M7" t="s">
        <v>34</v>
      </c>
      <c r="N7" t="s">
        <v>74</v>
      </c>
      <c r="O7" t="s">
        <v>1227</v>
      </c>
    </row>
    <row r="8" spans="1:15" ht="13.8" x14ac:dyDescent="0.25">
      <c r="A8" t="s">
        <v>86</v>
      </c>
      <c r="B8" t="s">
        <v>87</v>
      </c>
      <c r="C8">
        <v>82</v>
      </c>
      <c r="D8" t="s">
        <v>58</v>
      </c>
      <c r="E8" t="s">
        <v>59</v>
      </c>
      <c r="F8" t="s">
        <v>30</v>
      </c>
      <c r="G8" t="s">
        <v>1216</v>
      </c>
      <c r="H8" s="1">
        <v>45735</v>
      </c>
      <c r="I8" s="1">
        <v>45741</v>
      </c>
      <c r="J8" t="s">
        <v>88</v>
      </c>
      <c r="K8" t="s">
        <v>89</v>
      </c>
      <c r="L8">
        <v>70846.91</v>
      </c>
      <c r="M8" t="s">
        <v>84</v>
      </c>
      <c r="N8" t="s">
        <v>74</v>
      </c>
      <c r="O8" t="s">
        <v>26</v>
      </c>
    </row>
    <row r="9" spans="1:15" ht="13.8" x14ac:dyDescent="0.25">
      <c r="A9" t="s">
        <v>90</v>
      </c>
      <c r="B9" t="s">
        <v>91</v>
      </c>
      <c r="C9">
        <v>8</v>
      </c>
      <c r="D9" t="s">
        <v>58</v>
      </c>
      <c r="E9" t="s">
        <v>18</v>
      </c>
      <c r="F9" t="s">
        <v>40</v>
      </c>
      <c r="G9" t="s">
        <v>1228</v>
      </c>
      <c r="H9" s="1">
        <v>45680</v>
      </c>
      <c r="I9" s="1">
        <v>45693</v>
      </c>
      <c r="J9" t="s">
        <v>93</v>
      </c>
      <c r="K9" t="s">
        <v>94</v>
      </c>
      <c r="L9">
        <v>293150.34999999998</v>
      </c>
      <c r="M9" t="s">
        <v>34</v>
      </c>
      <c r="N9" t="s">
        <v>74</v>
      </c>
      <c r="O9" t="s">
        <v>36</v>
      </c>
    </row>
    <row r="10" spans="1:15" ht="13.8" x14ac:dyDescent="0.25">
      <c r="A10" t="s">
        <v>108</v>
      </c>
      <c r="B10" t="s">
        <v>109</v>
      </c>
      <c r="C10">
        <v>32</v>
      </c>
      <c r="D10" t="s">
        <v>58</v>
      </c>
      <c r="E10" t="s">
        <v>72</v>
      </c>
      <c r="F10" t="s">
        <v>103</v>
      </c>
      <c r="G10" t="s">
        <v>1229</v>
      </c>
      <c r="H10" s="1">
        <v>45968</v>
      </c>
      <c r="I10" s="1">
        <v>45973</v>
      </c>
      <c r="J10" t="s">
        <v>106</v>
      </c>
      <c r="K10" t="s">
        <v>110</v>
      </c>
      <c r="L10">
        <v>278473.99</v>
      </c>
      <c r="M10" t="s">
        <v>24</v>
      </c>
      <c r="N10" t="s">
        <v>55</v>
      </c>
      <c r="O10" t="s">
        <v>112</v>
      </c>
    </row>
    <row r="11" spans="1:15" ht="13.8" x14ac:dyDescent="0.25">
      <c r="A11" t="s">
        <v>1215</v>
      </c>
      <c r="B11" t="s">
        <v>57</v>
      </c>
      <c r="C11">
        <v>82</v>
      </c>
      <c r="D11" t="s">
        <v>58</v>
      </c>
      <c r="E11" t="s">
        <v>102</v>
      </c>
      <c r="F11" t="s">
        <v>19</v>
      </c>
      <c r="G11" t="s">
        <v>1230</v>
      </c>
      <c r="H11" s="1">
        <v>45955</v>
      </c>
      <c r="I11" s="1">
        <v>45966</v>
      </c>
      <c r="J11" t="s">
        <v>22</v>
      </c>
      <c r="K11" t="s">
        <v>23</v>
      </c>
      <c r="L11">
        <v>328729.7</v>
      </c>
      <c r="M11" t="s">
        <v>1219</v>
      </c>
      <c r="N11" t="s">
        <v>69</v>
      </c>
      <c r="O11" t="s">
        <v>26</v>
      </c>
    </row>
    <row r="12" spans="1:15" ht="13.8" x14ac:dyDescent="0.25">
      <c r="A12" t="s">
        <v>113</v>
      </c>
      <c r="B12" t="s">
        <v>114</v>
      </c>
      <c r="C12">
        <v>27</v>
      </c>
      <c r="D12" t="s">
        <v>115</v>
      </c>
      <c r="E12" t="s">
        <v>72</v>
      </c>
      <c r="F12" t="s">
        <v>40</v>
      </c>
      <c r="G12" t="s">
        <v>1226</v>
      </c>
      <c r="H12" s="1">
        <v>45747</v>
      </c>
      <c r="I12" s="1">
        <v>45742</v>
      </c>
      <c r="J12" t="s">
        <v>116</v>
      </c>
      <c r="K12" t="s">
        <v>1231</v>
      </c>
      <c r="L12">
        <v>75685.5</v>
      </c>
      <c r="M12" t="s">
        <v>118</v>
      </c>
      <c r="N12" t="s">
        <v>69</v>
      </c>
      <c r="O12" t="s">
        <v>26</v>
      </c>
    </row>
    <row r="13" spans="1:15" ht="13.8" x14ac:dyDescent="0.25">
      <c r="A13" t="s">
        <v>1232</v>
      </c>
      <c r="B13" t="s">
        <v>120</v>
      </c>
      <c r="C13">
        <v>30</v>
      </c>
      <c r="D13" t="s">
        <v>17</v>
      </c>
      <c r="E13" t="s">
        <v>1215</v>
      </c>
      <c r="F13" t="s">
        <v>30</v>
      </c>
      <c r="G13" t="s">
        <v>1233</v>
      </c>
      <c r="H13" s="1">
        <v>45883</v>
      </c>
      <c r="I13" s="1">
        <v>45894</v>
      </c>
      <c r="J13" t="s">
        <v>122</v>
      </c>
      <c r="K13" t="s">
        <v>123</v>
      </c>
      <c r="L13" s="4">
        <v>18589.990000000002</v>
      </c>
      <c r="M13" t="s">
        <v>54</v>
      </c>
      <c r="N13" t="s">
        <v>69</v>
      </c>
      <c r="O13" t="s">
        <v>1234</v>
      </c>
    </row>
    <row r="14" spans="1:15" ht="19.95" customHeight="1" x14ac:dyDescent="0.25">
      <c r="A14" t="s">
        <v>126</v>
      </c>
      <c r="B14" t="s">
        <v>114</v>
      </c>
      <c r="C14">
        <v>18</v>
      </c>
      <c r="D14" t="s">
        <v>17</v>
      </c>
      <c r="E14" t="s">
        <v>18</v>
      </c>
      <c r="F14" t="s">
        <v>19</v>
      </c>
      <c r="G14" t="s">
        <v>1235</v>
      </c>
      <c r="H14" s="1">
        <v>45840</v>
      </c>
      <c r="I14" s="1">
        <v>45841</v>
      </c>
      <c r="J14" t="s">
        <v>22</v>
      </c>
      <c r="K14" t="s">
        <v>23</v>
      </c>
      <c r="L14" s="4">
        <v>121300.98</v>
      </c>
      <c r="M14" t="s">
        <v>84</v>
      </c>
      <c r="N14" t="s">
        <v>55</v>
      </c>
      <c r="O14" t="s">
        <v>1227</v>
      </c>
    </row>
    <row r="15" spans="1:15" ht="13.8" x14ac:dyDescent="0.25">
      <c r="A15" t="s">
        <v>135</v>
      </c>
      <c r="B15" t="s">
        <v>136</v>
      </c>
      <c r="C15">
        <v>18</v>
      </c>
      <c r="D15" t="s">
        <v>58</v>
      </c>
      <c r="E15" t="s">
        <v>137</v>
      </c>
      <c r="F15" t="s">
        <v>103</v>
      </c>
      <c r="G15" t="s">
        <v>1236</v>
      </c>
      <c r="H15" s="1">
        <v>45927</v>
      </c>
      <c r="I15" s="1">
        <v>45848</v>
      </c>
      <c r="J15" t="s">
        <v>219</v>
      </c>
      <c r="K15" t="s">
        <v>140</v>
      </c>
      <c r="L15">
        <v>102930.63</v>
      </c>
      <c r="M15" t="s">
        <v>1219</v>
      </c>
      <c r="N15" t="s">
        <v>1237</v>
      </c>
      <c r="O15" t="s">
        <v>26</v>
      </c>
    </row>
    <row r="16" spans="1:15" ht="13.8" x14ac:dyDescent="0.25">
      <c r="A16" t="s">
        <v>142</v>
      </c>
      <c r="B16" t="s">
        <v>143</v>
      </c>
      <c r="C16">
        <v>78</v>
      </c>
      <c r="D16" t="s">
        <v>58</v>
      </c>
      <c r="E16" t="s">
        <v>59</v>
      </c>
      <c r="F16" t="s">
        <v>40</v>
      </c>
      <c r="G16" t="s">
        <v>1228</v>
      </c>
      <c r="H16" s="1">
        <v>45680</v>
      </c>
      <c r="I16" s="1">
        <v>46014</v>
      </c>
      <c r="J16" t="s">
        <v>93</v>
      </c>
      <c r="K16" t="s">
        <v>94</v>
      </c>
      <c r="L16">
        <v>296127.5</v>
      </c>
      <c r="M16" t="s">
        <v>84</v>
      </c>
      <c r="N16" t="s">
        <v>69</v>
      </c>
      <c r="O16" t="s">
        <v>45</v>
      </c>
    </row>
    <row r="17" spans="1:15" ht="13.8" x14ac:dyDescent="0.25">
      <c r="A17" t="s">
        <v>149</v>
      </c>
      <c r="B17" t="s">
        <v>150</v>
      </c>
      <c r="C17">
        <v>38</v>
      </c>
      <c r="D17" t="s">
        <v>17</v>
      </c>
      <c r="E17" t="s">
        <v>39</v>
      </c>
      <c r="F17" t="s">
        <v>19</v>
      </c>
      <c r="G17" t="s">
        <v>1230</v>
      </c>
      <c r="H17" s="1">
        <v>45663</v>
      </c>
      <c r="I17" s="1">
        <v>45665</v>
      </c>
      <c r="J17" t="s">
        <v>151</v>
      </c>
      <c r="K17" t="s">
        <v>152</v>
      </c>
      <c r="L17">
        <v>218725.35</v>
      </c>
      <c r="M17" t="s">
        <v>54</v>
      </c>
      <c r="N17" t="s">
        <v>69</v>
      </c>
      <c r="O17" t="s">
        <v>36</v>
      </c>
    </row>
    <row r="18" spans="1:15" ht="13.8" x14ac:dyDescent="0.25">
      <c r="A18" t="s">
        <v>153</v>
      </c>
      <c r="B18" t="s">
        <v>154</v>
      </c>
      <c r="C18">
        <v>15</v>
      </c>
      <c r="D18" t="s">
        <v>17</v>
      </c>
      <c r="E18" t="s">
        <v>155</v>
      </c>
      <c r="F18" t="s">
        <v>40</v>
      </c>
      <c r="G18" t="s">
        <v>1217</v>
      </c>
      <c r="H18" s="1">
        <v>45779</v>
      </c>
      <c r="I18" s="1">
        <v>46014</v>
      </c>
      <c r="J18" t="s">
        <v>93</v>
      </c>
      <c r="K18" t="s">
        <v>94</v>
      </c>
      <c r="L18">
        <v>17679.5</v>
      </c>
      <c r="M18" t="s">
        <v>118</v>
      </c>
      <c r="N18" t="s">
        <v>55</v>
      </c>
      <c r="O18" t="s">
        <v>45</v>
      </c>
    </row>
    <row r="19" spans="1:15" ht="13.8" x14ac:dyDescent="0.25">
      <c r="A19" t="s">
        <v>157</v>
      </c>
      <c r="B19" t="s">
        <v>158</v>
      </c>
      <c r="C19">
        <v>33</v>
      </c>
      <c r="D19" t="s">
        <v>58</v>
      </c>
      <c r="E19" t="s">
        <v>102</v>
      </c>
      <c r="F19" t="s">
        <v>60</v>
      </c>
      <c r="G19" t="s">
        <v>1226</v>
      </c>
      <c r="H19" s="1">
        <v>45926</v>
      </c>
      <c r="I19" s="1">
        <v>45932</v>
      </c>
      <c r="J19" t="s">
        <v>132</v>
      </c>
      <c r="K19" t="s">
        <v>1238</v>
      </c>
      <c r="L19">
        <v>345599.6</v>
      </c>
      <c r="M19" t="s">
        <v>84</v>
      </c>
      <c r="N19" t="s">
        <v>1215</v>
      </c>
      <c r="O19" t="s">
        <v>36</v>
      </c>
    </row>
    <row r="20" spans="1:15" ht="13.8" x14ac:dyDescent="0.25">
      <c r="A20" t="s">
        <v>170</v>
      </c>
      <c r="B20" t="s">
        <v>171</v>
      </c>
      <c r="C20">
        <v>42</v>
      </c>
      <c r="D20" t="s">
        <v>115</v>
      </c>
      <c r="E20" t="s">
        <v>39</v>
      </c>
      <c r="F20" t="s">
        <v>165</v>
      </c>
      <c r="G20" t="s">
        <v>1239</v>
      </c>
      <c r="H20" s="1">
        <v>45944</v>
      </c>
      <c r="I20" s="1">
        <v>45962</v>
      </c>
      <c r="J20" t="s">
        <v>173</v>
      </c>
      <c r="K20" t="s">
        <v>174</v>
      </c>
      <c r="L20">
        <v>192645.57</v>
      </c>
      <c r="M20" t="s">
        <v>54</v>
      </c>
      <c r="N20" t="s">
        <v>55</v>
      </c>
      <c r="O20" t="s">
        <v>26</v>
      </c>
    </row>
    <row r="21" spans="1:15" ht="13.8" x14ac:dyDescent="0.25">
      <c r="A21" t="s">
        <v>175</v>
      </c>
      <c r="B21" t="s">
        <v>176</v>
      </c>
      <c r="C21">
        <v>60</v>
      </c>
      <c r="D21" t="s">
        <v>58</v>
      </c>
      <c r="E21" t="s">
        <v>78</v>
      </c>
      <c r="F21" t="s">
        <v>60</v>
      </c>
      <c r="G21" t="s">
        <v>1240</v>
      </c>
      <c r="H21" s="1">
        <v>45803</v>
      </c>
      <c r="I21" s="1">
        <v>45815</v>
      </c>
      <c r="J21" t="s">
        <v>132</v>
      </c>
      <c r="K21" t="s">
        <v>1238</v>
      </c>
      <c r="L21">
        <v>264892.76</v>
      </c>
      <c r="M21" t="s">
        <v>1225</v>
      </c>
      <c r="N21" t="s">
        <v>69</v>
      </c>
      <c r="O21" t="s">
        <v>1215</v>
      </c>
    </row>
    <row r="22" spans="1:15" ht="13.8" x14ac:dyDescent="0.25">
      <c r="A22" t="s">
        <v>178</v>
      </c>
      <c r="B22" t="s">
        <v>179</v>
      </c>
      <c r="C22">
        <v>1</v>
      </c>
      <c r="D22" t="s">
        <v>17</v>
      </c>
      <c r="E22" t="s">
        <v>137</v>
      </c>
      <c r="F22" t="s">
        <v>40</v>
      </c>
      <c r="G22" t="s">
        <v>1217</v>
      </c>
      <c r="H22" s="1">
        <v>45959</v>
      </c>
      <c r="I22" s="1">
        <v>45968</v>
      </c>
      <c r="J22" t="s">
        <v>1215</v>
      </c>
      <c r="K22" t="s">
        <v>1231</v>
      </c>
      <c r="L22">
        <v>273333.11</v>
      </c>
      <c r="M22" t="s">
        <v>24</v>
      </c>
      <c r="N22" t="s">
        <v>74</v>
      </c>
      <c r="O22" t="s">
        <v>26</v>
      </c>
    </row>
    <row r="23" spans="1:15" ht="13.8" x14ac:dyDescent="0.25">
      <c r="A23" t="s">
        <v>181</v>
      </c>
      <c r="B23" t="s">
        <v>1241</v>
      </c>
      <c r="C23">
        <v>79</v>
      </c>
      <c r="D23" t="s">
        <v>17</v>
      </c>
      <c r="E23" t="s">
        <v>49</v>
      </c>
      <c r="F23" t="s">
        <v>165</v>
      </c>
      <c r="G23" t="s">
        <v>1242</v>
      </c>
      <c r="H23" s="1">
        <v>45663</v>
      </c>
      <c r="I23" s="1">
        <v>46014</v>
      </c>
      <c r="J23" t="s">
        <v>183</v>
      </c>
      <c r="K23" t="s">
        <v>184</v>
      </c>
      <c r="L23">
        <v>222932.36</v>
      </c>
      <c r="M23" t="s">
        <v>54</v>
      </c>
      <c r="N23" t="s">
        <v>25</v>
      </c>
      <c r="O23" t="s">
        <v>45</v>
      </c>
    </row>
    <row r="24" spans="1:15" ht="13.8" x14ac:dyDescent="0.25">
      <c r="A24" t="s">
        <v>185</v>
      </c>
      <c r="B24" t="s">
        <v>186</v>
      </c>
      <c r="C24">
        <v>65</v>
      </c>
      <c r="D24" t="s">
        <v>58</v>
      </c>
      <c r="E24" t="s">
        <v>78</v>
      </c>
      <c r="F24" t="s">
        <v>30</v>
      </c>
      <c r="G24" t="s">
        <v>1216</v>
      </c>
      <c r="H24" s="1">
        <v>45699</v>
      </c>
      <c r="I24" s="1">
        <v>45700</v>
      </c>
      <c r="J24" t="s">
        <v>32</v>
      </c>
      <c r="K24" t="s">
        <v>1215</v>
      </c>
      <c r="L24">
        <v>83463</v>
      </c>
      <c r="M24" t="s">
        <v>1219</v>
      </c>
      <c r="N24" t="s">
        <v>74</v>
      </c>
      <c r="O24" t="s">
        <v>26</v>
      </c>
    </row>
    <row r="25" spans="1:15" ht="13.8" x14ac:dyDescent="0.25">
      <c r="A25" t="s">
        <v>188</v>
      </c>
      <c r="B25" t="s">
        <v>189</v>
      </c>
      <c r="C25">
        <v>65</v>
      </c>
      <c r="D25" t="s">
        <v>17</v>
      </c>
      <c r="E25" t="s">
        <v>137</v>
      </c>
      <c r="F25" t="s">
        <v>50</v>
      </c>
      <c r="G25" t="s">
        <v>1243</v>
      </c>
      <c r="H25" s="1">
        <v>45681</v>
      </c>
      <c r="I25" s="1">
        <v>45698</v>
      </c>
      <c r="J25" t="s">
        <v>191</v>
      </c>
      <c r="K25" t="s">
        <v>1244</v>
      </c>
      <c r="L25">
        <v>312331.51</v>
      </c>
      <c r="M25" t="s">
        <v>1225</v>
      </c>
      <c r="N25" t="s">
        <v>69</v>
      </c>
      <c r="O25" t="s">
        <v>112</v>
      </c>
    </row>
    <row r="26" spans="1:15" ht="13.8" x14ac:dyDescent="0.25">
      <c r="A26" t="s">
        <v>205</v>
      </c>
      <c r="B26" t="s">
        <v>206</v>
      </c>
      <c r="C26">
        <v>14</v>
      </c>
      <c r="D26" t="s">
        <v>17</v>
      </c>
      <c r="E26" t="s">
        <v>137</v>
      </c>
      <c r="F26" t="s">
        <v>60</v>
      </c>
      <c r="G26" t="s">
        <v>1240</v>
      </c>
      <c r="H26" s="1">
        <v>45784</v>
      </c>
      <c r="I26" s="1">
        <v>45996</v>
      </c>
      <c r="J26" t="s">
        <v>81</v>
      </c>
      <c r="K26" t="s">
        <v>82</v>
      </c>
      <c r="L26">
        <v>42926.97</v>
      </c>
      <c r="M26" t="s">
        <v>1225</v>
      </c>
      <c r="N26" t="s">
        <v>69</v>
      </c>
      <c r="O26" t="s">
        <v>1227</v>
      </c>
    </row>
    <row r="27" spans="1:15" ht="13.8" x14ac:dyDescent="0.25">
      <c r="A27" t="s">
        <v>207</v>
      </c>
      <c r="B27" t="s">
        <v>208</v>
      </c>
      <c r="C27">
        <v>38</v>
      </c>
      <c r="D27" t="s">
        <v>58</v>
      </c>
      <c r="E27" t="s">
        <v>78</v>
      </c>
      <c r="F27" t="s">
        <v>103</v>
      </c>
      <c r="G27" t="s">
        <v>1245</v>
      </c>
      <c r="H27" s="1">
        <v>45757</v>
      </c>
      <c r="I27" s="1">
        <v>45739</v>
      </c>
      <c r="J27" t="s">
        <v>106</v>
      </c>
      <c r="K27" t="s">
        <v>110</v>
      </c>
      <c r="L27">
        <v>136077.35999999999</v>
      </c>
      <c r="M27" t="s">
        <v>84</v>
      </c>
      <c r="N27" t="s">
        <v>69</v>
      </c>
      <c r="O27" t="s">
        <v>112</v>
      </c>
    </row>
    <row r="28" spans="1:15" ht="13.8" x14ac:dyDescent="0.25">
      <c r="A28" t="s">
        <v>210</v>
      </c>
      <c r="B28" t="s">
        <v>211</v>
      </c>
      <c r="C28">
        <v>18</v>
      </c>
      <c r="D28" t="s">
        <v>58</v>
      </c>
      <c r="E28" t="s">
        <v>18</v>
      </c>
      <c r="F28" t="s">
        <v>40</v>
      </c>
      <c r="G28" t="s">
        <v>1246</v>
      </c>
      <c r="H28" s="1">
        <v>45935</v>
      </c>
      <c r="I28" s="1">
        <v>45948</v>
      </c>
      <c r="J28" t="s">
        <v>1215</v>
      </c>
      <c r="K28" t="s">
        <v>94</v>
      </c>
      <c r="L28">
        <v>305300.05</v>
      </c>
      <c r="M28" t="s">
        <v>1247</v>
      </c>
      <c r="N28" t="s">
        <v>25</v>
      </c>
      <c r="O28" t="s">
        <v>1227</v>
      </c>
    </row>
    <row r="29" spans="1:15" ht="13.8" x14ac:dyDescent="0.25">
      <c r="A29" t="s">
        <v>220</v>
      </c>
      <c r="B29" t="s">
        <v>47</v>
      </c>
      <c r="C29">
        <v>23</v>
      </c>
      <c r="D29" t="s">
        <v>58</v>
      </c>
      <c r="E29" t="s">
        <v>102</v>
      </c>
      <c r="F29" t="s">
        <v>165</v>
      </c>
      <c r="G29" t="s">
        <v>1239</v>
      </c>
      <c r="H29" s="1">
        <v>45671</v>
      </c>
      <c r="I29" s="1">
        <v>45689</v>
      </c>
      <c r="J29" t="s">
        <v>222</v>
      </c>
      <c r="K29" t="s">
        <v>223</v>
      </c>
      <c r="L29" s="4">
        <v>98162.26</v>
      </c>
      <c r="M29" t="s">
        <v>24</v>
      </c>
      <c r="N29" t="s">
        <v>35</v>
      </c>
      <c r="O29" t="s">
        <v>1227</v>
      </c>
    </row>
    <row r="30" spans="1:15" ht="13.8" x14ac:dyDescent="0.25">
      <c r="A30" t="s">
        <v>225</v>
      </c>
      <c r="B30" t="s">
        <v>226</v>
      </c>
      <c r="C30">
        <v>63</v>
      </c>
      <c r="D30" t="s">
        <v>17</v>
      </c>
      <c r="E30" t="s">
        <v>227</v>
      </c>
      <c r="F30" t="s">
        <v>30</v>
      </c>
      <c r="G30" t="s">
        <v>1233</v>
      </c>
      <c r="H30" s="1">
        <v>45836</v>
      </c>
      <c r="I30" s="1">
        <v>46014</v>
      </c>
      <c r="J30" t="s">
        <v>1215</v>
      </c>
      <c r="K30" t="s">
        <v>1248</v>
      </c>
      <c r="L30">
        <v>255824.81</v>
      </c>
      <c r="M30" t="s">
        <v>1219</v>
      </c>
      <c r="N30" t="s">
        <v>74</v>
      </c>
      <c r="O30" t="s">
        <v>45</v>
      </c>
    </row>
    <row r="31" spans="1:15" ht="13.8" x14ac:dyDescent="0.25">
      <c r="A31" t="s">
        <v>231</v>
      </c>
      <c r="B31" t="s">
        <v>232</v>
      </c>
      <c r="C31">
        <v>54</v>
      </c>
      <c r="D31" t="s">
        <v>58</v>
      </c>
      <c r="E31" t="s">
        <v>97</v>
      </c>
      <c r="F31" t="s">
        <v>19</v>
      </c>
      <c r="G31" t="s">
        <v>1230</v>
      </c>
      <c r="H31" s="1">
        <v>45822</v>
      </c>
      <c r="I31" s="1">
        <v>45840</v>
      </c>
      <c r="J31" t="s">
        <v>233</v>
      </c>
      <c r="K31" t="s">
        <v>234</v>
      </c>
      <c r="L31">
        <v>121026.07</v>
      </c>
      <c r="M31" t="s">
        <v>24</v>
      </c>
      <c r="N31" t="s">
        <v>69</v>
      </c>
      <c r="O31" t="s">
        <v>1227</v>
      </c>
    </row>
    <row r="32" spans="1:15" ht="13.8" x14ac:dyDescent="0.25">
      <c r="A32" t="s">
        <v>241</v>
      </c>
      <c r="B32" t="s">
        <v>506</v>
      </c>
      <c r="C32">
        <v>23</v>
      </c>
      <c r="D32" t="s">
        <v>58</v>
      </c>
      <c r="E32" t="s">
        <v>102</v>
      </c>
      <c r="F32" t="s">
        <v>40</v>
      </c>
      <c r="G32" t="s">
        <v>1217</v>
      </c>
      <c r="H32" s="1">
        <v>45754</v>
      </c>
      <c r="I32" s="1">
        <v>45762</v>
      </c>
      <c r="J32" t="s">
        <v>1218</v>
      </c>
      <c r="K32" t="s">
        <v>43</v>
      </c>
      <c r="L32">
        <v>160725.21</v>
      </c>
      <c r="M32" t="s">
        <v>34</v>
      </c>
      <c r="N32" t="s">
        <v>69</v>
      </c>
      <c r="O32" t="s">
        <v>112</v>
      </c>
    </row>
    <row r="33" spans="1:15" ht="13.8" x14ac:dyDescent="0.25">
      <c r="A33" t="s">
        <v>247</v>
      </c>
      <c r="B33" t="s">
        <v>248</v>
      </c>
      <c r="C33">
        <v>3</v>
      </c>
      <c r="D33" t="s">
        <v>58</v>
      </c>
      <c r="E33" t="s">
        <v>78</v>
      </c>
      <c r="F33" t="s">
        <v>103</v>
      </c>
      <c r="G33" t="s">
        <v>1229</v>
      </c>
      <c r="H33" s="1">
        <v>45953</v>
      </c>
      <c r="I33" s="1">
        <v>45962</v>
      </c>
      <c r="J33" t="s">
        <v>249</v>
      </c>
      <c r="K33" t="s">
        <v>250</v>
      </c>
      <c r="L33">
        <v>30598.91</v>
      </c>
      <c r="M33" t="s">
        <v>118</v>
      </c>
      <c r="N33" t="s">
        <v>35</v>
      </c>
      <c r="O33" t="s">
        <v>1227</v>
      </c>
    </row>
    <row r="34" spans="1:15" ht="13.8" x14ac:dyDescent="0.25">
      <c r="A34" t="s">
        <v>1249</v>
      </c>
      <c r="B34" t="s">
        <v>991</v>
      </c>
      <c r="C34">
        <v>55</v>
      </c>
      <c r="D34" t="s">
        <v>58</v>
      </c>
      <c r="E34" t="s">
        <v>137</v>
      </c>
      <c r="F34" t="s">
        <v>50</v>
      </c>
      <c r="G34" t="s">
        <v>1243</v>
      </c>
      <c r="H34" s="1">
        <v>45834</v>
      </c>
      <c r="I34" s="1">
        <v>45838</v>
      </c>
      <c r="J34" t="s">
        <v>1222</v>
      </c>
      <c r="K34" t="s">
        <v>53</v>
      </c>
      <c r="L34">
        <v>298691.20000000001</v>
      </c>
      <c r="M34" t="s">
        <v>34</v>
      </c>
      <c r="N34" t="s">
        <v>35</v>
      </c>
      <c r="O34" t="s">
        <v>1227</v>
      </c>
    </row>
    <row r="35" spans="1:15" ht="13.8" x14ac:dyDescent="0.25">
      <c r="A35" t="s">
        <v>1250</v>
      </c>
      <c r="B35" t="s">
        <v>255</v>
      </c>
      <c r="C35">
        <v>47</v>
      </c>
      <c r="D35" t="s">
        <v>58</v>
      </c>
      <c r="E35" t="s">
        <v>155</v>
      </c>
      <c r="F35" t="s">
        <v>30</v>
      </c>
      <c r="G35" t="s">
        <v>1251</v>
      </c>
      <c r="H35" s="1">
        <v>45732</v>
      </c>
      <c r="I35" s="1">
        <v>46014</v>
      </c>
      <c r="J35" t="s">
        <v>88</v>
      </c>
      <c r="K35" t="s">
        <v>89</v>
      </c>
      <c r="L35">
        <v>341800.01</v>
      </c>
      <c r="M35" t="s">
        <v>34</v>
      </c>
      <c r="N35" t="s">
        <v>69</v>
      </c>
      <c r="O35" t="s">
        <v>45</v>
      </c>
    </row>
    <row r="36" spans="1:15" ht="13.8" x14ac:dyDescent="0.25">
      <c r="A36" t="s">
        <v>257</v>
      </c>
      <c r="B36" t="s">
        <v>258</v>
      </c>
      <c r="C36">
        <v>27</v>
      </c>
      <c r="D36" t="s">
        <v>17</v>
      </c>
      <c r="E36" t="s">
        <v>137</v>
      </c>
      <c r="F36" t="s">
        <v>165</v>
      </c>
      <c r="G36" t="s">
        <v>1252</v>
      </c>
      <c r="H36" s="1">
        <v>45868</v>
      </c>
      <c r="I36" s="1">
        <v>45883</v>
      </c>
      <c r="J36" t="s">
        <v>173</v>
      </c>
      <c r="K36" t="s">
        <v>174</v>
      </c>
      <c r="L36">
        <v>153551.82</v>
      </c>
      <c r="M36" t="s">
        <v>84</v>
      </c>
      <c r="N36" t="s">
        <v>69</v>
      </c>
      <c r="O36" t="s">
        <v>36</v>
      </c>
    </row>
    <row r="37" spans="1:15" ht="13.8" x14ac:dyDescent="0.25">
      <c r="A37" t="s">
        <v>261</v>
      </c>
      <c r="B37" t="s">
        <v>262</v>
      </c>
      <c r="C37">
        <v>71</v>
      </c>
      <c r="D37" t="s">
        <v>17</v>
      </c>
      <c r="E37" t="s">
        <v>78</v>
      </c>
      <c r="F37" t="s">
        <v>60</v>
      </c>
      <c r="G37" t="s">
        <v>1223</v>
      </c>
      <c r="H37" s="1">
        <v>45960</v>
      </c>
      <c r="I37" s="1">
        <v>45849</v>
      </c>
      <c r="J37" t="s">
        <v>263</v>
      </c>
      <c r="K37" t="s">
        <v>264</v>
      </c>
      <c r="L37">
        <v>166546.48000000001</v>
      </c>
      <c r="M37" t="s">
        <v>24</v>
      </c>
      <c r="N37" t="s">
        <v>35</v>
      </c>
      <c r="O37" t="s">
        <v>26</v>
      </c>
    </row>
    <row r="38" spans="1:15" ht="13.8" x14ac:dyDescent="0.25">
      <c r="A38" t="s">
        <v>266</v>
      </c>
      <c r="B38" t="s">
        <v>150</v>
      </c>
      <c r="C38">
        <v>18</v>
      </c>
      <c r="D38" t="s">
        <v>17</v>
      </c>
      <c r="E38" t="s">
        <v>49</v>
      </c>
      <c r="F38" t="s">
        <v>165</v>
      </c>
      <c r="G38" t="s">
        <v>1239</v>
      </c>
      <c r="H38" s="1">
        <v>45905</v>
      </c>
      <c r="I38" s="1">
        <v>45906</v>
      </c>
      <c r="J38" t="s">
        <v>173</v>
      </c>
      <c r="K38" t="s">
        <v>174</v>
      </c>
      <c r="L38">
        <v>104991.88</v>
      </c>
      <c r="M38" t="s">
        <v>118</v>
      </c>
      <c r="N38" t="s">
        <v>74</v>
      </c>
      <c r="O38" t="s">
        <v>36</v>
      </c>
    </row>
    <row r="39" spans="1:15" ht="13.8" x14ac:dyDescent="0.25">
      <c r="A39" t="s">
        <v>267</v>
      </c>
      <c r="B39" t="s">
        <v>268</v>
      </c>
      <c r="C39">
        <v>19</v>
      </c>
      <c r="D39" t="s">
        <v>17</v>
      </c>
      <c r="E39" t="s">
        <v>102</v>
      </c>
      <c r="F39" t="s">
        <v>50</v>
      </c>
      <c r="G39" t="s">
        <v>1221</v>
      </c>
      <c r="H39" s="1">
        <v>45772</v>
      </c>
      <c r="I39" s="1">
        <v>45779</v>
      </c>
      <c r="J39" t="s">
        <v>1222</v>
      </c>
      <c r="K39" t="s">
        <v>53</v>
      </c>
      <c r="L39">
        <v>158630.85</v>
      </c>
      <c r="M39" t="s">
        <v>1225</v>
      </c>
      <c r="N39" t="s">
        <v>25</v>
      </c>
      <c r="O39" t="s">
        <v>1215</v>
      </c>
    </row>
    <row r="40" spans="1:15" ht="13.8" x14ac:dyDescent="0.25">
      <c r="A40" t="s">
        <v>271</v>
      </c>
      <c r="B40" t="s">
        <v>272</v>
      </c>
      <c r="C40">
        <v>20</v>
      </c>
      <c r="D40" t="s">
        <v>58</v>
      </c>
      <c r="E40" t="s">
        <v>137</v>
      </c>
      <c r="F40" t="s">
        <v>19</v>
      </c>
      <c r="G40" t="s">
        <v>1230</v>
      </c>
      <c r="H40" s="1">
        <v>45990</v>
      </c>
      <c r="I40" s="1">
        <v>46014</v>
      </c>
      <c r="J40" t="s">
        <v>233</v>
      </c>
      <c r="K40" t="s">
        <v>234</v>
      </c>
      <c r="L40">
        <v>259400.48</v>
      </c>
      <c r="M40" t="s">
        <v>1225</v>
      </c>
      <c r="N40" t="s">
        <v>55</v>
      </c>
      <c r="O40" t="s">
        <v>45</v>
      </c>
    </row>
    <row r="41" spans="1:15" ht="13.8" x14ac:dyDescent="0.25">
      <c r="A41" t="s">
        <v>274</v>
      </c>
      <c r="B41" t="s">
        <v>275</v>
      </c>
      <c r="C41">
        <v>62</v>
      </c>
      <c r="D41" t="s">
        <v>17</v>
      </c>
      <c r="E41" t="s">
        <v>155</v>
      </c>
      <c r="F41" t="s">
        <v>30</v>
      </c>
      <c r="G41" t="s">
        <v>1233</v>
      </c>
      <c r="H41" s="1">
        <v>45747</v>
      </c>
      <c r="I41" s="1">
        <v>46014</v>
      </c>
      <c r="J41" t="s">
        <v>122</v>
      </c>
      <c r="K41" t="s">
        <v>123</v>
      </c>
      <c r="L41" s="4">
        <v>6330.59</v>
      </c>
      <c r="M41" t="s">
        <v>54</v>
      </c>
      <c r="N41" t="s">
        <v>35</v>
      </c>
      <c r="O41" t="s">
        <v>45</v>
      </c>
    </row>
    <row r="42" spans="1:15" ht="13.8" x14ac:dyDescent="0.25">
      <c r="A42" t="s">
        <v>280</v>
      </c>
      <c r="B42" t="s">
        <v>281</v>
      </c>
      <c r="C42">
        <v>4</v>
      </c>
      <c r="D42" t="s">
        <v>58</v>
      </c>
      <c r="E42" t="s">
        <v>72</v>
      </c>
      <c r="F42" t="s">
        <v>60</v>
      </c>
      <c r="G42" t="s">
        <v>1223</v>
      </c>
      <c r="H42" s="1">
        <v>45845</v>
      </c>
      <c r="I42" s="1">
        <v>46014</v>
      </c>
      <c r="J42" t="s">
        <v>81</v>
      </c>
      <c r="K42" t="s">
        <v>82</v>
      </c>
      <c r="L42" s="4">
        <v>117856.84</v>
      </c>
      <c r="M42" t="s">
        <v>1219</v>
      </c>
      <c r="N42" t="s">
        <v>69</v>
      </c>
      <c r="O42" t="s">
        <v>112</v>
      </c>
    </row>
    <row r="43" spans="1:15" ht="13.8" x14ac:dyDescent="0.25">
      <c r="A43" t="s">
        <v>284</v>
      </c>
      <c r="B43" t="s">
        <v>285</v>
      </c>
      <c r="C43">
        <v>56</v>
      </c>
      <c r="D43" t="s">
        <v>17</v>
      </c>
      <c r="E43" t="s">
        <v>39</v>
      </c>
      <c r="F43" t="s">
        <v>50</v>
      </c>
      <c r="G43" t="s">
        <v>1221</v>
      </c>
      <c r="H43" s="1">
        <v>45670</v>
      </c>
      <c r="I43" s="1">
        <v>46014</v>
      </c>
      <c r="J43" t="s">
        <v>1222</v>
      </c>
      <c r="K43" t="s">
        <v>53</v>
      </c>
      <c r="L43">
        <v>135291.62</v>
      </c>
      <c r="M43" t="s">
        <v>1219</v>
      </c>
      <c r="N43" t="s">
        <v>74</v>
      </c>
      <c r="O43" t="s">
        <v>45</v>
      </c>
    </row>
    <row r="44" spans="1:15" ht="13.8" x14ac:dyDescent="0.25">
      <c r="A44" t="s">
        <v>1253</v>
      </c>
      <c r="B44" t="s">
        <v>289</v>
      </c>
      <c r="C44">
        <v>71</v>
      </c>
      <c r="D44" t="s">
        <v>58</v>
      </c>
      <c r="E44" t="s">
        <v>49</v>
      </c>
      <c r="F44" t="s">
        <v>103</v>
      </c>
      <c r="G44" t="s">
        <v>1236</v>
      </c>
      <c r="H44" s="1">
        <v>45736</v>
      </c>
      <c r="I44" s="1">
        <v>45747</v>
      </c>
      <c r="J44" t="s">
        <v>249</v>
      </c>
      <c r="K44" t="s">
        <v>250</v>
      </c>
      <c r="L44">
        <v>274287.35999999999</v>
      </c>
      <c r="M44" t="s">
        <v>84</v>
      </c>
      <c r="N44" t="s">
        <v>55</v>
      </c>
      <c r="O44" t="s">
        <v>112</v>
      </c>
    </row>
    <row r="45" spans="1:15" ht="13.8" x14ac:dyDescent="0.25">
      <c r="A45" t="s">
        <v>296</v>
      </c>
      <c r="B45" t="s">
        <v>297</v>
      </c>
      <c r="C45">
        <v>37</v>
      </c>
      <c r="D45" t="s">
        <v>17</v>
      </c>
      <c r="E45" t="s">
        <v>155</v>
      </c>
      <c r="F45" t="s">
        <v>1215</v>
      </c>
      <c r="G45" t="s">
        <v>1246</v>
      </c>
      <c r="H45" s="1">
        <v>45661</v>
      </c>
      <c r="I45" s="1">
        <v>46014</v>
      </c>
      <c r="J45" t="s">
        <v>1218</v>
      </c>
      <c r="K45" t="s">
        <v>43</v>
      </c>
      <c r="L45">
        <v>133136.07999999999</v>
      </c>
      <c r="M45" t="s">
        <v>54</v>
      </c>
      <c r="N45" t="s">
        <v>55</v>
      </c>
      <c r="O45" t="s">
        <v>45</v>
      </c>
    </row>
    <row r="46" spans="1:15" ht="13.8" x14ac:dyDescent="0.25">
      <c r="A46" t="s">
        <v>298</v>
      </c>
      <c r="B46" t="s">
        <v>299</v>
      </c>
      <c r="C46">
        <v>38</v>
      </c>
      <c r="D46" t="s">
        <v>115</v>
      </c>
      <c r="E46" t="s">
        <v>78</v>
      </c>
      <c r="F46" t="s">
        <v>50</v>
      </c>
      <c r="G46" t="s">
        <v>1254</v>
      </c>
      <c r="H46" s="1">
        <v>45889</v>
      </c>
      <c r="I46" s="1">
        <v>45900</v>
      </c>
      <c r="J46" t="s">
        <v>191</v>
      </c>
      <c r="K46" t="s">
        <v>1244</v>
      </c>
      <c r="L46">
        <v>301763.98</v>
      </c>
      <c r="M46" t="s">
        <v>118</v>
      </c>
      <c r="N46" t="s">
        <v>55</v>
      </c>
      <c r="O46" t="s">
        <v>1227</v>
      </c>
    </row>
    <row r="47" spans="1:15" ht="13.8" x14ac:dyDescent="0.25">
      <c r="A47" t="s">
        <v>305</v>
      </c>
      <c r="B47" t="s">
        <v>306</v>
      </c>
      <c r="C47">
        <v>18</v>
      </c>
      <c r="D47" t="s">
        <v>17</v>
      </c>
      <c r="E47" t="s">
        <v>72</v>
      </c>
      <c r="F47" t="s">
        <v>40</v>
      </c>
      <c r="G47" t="s">
        <v>1228</v>
      </c>
      <c r="H47" s="1">
        <v>46010</v>
      </c>
      <c r="I47" s="1">
        <v>46023</v>
      </c>
      <c r="J47" t="s">
        <v>116</v>
      </c>
      <c r="K47" t="s">
        <v>1231</v>
      </c>
      <c r="L47">
        <v>40000</v>
      </c>
      <c r="M47" t="s">
        <v>34</v>
      </c>
      <c r="N47" t="s">
        <v>69</v>
      </c>
      <c r="O47" t="s">
        <v>1227</v>
      </c>
    </row>
    <row r="48" spans="1:15" ht="13.8" x14ac:dyDescent="0.25">
      <c r="A48" t="s">
        <v>309</v>
      </c>
      <c r="B48" t="s">
        <v>310</v>
      </c>
      <c r="C48">
        <v>18</v>
      </c>
      <c r="D48" t="s">
        <v>58</v>
      </c>
      <c r="E48" t="s">
        <v>72</v>
      </c>
      <c r="F48" t="s">
        <v>40</v>
      </c>
      <c r="G48" t="s">
        <v>1217</v>
      </c>
      <c r="H48" s="1">
        <v>45890</v>
      </c>
      <c r="I48" s="1">
        <v>45897</v>
      </c>
      <c r="J48" t="s">
        <v>1218</v>
      </c>
      <c r="K48" t="s">
        <v>43</v>
      </c>
      <c r="L48" s="4">
        <v>20999.67</v>
      </c>
      <c r="M48" t="s">
        <v>118</v>
      </c>
      <c r="N48" t="s">
        <v>74</v>
      </c>
      <c r="O48" t="s">
        <v>26</v>
      </c>
    </row>
    <row r="49" spans="1:15" ht="13.8" x14ac:dyDescent="0.25">
      <c r="A49" t="s">
        <v>312</v>
      </c>
      <c r="B49" t="s">
        <v>1215</v>
      </c>
      <c r="C49">
        <v>72</v>
      </c>
      <c r="D49" t="s">
        <v>58</v>
      </c>
      <c r="E49" t="s">
        <v>1215</v>
      </c>
      <c r="F49" t="s">
        <v>30</v>
      </c>
      <c r="G49" t="s">
        <v>1251</v>
      </c>
      <c r="H49" s="1">
        <v>45880</v>
      </c>
      <c r="I49" s="1">
        <v>45894</v>
      </c>
      <c r="J49" t="s">
        <v>246</v>
      </c>
      <c r="K49" t="s">
        <v>1248</v>
      </c>
      <c r="L49">
        <v>269850.53999999998</v>
      </c>
      <c r="M49" t="s">
        <v>1219</v>
      </c>
      <c r="N49" t="s">
        <v>25</v>
      </c>
      <c r="O49" t="s">
        <v>26</v>
      </c>
    </row>
    <row r="50" spans="1:15" ht="13.8" x14ac:dyDescent="0.25">
      <c r="A50" t="s">
        <v>313</v>
      </c>
      <c r="B50" t="s">
        <v>314</v>
      </c>
      <c r="C50">
        <v>32</v>
      </c>
      <c r="D50" t="s">
        <v>17</v>
      </c>
      <c r="E50" t="s">
        <v>18</v>
      </c>
      <c r="F50" t="s">
        <v>50</v>
      </c>
      <c r="G50" t="s">
        <v>1226</v>
      </c>
      <c r="H50" s="1">
        <v>45784</v>
      </c>
      <c r="I50" s="1">
        <v>46014</v>
      </c>
      <c r="J50" t="s">
        <v>315</v>
      </c>
      <c r="K50" t="s">
        <v>204</v>
      </c>
      <c r="L50">
        <v>29938.95</v>
      </c>
      <c r="M50" t="s">
        <v>1215</v>
      </c>
      <c r="N50" t="s">
        <v>69</v>
      </c>
      <c r="O50" t="s">
        <v>45</v>
      </c>
    </row>
    <row r="51" spans="1:15" ht="13.8" x14ac:dyDescent="0.25">
      <c r="A51" t="s">
        <v>316</v>
      </c>
      <c r="B51" t="s">
        <v>317</v>
      </c>
      <c r="C51">
        <v>77</v>
      </c>
      <c r="D51" t="s">
        <v>58</v>
      </c>
      <c r="E51" t="s">
        <v>97</v>
      </c>
      <c r="F51" t="s">
        <v>165</v>
      </c>
      <c r="G51" t="s">
        <v>1239</v>
      </c>
      <c r="H51" s="1">
        <v>45747</v>
      </c>
      <c r="I51" s="1">
        <v>45750</v>
      </c>
      <c r="J51" t="s">
        <v>173</v>
      </c>
      <c r="K51" t="s">
        <v>174</v>
      </c>
      <c r="L51">
        <v>146946.73000000001</v>
      </c>
      <c r="M51" t="s">
        <v>84</v>
      </c>
      <c r="N51" t="s">
        <v>69</v>
      </c>
      <c r="O51" t="s">
        <v>1227</v>
      </c>
    </row>
    <row r="52" spans="1:15" ht="13.8" x14ac:dyDescent="0.25">
      <c r="A52" t="s">
        <v>318</v>
      </c>
      <c r="B52" t="s">
        <v>319</v>
      </c>
      <c r="C52">
        <v>8</v>
      </c>
      <c r="D52" t="s">
        <v>58</v>
      </c>
      <c r="E52" t="s">
        <v>102</v>
      </c>
      <c r="F52" t="s">
        <v>60</v>
      </c>
      <c r="G52" t="s">
        <v>1223</v>
      </c>
      <c r="H52" s="1">
        <v>45854</v>
      </c>
      <c r="I52" s="1">
        <v>45862</v>
      </c>
      <c r="J52" t="s">
        <v>263</v>
      </c>
      <c r="K52" t="s">
        <v>264</v>
      </c>
      <c r="L52">
        <v>340423.43</v>
      </c>
      <c r="M52" t="s">
        <v>1225</v>
      </c>
      <c r="N52" t="s">
        <v>74</v>
      </c>
      <c r="O52" t="s">
        <v>36</v>
      </c>
    </row>
    <row r="53" spans="1:15" ht="13.8" x14ac:dyDescent="0.25">
      <c r="A53" t="s">
        <v>320</v>
      </c>
      <c r="B53" t="s">
        <v>1215</v>
      </c>
      <c r="C53">
        <v>18</v>
      </c>
      <c r="D53" t="s">
        <v>17</v>
      </c>
      <c r="E53" t="s">
        <v>39</v>
      </c>
      <c r="F53" t="s">
        <v>40</v>
      </c>
      <c r="G53" t="s">
        <v>1246</v>
      </c>
      <c r="H53" s="1">
        <v>45851</v>
      </c>
      <c r="I53" s="1">
        <v>45857</v>
      </c>
      <c r="J53" t="s">
        <v>1218</v>
      </c>
      <c r="K53" t="s">
        <v>43</v>
      </c>
      <c r="L53">
        <v>343098.9</v>
      </c>
      <c r="M53" t="s">
        <v>118</v>
      </c>
      <c r="N53" t="s">
        <v>74</v>
      </c>
      <c r="O53" t="s">
        <v>1227</v>
      </c>
    </row>
    <row r="54" spans="1:15" ht="13.8" x14ac:dyDescent="0.25">
      <c r="A54" t="s">
        <v>322</v>
      </c>
      <c r="B54" t="s">
        <v>314</v>
      </c>
      <c r="C54">
        <v>36</v>
      </c>
      <c r="D54" t="s">
        <v>17</v>
      </c>
      <c r="E54" t="s">
        <v>137</v>
      </c>
      <c r="F54" t="s">
        <v>1215</v>
      </c>
      <c r="G54" t="s">
        <v>1246</v>
      </c>
      <c r="H54" s="1">
        <v>45853</v>
      </c>
      <c r="I54" s="1">
        <v>46014</v>
      </c>
      <c r="J54" t="s">
        <v>1218</v>
      </c>
      <c r="K54" t="s">
        <v>43</v>
      </c>
      <c r="L54">
        <v>66896.94</v>
      </c>
      <c r="M54" t="s">
        <v>54</v>
      </c>
      <c r="N54" t="s">
        <v>25</v>
      </c>
      <c r="O54" t="s">
        <v>45</v>
      </c>
    </row>
    <row r="55" spans="1:15" ht="13.8" x14ac:dyDescent="0.25">
      <c r="A55" t="s">
        <v>323</v>
      </c>
      <c r="B55" t="s">
        <v>324</v>
      </c>
      <c r="C55">
        <v>36</v>
      </c>
      <c r="D55" t="s">
        <v>58</v>
      </c>
      <c r="E55" t="s">
        <v>1215</v>
      </c>
      <c r="F55" t="s">
        <v>30</v>
      </c>
      <c r="G55" t="s">
        <v>1216</v>
      </c>
      <c r="H55" s="1">
        <v>45842</v>
      </c>
      <c r="I55" s="1">
        <v>45859</v>
      </c>
      <c r="J55" t="s">
        <v>32</v>
      </c>
      <c r="K55" t="s">
        <v>1215</v>
      </c>
      <c r="L55" s="4">
        <v>285194.14</v>
      </c>
      <c r="M55" t="s">
        <v>84</v>
      </c>
      <c r="N55" t="s">
        <v>74</v>
      </c>
      <c r="O55" t="s">
        <v>112</v>
      </c>
    </row>
    <row r="56" spans="1:15" ht="13.8" x14ac:dyDescent="0.25">
      <c r="A56" t="s">
        <v>330</v>
      </c>
      <c r="B56" t="s">
        <v>331</v>
      </c>
      <c r="C56">
        <v>37</v>
      </c>
      <c r="D56" t="s">
        <v>115</v>
      </c>
      <c r="E56" t="s">
        <v>155</v>
      </c>
      <c r="F56" t="s">
        <v>50</v>
      </c>
      <c r="G56" t="s">
        <v>1254</v>
      </c>
      <c r="H56" s="1">
        <v>45682</v>
      </c>
      <c r="I56" s="1">
        <v>45659</v>
      </c>
      <c r="J56" t="s">
        <v>332</v>
      </c>
      <c r="K56" t="s">
        <v>1215</v>
      </c>
      <c r="L56">
        <v>177019.16</v>
      </c>
      <c r="M56" t="s">
        <v>1219</v>
      </c>
      <c r="N56" t="s">
        <v>74</v>
      </c>
      <c r="O56" t="s">
        <v>1227</v>
      </c>
    </row>
    <row r="57" spans="1:15" ht="13.8" x14ac:dyDescent="0.25">
      <c r="A57" t="s">
        <v>337</v>
      </c>
      <c r="B57" t="s">
        <v>338</v>
      </c>
      <c r="C57">
        <v>5</v>
      </c>
      <c r="D57" t="s">
        <v>17</v>
      </c>
      <c r="E57" t="s">
        <v>97</v>
      </c>
      <c r="F57" t="s">
        <v>103</v>
      </c>
      <c r="G57" t="s">
        <v>1236</v>
      </c>
      <c r="H57" s="1">
        <v>45802</v>
      </c>
      <c r="I57" s="1">
        <v>46014</v>
      </c>
      <c r="J57" t="s">
        <v>249</v>
      </c>
      <c r="K57" t="s">
        <v>250</v>
      </c>
      <c r="L57">
        <v>303411.21999999997</v>
      </c>
      <c r="M57" t="s">
        <v>24</v>
      </c>
      <c r="N57" t="s">
        <v>69</v>
      </c>
      <c r="O57" t="s">
        <v>45</v>
      </c>
    </row>
    <row r="58" spans="1:15" ht="13.8" x14ac:dyDescent="0.25">
      <c r="A58" t="s">
        <v>340</v>
      </c>
      <c r="B58" t="s">
        <v>160</v>
      </c>
      <c r="C58">
        <v>42</v>
      </c>
      <c r="D58" t="s">
        <v>17</v>
      </c>
      <c r="E58" t="s">
        <v>155</v>
      </c>
      <c r="F58" t="s">
        <v>30</v>
      </c>
      <c r="G58" t="s">
        <v>1226</v>
      </c>
      <c r="H58" s="1">
        <v>45962</v>
      </c>
      <c r="I58" s="1">
        <v>45679</v>
      </c>
      <c r="J58" t="s">
        <v>32</v>
      </c>
      <c r="K58" t="s">
        <v>33</v>
      </c>
      <c r="L58">
        <v>276272.88</v>
      </c>
      <c r="M58" t="s">
        <v>54</v>
      </c>
      <c r="N58" t="s">
        <v>74</v>
      </c>
      <c r="O58" t="s">
        <v>1227</v>
      </c>
    </row>
    <row r="59" spans="1:15" ht="13.8" x14ac:dyDescent="0.25">
      <c r="A59" t="s">
        <v>341</v>
      </c>
      <c r="B59" t="s">
        <v>342</v>
      </c>
      <c r="C59">
        <v>2</v>
      </c>
      <c r="D59" t="s">
        <v>58</v>
      </c>
      <c r="E59" t="s">
        <v>18</v>
      </c>
      <c r="F59" t="s">
        <v>30</v>
      </c>
      <c r="G59" t="s">
        <v>1233</v>
      </c>
      <c r="H59" s="1">
        <v>45931</v>
      </c>
      <c r="I59" s="1">
        <v>45698</v>
      </c>
      <c r="J59" t="s">
        <v>32</v>
      </c>
      <c r="K59" t="s">
        <v>33</v>
      </c>
      <c r="L59">
        <v>154201.07</v>
      </c>
      <c r="M59" t="s">
        <v>1225</v>
      </c>
      <c r="N59" t="s">
        <v>69</v>
      </c>
      <c r="O59" t="s">
        <v>1227</v>
      </c>
    </row>
    <row r="60" spans="1:15" ht="13.8" x14ac:dyDescent="0.25">
      <c r="A60" t="s">
        <v>343</v>
      </c>
      <c r="B60" t="s">
        <v>344</v>
      </c>
      <c r="C60">
        <v>32</v>
      </c>
      <c r="D60" t="s">
        <v>17</v>
      </c>
      <c r="E60" t="s">
        <v>72</v>
      </c>
      <c r="F60" t="s">
        <v>30</v>
      </c>
      <c r="G60" t="s">
        <v>1251</v>
      </c>
      <c r="H60" s="1">
        <v>45804</v>
      </c>
      <c r="I60" s="1">
        <v>45814</v>
      </c>
      <c r="J60" t="s">
        <v>246</v>
      </c>
      <c r="K60" t="s">
        <v>1248</v>
      </c>
      <c r="L60">
        <v>229647.94</v>
      </c>
      <c r="M60" t="s">
        <v>1219</v>
      </c>
      <c r="N60" t="s">
        <v>25</v>
      </c>
      <c r="O60" t="s">
        <v>36</v>
      </c>
    </row>
    <row r="61" spans="1:15" ht="13.8" x14ac:dyDescent="0.25">
      <c r="A61" t="s">
        <v>351</v>
      </c>
      <c r="B61" t="s">
        <v>38</v>
      </c>
      <c r="C61">
        <v>1</v>
      </c>
      <c r="D61" t="s">
        <v>58</v>
      </c>
      <c r="E61" t="s">
        <v>18</v>
      </c>
      <c r="F61" t="s">
        <v>60</v>
      </c>
      <c r="G61" t="s">
        <v>1255</v>
      </c>
      <c r="H61" s="1">
        <v>45979</v>
      </c>
      <c r="I61" s="1">
        <v>45985</v>
      </c>
      <c r="J61" t="s">
        <v>132</v>
      </c>
      <c r="K61" t="s">
        <v>1238</v>
      </c>
      <c r="L61">
        <v>144977.74</v>
      </c>
      <c r="M61" t="s">
        <v>84</v>
      </c>
      <c r="N61" t="s">
        <v>25</v>
      </c>
      <c r="O61" t="s">
        <v>36</v>
      </c>
    </row>
    <row r="62" spans="1:15" ht="13.8" x14ac:dyDescent="0.25">
      <c r="A62" t="s">
        <v>352</v>
      </c>
      <c r="B62" t="s">
        <v>353</v>
      </c>
      <c r="C62">
        <v>31</v>
      </c>
      <c r="D62" t="s">
        <v>17</v>
      </c>
      <c r="E62" t="s">
        <v>155</v>
      </c>
      <c r="F62" t="s">
        <v>40</v>
      </c>
      <c r="G62" t="s">
        <v>1246</v>
      </c>
      <c r="H62" s="1">
        <v>45661</v>
      </c>
      <c r="I62" s="1">
        <v>45901</v>
      </c>
      <c r="J62" t="s">
        <v>116</v>
      </c>
      <c r="K62" t="s">
        <v>1231</v>
      </c>
      <c r="L62">
        <v>33830.339999999997</v>
      </c>
      <c r="M62" t="s">
        <v>54</v>
      </c>
      <c r="N62" t="s">
        <v>74</v>
      </c>
      <c r="O62" t="s">
        <v>26</v>
      </c>
    </row>
    <row r="63" spans="1:15" ht="13.8" x14ac:dyDescent="0.25">
      <c r="A63" t="s">
        <v>354</v>
      </c>
      <c r="B63" t="s">
        <v>355</v>
      </c>
      <c r="C63">
        <v>73</v>
      </c>
      <c r="D63" t="s">
        <v>115</v>
      </c>
      <c r="E63" t="s">
        <v>78</v>
      </c>
      <c r="F63" t="s">
        <v>30</v>
      </c>
      <c r="G63" t="s">
        <v>1216</v>
      </c>
      <c r="H63" s="1">
        <v>45995</v>
      </c>
      <c r="I63" s="1">
        <v>45769</v>
      </c>
      <c r="J63" t="s">
        <v>246</v>
      </c>
      <c r="K63" t="s">
        <v>1248</v>
      </c>
      <c r="L63">
        <v>19666.78</v>
      </c>
      <c r="M63" t="s">
        <v>84</v>
      </c>
      <c r="N63" t="s">
        <v>74</v>
      </c>
      <c r="O63" t="s">
        <v>36</v>
      </c>
    </row>
    <row r="64" spans="1:15" ht="13.8" x14ac:dyDescent="0.25">
      <c r="A64" t="s">
        <v>362</v>
      </c>
      <c r="B64" t="s">
        <v>363</v>
      </c>
      <c r="C64">
        <v>11</v>
      </c>
      <c r="D64" t="s">
        <v>17</v>
      </c>
      <c r="E64" t="s">
        <v>155</v>
      </c>
      <c r="F64" t="s">
        <v>30</v>
      </c>
      <c r="G64" t="s">
        <v>1251</v>
      </c>
      <c r="H64" s="1">
        <v>45928</v>
      </c>
      <c r="I64" s="1">
        <v>45938</v>
      </c>
      <c r="J64" t="s">
        <v>246</v>
      </c>
      <c r="K64" t="s">
        <v>1248</v>
      </c>
      <c r="L64">
        <v>320565.07</v>
      </c>
      <c r="M64" t="s">
        <v>1225</v>
      </c>
      <c r="N64" t="s">
        <v>74</v>
      </c>
      <c r="O64" t="s">
        <v>26</v>
      </c>
    </row>
    <row r="65" spans="1:15" ht="13.8" x14ac:dyDescent="0.25">
      <c r="A65" t="s">
        <v>364</v>
      </c>
      <c r="B65" t="s">
        <v>365</v>
      </c>
      <c r="C65">
        <v>47</v>
      </c>
      <c r="D65" t="s">
        <v>58</v>
      </c>
      <c r="E65" t="s">
        <v>78</v>
      </c>
      <c r="F65" t="s">
        <v>19</v>
      </c>
      <c r="G65" t="s">
        <v>1235</v>
      </c>
      <c r="H65" s="1">
        <v>45949</v>
      </c>
      <c r="I65" s="1">
        <v>45961</v>
      </c>
      <c r="J65" t="s">
        <v>366</v>
      </c>
      <c r="K65" t="s">
        <v>367</v>
      </c>
      <c r="L65">
        <v>230031.26</v>
      </c>
      <c r="M65" t="s">
        <v>1247</v>
      </c>
      <c r="N65" t="s">
        <v>25</v>
      </c>
      <c r="O65" t="s">
        <v>36</v>
      </c>
    </row>
    <row r="66" spans="1:15" ht="13.8" x14ac:dyDescent="0.25">
      <c r="A66" t="s">
        <v>368</v>
      </c>
      <c r="B66" t="s">
        <v>598</v>
      </c>
      <c r="C66">
        <v>78</v>
      </c>
      <c r="D66" t="s">
        <v>58</v>
      </c>
      <c r="E66" t="s">
        <v>78</v>
      </c>
      <c r="F66" t="s">
        <v>103</v>
      </c>
      <c r="G66" t="s">
        <v>1226</v>
      </c>
      <c r="H66" s="1">
        <v>45787</v>
      </c>
      <c r="I66" s="1">
        <v>45795</v>
      </c>
      <c r="J66" t="s">
        <v>219</v>
      </c>
      <c r="K66" t="s">
        <v>140</v>
      </c>
      <c r="L66">
        <v>258859.27</v>
      </c>
      <c r="M66" t="s">
        <v>34</v>
      </c>
      <c r="N66" t="s">
        <v>55</v>
      </c>
      <c r="O66" t="s">
        <v>36</v>
      </c>
    </row>
    <row r="67" spans="1:15" ht="13.8" x14ac:dyDescent="0.25">
      <c r="A67" t="s">
        <v>370</v>
      </c>
      <c r="B67" t="s">
        <v>371</v>
      </c>
      <c r="C67">
        <v>40</v>
      </c>
      <c r="D67" t="s">
        <v>17</v>
      </c>
      <c r="E67" t="s">
        <v>39</v>
      </c>
      <c r="F67" t="s">
        <v>50</v>
      </c>
      <c r="G67" t="s">
        <v>1221</v>
      </c>
      <c r="H67" s="1">
        <v>45928</v>
      </c>
      <c r="I67" s="1">
        <v>45940</v>
      </c>
      <c r="J67" t="s">
        <v>315</v>
      </c>
      <c r="K67" t="s">
        <v>204</v>
      </c>
      <c r="L67">
        <v>133462.39999999999</v>
      </c>
      <c r="M67" t="s">
        <v>24</v>
      </c>
      <c r="N67" t="s">
        <v>25</v>
      </c>
      <c r="O67" t="s">
        <v>36</v>
      </c>
    </row>
    <row r="68" spans="1:15" ht="13.8" x14ac:dyDescent="0.25">
      <c r="A68" t="s">
        <v>372</v>
      </c>
      <c r="B68" t="s">
        <v>373</v>
      </c>
      <c r="C68">
        <v>18</v>
      </c>
      <c r="D68" t="s">
        <v>17</v>
      </c>
      <c r="E68" t="s">
        <v>49</v>
      </c>
      <c r="F68" t="s">
        <v>60</v>
      </c>
      <c r="G68" t="s">
        <v>1240</v>
      </c>
      <c r="H68" s="1">
        <v>45882</v>
      </c>
      <c r="I68" s="1">
        <v>46014</v>
      </c>
      <c r="J68" t="s">
        <v>62</v>
      </c>
      <c r="K68" t="s">
        <v>1224</v>
      </c>
      <c r="L68">
        <v>326064.67</v>
      </c>
      <c r="M68" t="s">
        <v>1215</v>
      </c>
      <c r="N68" t="s">
        <v>35</v>
      </c>
      <c r="O68" t="s">
        <v>45</v>
      </c>
    </row>
    <row r="69" spans="1:15" ht="13.8" x14ac:dyDescent="0.25">
      <c r="A69" t="s">
        <v>374</v>
      </c>
      <c r="B69" t="s">
        <v>375</v>
      </c>
      <c r="C69">
        <v>16</v>
      </c>
      <c r="D69" t="s">
        <v>58</v>
      </c>
      <c r="E69" t="s">
        <v>59</v>
      </c>
      <c r="F69" t="s">
        <v>19</v>
      </c>
      <c r="G69" t="s">
        <v>1235</v>
      </c>
      <c r="H69" s="1">
        <v>45912</v>
      </c>
      <c r="I69" s="1">
        <v>45929</v>
      </c>
      <c r="J69" t="s">
        <v>22</v>
      </c>
      <c r="K69" t="s">
        <v>23</v>
      </c>
      <c r="L69">
        <v>63936.59</v>
      </c>
      <c r="M69" t="s">
        <v>118</v>
      </c>
      <c r="N69" t="s">
        <v>25</v>
      </c>
      <c r="O69" t="s">
        <v>1227</v>
      </c>
    </row>
    <row r="70" spans="1:15" ht="13.8" x14ac:dyDescent="0.25">
      <c r="A70" t="s">
        <v>376</v>
      </c>
      <c r="B70" t="s">
        <v>272</v>
      </c>
      <c r="C70">
        <v>43</v>
      </c>
      <c r="D70" t="s">
        <v>58</v>
      </c>
      <c r="E70" t="s">
        <v>102</v>
      </c>
      <c r="F70" t="s">
        <v>40</v>
      </c>
      <c r="G70" t="s">
        <v>1228</v>
      </c>
      <c r="H70" s="1">
        <v>46011</v>
      </c>
      <c r="I70" s="1">
        <v>46022</v>
      </c>
      <c r="J70" t="s">
        <v>1215</v>
      </c>
      <c r="K70" t="s">
        <v>1231</v>
      </c>
      <c r="L70" s="4">
        <v>240187.3</v>
      </c>
      <c r="M70" t="s">
        <v>24</v>
      </c>
      <c r="N70" t="s">
        <v>25</v>
      </c>
      <c r="O70" t="s">
        <v>36</v>
      </c>
    </row>
    <row r="71" spans="1:15" ht="13.8" x14ac:dyDescent="0.25">
      <c r="A71" t="s">
        <v>381</v>
      </c>
      <c r="B71" t="s">
        <v>463</v>
      </c>
      <c r="C71">
        <v>76</v>
      </c>
      <c r="D71" t="s">
        <v>58</v>
      </c>
      <c r="E71" t="s">
        <v>78</v>
      </c>
      <c r="F71" t="s">
        <v>50</v>
      </c>
      <c r="G71" t="s">
        <v>1243</v>
      </c>
      <c r="H71" s="1">
        <v>45700</v>
      </c>
      <c r="I71" s="1">
        <v>45705</v>
      </c>
      <c r="J71" t="s">
        <v>332</v>
      </c>
      <c r="K71" t="s">
        <v>383</v>
      </c>
      <c r="L71">
        <v>307755.56</v>
      </c>
      <c r="M71" t="s">
        <v>118</v>
      </c>
      <c r="N71" t="s">
        <v>35</v>
      </c>
      <c r="O71" t="s">
        <v>26</v>
      </c>
    </row>
    <row r="72" spans="1:15" ht="13.8" x14ac:dyDescent="0.25">
      <c r="A72" t="s">
        <v>385</v>
      </c>
      <c r="B72" t="s">
        <v>96</v>
      </c>
      <c r="C72">
        <v>58</v>
      </c>
      <c r="D72" t="s">
        <v>17</v>
      </c>
      <c r="E72" t="s">
        <v>18</v>
      </c>
      <c r="F72" t="s">
        <v>165</v>
      </c>
      <c r="G72" t="s">
        <v>1239</v>
      </c>
      <c r="H72" s="1">
        <v>45948</v>
      </c>
      <c r="I72" s="1">
        <v>45964</v>
      </c>
      <c r="J72" t="s">
        <v>222</v>
      </c>
      <c r="K72" t="s">
        <v>223</v>
      </c>
      <c r="L72">
        <v>347786.26</v>
      </c>
      <c r="M72" t="s">
        <v>118</v>
      </c>
      <c r="N72" t="s">
        <v>55</v>
      </c>
      <c r="O72" t="s">
        <v>26</v>
      </c>
    </row>
    <row r="73" spans="1:15" ht="13.8" x14ac:dyDescent="0.25">
      <c r="A73" t="s">
        <v>393</v>
      </c>
      <c r="B73" t="s">
        <v>394</v>
      </c>
      <c r="C73">
        <v>85</v>
      </c>
      <c r="D73" t="s">
        <v>58</v>
      </c>
      <c r="E73" t="s">
        <v>18</v>
      </c>
      <c r="F73" t="s">
        <v>19</v>
      </c>
      <c r="G73" t="s">
        <v>1256</v>
      </c>
      <c r="H73" s="1">
        <v>45825</v>
      </c>
      <c r="I73" s="1">
        <v>46014</v>
      </c>
      <c r="J73" t="s">
        <v>1215</v>
      </c>
      <c r="K73" t="s">
        <v>23</v>
      </c>
      <c r="L73">
        <v>281096.51</v>
      </c>
      <c r="M73" t="s">
        <v>24</v>
      </c>
      <c r="N73" t="s">
        <v>74</v>
      </c>
      <c r="O73" t="s">
        <v>36</v>
      </c>
    </row>
    <row r="74" spans="1:15" ht="13.8" x14ac:dyDescent="0.25">
      <c r="A74" t="s">
        <v>399</v>
      </c>
      <c r="B74" t="s">
        <v>232</v>
      </c>
      <c r="C74">
        <v>70</v>
      </c>
      <c r="D74" t="s">
        <v>58</v>
      </c>
      <c r="E74" t="s">
        <v>72</v>
      </c>
      <c r="F74" t="s">
        <v>19</v>
      </c>
      <c r="G74" t="s">
        <v>1230</v>
      </c>
      <c r="H74" s="1">
        <v>45800</v>
      </c>
      <c r="I74" s="1">
        <v>45808</v>
      </c>
      <c r="J74" t="s">
        <v>151</v>
      </c>
      <c r="K74" t="s">
        <v>152</v>
      </c>
      <c r="L74">
        <v>339192.39</v>
      </c>
      <c r="M74" t="s">
        <v>118</v>
      </c>
      <c r="N74" t="s">
        <v>74</v>
      </c>
      <c r="O74" t="s">
        <v>36</v>
      </c>
    </row>
    <row r="75" spans="1:15" ht="13.8" x14ac:dyDescent="0.25">
      <c r="A75" t="s">
        <v>409</v>
      </c>
      <c r="B75" t="s">
        <v>314</v>
      </c>
      <c r="C75">
        <v>38</v>
      </c>
      <c r="D75" t="s">
        <v>115</v>
      </c>
      <c r="E75" t="s">
        <v>49</v>
      </c>
      <c r="F75" t="s">
        <v>19</v>
      </c>
      <c r="G75" t="s">
        <v>1235</v>
      </c>
      <c r="H75" s="1">
        <v>45916</v>
      </c>
      <c r="I75" s="1">
        <v>45929</v>
      </c>
      <c r="J75" t="s">
        <v>366</v>
      </c>
      <c r="K75" t="s">
        <v>367</v>
      </c>
      <c r="L75">
        <v>84421.63</v>
      </c>
      <c r="M75" t="s">
        <v>84</v>
      </c>
      <c r="N75" t="s">
        <v>25</v>
      </c>
      <c r="O75" t="s">
        <v>112</v>
      </c>
    </row>
    <row r="76" spans="1:15" ht="13.8" x14ac:dyDescent="0.25">
      <c r="A76" t="s">
        <v>418</v>
      </c>
      <c r="B76" t="s">
        <v>324</v>
      </c>
      <c r="C76">
        <v>49</v>
      </c>
      <c r="D76" t="s">
        <v>58</v>
      </c>
      <c r="E76" t="s">
        <v>137</v>
      </c>
      <c r="F76" t="s">
        <v>50</v>
      </c>
      <c r="G76" t="s">
        <v>1226</v>
      </c>
      <c r="H76" s="1">
        <v>45874</v>
      </c>
      <c r="I76" s="1">
        <v>45887</v>
      </c>
      <c r="J76" t="s">
        <v>315</v>
      </c>
      <c r="K76" t="s">
        <v>204</v>
      </c>
      <c r="L76" s="4">
        <v>245228.63</v>
      </c>
      <c r="M76" t="s">
        <v>34</v>
      </c>
      <c r="N76" t="s">
        <v>35</v>
      </c>
      <c r="O76" t="s">
        <v>112</v>
      </c>
    </row>
    <row r="77" spans="1:15" ht="13.8" x14ac:dyDescent="0.25">
      <c r="A77" t="s">
        <v>433</v>
      </c>
      <c r="B77" t="s">
        <v>434</v>
      </c>
      <c r="C77">
        <v>72</v>
      </c>
      <c r="D77" t="s">
        <v>58</v>
      </c>
      <c r="E77" t="s">
        <v>39</v>
      </c>
      <c r="F77" t="s">
        <v>30</v>
      </c>
      <c r="G77" t="s">
        <v>1216</v>
      </c>
      <c r="H77" s="1">
        <v>45800</v>
      </c>
      <c r="I77" s="1">
        <v>45813</v>
      </c>
      <c r="J77" t="s">
        <v>122</v>
      </c>
      <c r="K77" t="s">
        <v>123</v>
      </c>
      <c r="L77">
        <v>20469.05</v>
      </c>
      <c r="M77" t="s">
        <v>118</v>
      </c>
      <c r="N77" t="s">
        <v>25</v>
      </c>
      <c r="O77" t="s">
        <v>36</v>
      </c>
    </row>
    <row r="78" spans="1:15" ht="13.8" x14ac:dyDescent="0.25">
      <c r="A78" t="s">
        <v>437</v>
      </c>
      <c r="B78" t="s">
        <v>438</v>
      </c>
      <c r="C78">
        <v>54</v>
      </c>
      <c r="D78" t="s">
        <v>58</v>
      </c>
      <c r="E78" t="s">
        <v>137</v>
      </c>
      <c r="F78" t="s">
        <v>1215</v>
      </c>
      <c r="G78" t="s">
        <v>1226</v>
      </c>
      <c r="H78" s="1">
        <v>45775</v>
      </c>
      <c r="I78" s="1">
        <v>45790</v>
      </c>
      <c r="J78" t="s">
        <v>366</v>
      </c>
      <c r="K78" t="s">
        <v>367</v>
      </c>
      <c r="L78">
        <v>-60490.93</v>
      </c>
      <c r="M78" t="s">
        <v>1215</v>
      </c>
      <c r="N78" t="s">
        <v>74</v>
      </c>
      <c r="O78" t="s">
        <v>1227</v>
      </c>
    </row>
    <row r="79" spans="1:15" ht="13.8" x14ac:dyDescent="0.25">
      <c r="A79" t="s">
        <v>439</v>
      </c>
      <c r="B79" t="s">
        <v>440</v>
      </c>
      <c r="C79">
        <v>68</v>
      </c>
      <c r="D79" t="s">
        <v>17</v>
      </c>
      <c r="E79" t="s">
        <v>155</v>
      </c>
      <c r="F79" t="s">
        <v>19</v>
      </c>
      <c r="G79" t="s">
        <v>1230</v>
      </c>
      <c r="H79" s="1">
        <v>45809</v>
      </c>
      <c r="I79" s="1">
        <v>45674</v>
      </c>
      <c r="J79" t="s">
        <v>22</v>
      </c>
      <c r="K79" t="s">
        <v>23</v>
      </c>
      <c r="L79">
        <v>140940.70000000001</v>
      </c>
      <c r="M79" t="s">
        <v>1219</v>
      </c>
      <c r="N79" t="s">
        <v>69</v>
      </c>
      <c r="O79" t="s">
        <v>26</v>
      </c>
    </row>
    <row r="80" spans="1:15" ht="13.8" x14ac:dyDescent="0.25">
      <c r="A80" t="s">
        <v>444</v>
      </c>
      <c r="B80" t="s">
        <v>445</v>
      </c>
      <c r="C80">
        <v>16</v>
      </c>
      <c r="D80" t="s">
        <v>17</v>
      </c>
      <c r="E80" t="s">
        <v>155</v>
      </c>
      <c r="F80" t="s">
        <v>19</v>
      </c>
      <c r="G80" t="s">
        <v>1230</v>
      </c>
      <c r="H80" s="1">
        <v>45751</v>
      </c>
      <c r="I80" s="1">
        <v>45763</v>
      </c>
      <c r="J80" t="s">
        <v>233</v>
      </c>
      <c r="K80" t="s">
        <v>234</v>
      </c>
      <c r="L80">
        <v>13022.92</v>
      </c>
      <c r="M80" t="s">
        <v>54</v>
      </c>
      <c r="N80" t="s">
        <v>25</v>
      </c>
      <c r="O80" t="s">
        <v>1227</v>
      </c>
    </row>
    <row r="81" spans="1:15" ht="13.8" x14ac:dyDescent="0.25">
      <c r="A81" t="s">
        <v>446</v>
      </c>
      <c r="B81" t="s">
        <v>447</v>
      </c>
      <c r="C81">
        <v>44</v>
      </c>
      <c r="D81" t="s">
        <v>17</v>
      </c>
      <c r="E81" t="s">
        <v>49</v>
      </c>
      <c r="F81" t="s">
        <v>165</v>
      </c>
      <c r="G81" t="s">
        <v>1239</v>
      </c>
      <c r="H81" s="1">
        <v>45940</v>
      </c>
      <c r="I81" s="1">
        <v>45946</v>
      </c>
      <c r="J81" t="s">
        <v>168</v>
      </c>
      <c r="K81" t="s">
        <v>169</v>
      </c>
      <c r="L81">
        <v>218150.25</v>
      </c>
      <c r="M81" t="s">
        <v>84</v>
      </c>
      <c r="N81" t="s">
        <v>35</v>
      </c>
      <c r="O81" t="s">
        <v>26</v>
      </c>
    </row>
    <row r="82" spans="1:15" ht="13.8" x14ac:dyDescent="0.25">
      <c r="A82" t="s">
        <v>449</v>
      </c>
      <c r="B82" t="s">
        <v>289</v>
      </c>
      <c r="C82">
        <v>46</v>
      </c>
      <c r="D82" t="s">
        <v>58</v>
      </c>
      <c r="E82" t="s">
        <v>155</v>
      </c>
      <c r="F82" t="s">
        <v>19</v>
      </c>
      <c r="G82" t="s">
        <v>1235</v>
      </c>
      <c r="H82" s="1">
        <v>45942</v>
      </c>
      <c r="I82" s="1">
        <v>46014</v>
      </c>
      <c r="J82" t="s">
        <v>233</v>
      </c>
      <c r="K82" t="s">
        <v>234</v>
      </c>
      <c r="L82">
        <v>164587.4</v>
      </c>
      <c r="M82" t="s">
        <v>84</v>
      </c>
      <c r="N82" t="s">
        <v>25</v>
      </c>
      <c r="O82" t="s">
        <v>45</v>
      </c>
    </row>
    <row r="83" spans="1:15" ht="13.8" x14ac:dyDescent="0.25">
      <c r="A83" t="s">
        <v>450</v>
      </c>
      <c r="B83" t="s">
        <v>402</v>
      </c>
      <c r="C83">
        <v>35</v>
      </c>
      <c r="D83" t="s">
        <v>58</v>
      </c>
      <c r="E83" t="s">
        <v>137</v>
      </c>
      <c r="F83" t="s">
        <v>165</v>
      </c>
      <c r="G83" t="s">
        <v>1242</v>
      </c>
      <c r="H83" s="1">
        <v>45828</v>
      </c>
      <c r="I83" s="1">
        <v>46014</v>
      </c>
      <c r="J83" t="s">
        <v>183</v>
      </c>
      <c r="K83" t="s">
        <v>184</v>
      </c>
      <c r="L83">
        <v>110184.01</v>
      </c>
      <c r="M83" t="s">
        <v>118</v>
      </c>
      <c r="N83" t="s">
        <v>74</v>
      </c>
      <c r="O83" t="s">
        <v>1215</v>
      </c>
    </row>
    <row r="84" spans="1:15" ht="13.8" x14ac:dyDescent="0.25">
      <c r="A84" t="s">
        <v>454</v>
      </c>
      <c r="B84" t="s">
        <v>391</v>
      </c>
      <c r="C84">
        <v>83</v>
      </c>
      <c r="D84" t="s">
        <v>58</v>
      </c>
      <c r="E84" t="s">
        <v>78</v>
      </c>
      <c r="F84" t="s">
        <v>103</v>
      </c>
      <c r="G84" t="s">
        <v>1245</v>
      </c>
      <c r="H84" s="1">
        <v>45691</v>
      </c>
      <c r="I84" s="1">
        <v>45688</v>
      </c>
      <c r="J84" t="s">
        <v>219</v>
      </c>
      <c r="K84" t="s">
        <v>140</v>
      </c>
      <c r="L84">
        <v>342473.08</v>
      </c>
      <c r="M84" t="s">
        <v>1215</v>
      </c>
      <c r="N84" t="s">
        <v>69</v>
      </c>
      <c r="O84" t="s">
        <v>36</v>
      </c>
    </row>
    <row r="85" spans="1:15" ht="13.8" x14ac:dyDescent="0.25">
      <c r="A85" t="s">
        <v>460</v>
      </c>
      <c r="B85" t="s">
        <v>461</v>
      </c>
      <c r="C85">
        <v>19</v>
      </c>
      <c r="D85" t="s">
        <v>58</v>
      </c>
      <c r="E85" t="s">
        <v>97</v>
      </c>
      <c r="F85" t="s">
        <v>30</v>
      </c>
      <c r="G85" t="s">
        <v>1251</v>
      </c>
      <c r="H85" s="1">
        <v>45807</v>
      </c>
      <c r="I85" s="1">
        <v>45816</v>
      </c>
      <c r="J85" t="s">
        <v>122</v>
      </c>
      <c r="K85" t="s">
        <v>123</v>
      </c>
      <c r="L85">
        <v>120795.08</v>
      </c>
      <c r="M85" t="s">
        <v>54</v>
      </c>
      <c r="N85" t="s">
        <v>1215</v>
      </c>
      <c r="O85" t="s">
        <v>36</v>
      </c>
    </row>
    <row r="86" spans="1:15" ht="13.8" x14ac:dyDescent="0.25">
      <c r="A86" t="s">
        <v>462</v>
      </c>
      <c r="B86" t="s">
        <v>463</v>
      </c>
      <c r="C86">
        <v>51</v>
      </c>
      <c r="D86" t="s">
        <v>58</v>
      </c>
      <c r="E86" t="s">
        <v>49</v>
      </c>
      <c r="F86" t="s">
        <v>103</v>
      </c>
      <c r="G86" t="s">
        <v>1236</v>
      </c>
      <c r="H86" s="1">
        <v>45720</v>
      </c>
      <c r="I86" s="1">
        <v>45731</v>
      </c>
      <c r="J86" t="s">
        <v>106</v>
      </c>
      <c r="K86" t="s">
        <v>110</v>
      </c>
      <c r="L86">
        <v>267080.71000000002</v>
      </c>
      <c r="M86" t="s">
        <v>24</v>
      </c>
      <c r="N86" t="s">
        <v>35</v>
      </c>
      <c r="O86" t="s">
        <v>1227</v>
      </c>
    </row>
    <row r="87" spans="1:15" ht="13.8" x14ac:dyDescent="0.25">
      <c r="A87" t="s">
        <v>464</v>
      </c>
      <c r="B87" t="s">
        <v>434</v>
      </c>
      <c r="C87">
        <v>8</v>
      </c>
      <c r="D87" t="s">
        <v>58</v>
      </c>
      <c r="E87" t="s">
        <v>155</v>
      </c>
      <c r="F87" t="s">
        <v>1215</v>
      </c>
      <c r="G87" t="s">
        <v>1221</v>
      </c>
      <c r="H87" s="1">
        <v>45898</v>
      </c>
      <c r="I87" s="1">
        <v>45905</v>
      </c>
      <c r="J87" t="s">
        <v>191</v>
      </c>
      <c r="K87" t="s">
        <v>1244</v>
      </c>
      <c r="L87">
        <v>274996.57</v>
      </c>
      <c r="M87" t="s">
        <v>1219</v>
      </c>
      <c r="N87" t="s">
        <v>69</v>
      </c>
      <c r="O87" t="s">
        <v>36</v>
      </c>
    </row>
    <row r="88" spans="1:15" ht="13.8" x14ac:dyDescent="0.25">
      <c r="A88" t="s">
        <v>1215</v>
      </c>
      <c r="B88" t="s">
        <v>236</v>
      </c>
      <c r="C88">
        <v>5</v>
      </c>
      <c r="D88" t="s">
        <v>17</v>
      </c>
      <c r="E88" t="s">
        <v>102</v>
      </c>
      <c r="F88" t="s">
        <v>30</v>
      </c>
      <c r="G88" t="s">
        <v>1233</v>
      </c>
      <c r="H88" s="1">
        <v>45672</v>
      </c>
      <c r="I88" s="1">
        <v>46014</v>
      </c>
      <c r="J88" t="s">
        <v>246</v>
      </c>
      <c r="K88" t="s">
        <v>1248</v>
      </c>
      <c r="L88">
        <v>319520.46999999997</v>
      </c>
      <c r="M88" t="s">
        <v>1225</v>
      </c>
      <c r="N88" t="s">
        <v>35</v>
      </c>
      <c r="O88" t="s">
        <v>45</v>
      </c>
    </row>
    <row r="89" spans="1:15" ht="13.8" x14ac:dyDescent="0.25">
      <c r="A89" t="s">
        <v>467</v>
      </c>
      <c r="B89" t="s">
        <v>468</v>
      </c>
      <c r="C89">
        <v>26</v>
      </c>
      <c r="D89" t="s">
        <v>17</v>
      </c>
      <c r="E89" t="s">
        <v>39</v>
      </c>
      <c r="F89" t="s">
        <v>60</v>
      </c>
      <c r="G89" t="s">
        <v>1223</v>
      </c>
      <c r="H89" s="1">
        <v>45946</v>
      </c>
      <c r="I89" s="1">
        <v>45964</v>
      </c>
      <c r="J89" t="s">
        <v>62</v>
      </c>
      <c r="K89" t="s">
        <v>1224</v>
      </c>
      <c r="L89">
        <v>171035.99</v>
      </c>
      <c r="M89" t="s">
        <v>84</v>
      </c>
      <c r="N89" t="s">
        <v>69</v>
      </c>
      <c r="O89" t="s">
        <v>1227</v>
      </c>
    </row>
    <row r="90" spans="1:15" ht="13.8" x14ac:dyDescent="0.25">
      <c r="A90" t="s">
        <v>469</v>
      </c>
      <c r="B90" t="s">
        <v>470</v>
      </c>
      <c r="C90">
        <v>56</v>
      </c>
      <c r="D90" t="s">
        <v>17</v>
      </c>
      <c r="E90" t="s">
        <v>78</v>
      </c>
      <c r="F90" t="s">
        <v>165</v>
      </c>
      <c r="G90" t="s">
        <v>1252</v>
      </c>
      <c r="H90" s="1">
        <v>45746</v>
      </c>
      <c r="I90" s="1">
        <v>45763</v>
      </c>
      <c r="J90" t="s">
        <v>183</v>
      </c>
      <c r="K90" t="s">
        <v>184</v>
      </c>
      <c r="L90">
        <v>185136.82</v>
      </c>
      <c r="M90" t="s">
        <v>1225</v>
      </c>
      <c r="N90" t="s">
        <v>35</v>
      </c>
      <c r="O90" t="s">
        <v>1215</v>
      </c>
    </row>
    <row r="91" spans="1:15" ht="13.8" x14ac:dyDescent="0.25">
      <c r="A91" t="s">
        <v>471</v>
      </c>
      <c r="B91" t="s">
        <v>150</v>
      </c>
      <c r="C91">
        <v>48</v>
      </c>
      <c r="D91" t="s">
        <v>17</v>
      </c>
      <c r="E91" t="s">
        <v>72</v>
      </c>
      <c r="F91" t="s">
        <v>50</v>
      </c>
      <c r="G91" t="s">
        <v>1243</v>
      </c>
      <c r="H91" s="1">
        <v>45831</v>
      </c>
      <c r="I91" s="1">
        <v>45845</v>
      </c>
      <c r="J91" t="s">
        <v>1222</v>
      </c>
      <c r="K91" t="s">
        <v>1215</v>
      </c>
      <c r="L91" s="4">
        <v>94467.58</v>
      </c>
      <c r="M91" t="s">
        <v>34</v>
      </c>
      <c r="N91" t="s">
        <v>35</v>
      </c>
      <c r="O91" t="s">
        <v>26</v>
      </c>
    </row>
    <row r="92" spans="1:15" ht="13.8" x14ac:dyDescent="0.25">
      <c r="A92" t="s">
        <v>474</v>
      </c>
      <c r="B92" t="s">
        <v>475</v>
      </c>
      <c r="C92">
        <v>25</v>
      </c>
      <c r="D92" t="s">
        <v>17</v>
      </c>
      <c r="E92" t="s">
        <v>39</v>
      </c>
      <c r="F92" t="s">
        <v>30</v>
      </c>
      <c r="G92" t="s">
        <v>1233</v>
      </c>
      <c r="H92" s="1">
        <v>45814</v>
      </c>
      <c r="I92" s="1">
        <v>45823</v>
      </c>
      <c r="J92" t="s">
        <v>246</v>
      </c>
      <c r="K92" t="s">
        <v>1248</v>
      </c>
      <c r="L92">
        <v>20656.7</v>
      </c>
      <c r="M92" t="s">
        <v>84</v>
      </c>
      <c r="N92" t="s">
        <v>35</v>
      </c>
      <c r="O92" t="s">
        <v>36</v>
      </c>
    </row>
    <row r="93" spans="1:15" ht="13.8" x14ac:dyDescent="0.25">
      <c r="A93" t="s">
        <v>476</v>
      </c>
      <c r="B93" t="s">
        <v>477</v>
      </c>
      <c r="C93">
        <v>53</v>
      </c>
      <c r="D93" t="s">
        <v>58</v>
      </c>
      <c r="E93" t="s">
        <v>59</v>
      </c>
      <c r="F93" t="s">
        <v>165</v>
      </c>
      <c r="G93" t="s">
        <v>1252</v>
      </c>
      <c r="H93" s="1">
        <v>45658</v>
      </c>
      <c r="I93" s="1">
        <v>45662</v>
      </c>
      <c r="J93" t="s">
        <v>222</v>
      </c>
      <c r="K93" t="s">
        <v>223</v>
      </c>
      <c r="L93">
        <v>181016.57</v>
      </c>
      <c r="M93" t="s">
        <v>24</v>
      </c>
      <c r="N93" t="s">
        <v>55</v>
      </c>
      <c r="O93" t="s">
        <v>26</v>
      </c>
    </row>
    <row r="94" spans="1:15" ht="13.8" x14ac:dyDescent="0.25">
      <c r="A94" t="s">
        <v>478</v>
      </c>
      <c r="B94" t="s">
        <v>479</v>
      </c>
      <c r="C94">
        <v>82</v>
      </c>
      <c r="D94" t="s">
        <v>17</v>
      </c>
      <c r="E94" t="s">
        <v>59</v>
      </c>
      <c r="F94" t="s">
        <v>60</v>
      </c>
      <c r="G94" t="s">
        <v>1223</v>
      </c>
      <c r="H94" s="1">
        <v>45737</v>
      </c>
      <c r="I94" s="1">
        <v>45751</v>
      </c>
      <c r="J94" t="s">
        <v>263</v>
      </c>
      <c r="K94" t="s">
        <v>264</v>
      </c>
      <c r="L94">
        <v>309912.63</v>
      </c>
      <c r="M94" t="s">
        <v>24</v>
      </c>
      <c r="N94" t="s">
        <v>25</v>
      </c>
      <c r="O94" t="s">
        <v>36</v>
      </c>
    </row>
    <row r="95" spans="1:15" ht="13.8" x14ac:dyDescent="0.25">
      <c r="A95" t="s">
        <v>481</v>
      </c>
      <c r="B95" t="s">
        <v>482</v>
      </c>
      <c r="C95">
        <v>27</v>
      </c>
      <c r="D95" t="s">
        <v>58</v>
      </c>
      <c r="E95" t="s">
        <v>49</v>
      </c>
      <c r="F95" t="s">
        <v>19</v>
      </c>
      <c r="G95" t="s">
        <v>1235</v>
      </c>
      <c r="H95" s="1">
        <v>45898</v>
      </c>
      <c r="I95" s="1">
        <v>46014</v>
      </c>
      <c r="J95" t="s">
        <v>366</v>
      </c>
      <c r="K95" t="s">
        <v>367</v>
      </c>
      <c r="L95" s="4">
        <v>141900.42000000001</v>
      </c>
      <c r="M95" t="s">
        <v>162</v>
      </c>
      <c r="N95" t="s">
        <v>74</v>
      </c>
      <c r="O95" t="s">
        <v>1215</v>
      </c>
    </row>
    <row r="96" spans="1:15" ht="13.8" x14ac:dyDescent="0.25">
      <c r="A96" t="s">
        <v>487</v>
      </c>
      <c r="B96" t="s">
        <v>488</v>
      </c>
      <c r="C96">
        <v>59</v>
      </c>
      <c r="D96" t="s">
        <v>58</v>
      </c>
      <c r="E96" t="s">
        <v>49</v>
      </c>
      <c r="F96" t="s">
        <v>50</v>
      </c>
      <c r="G96" t="s">
        <v>1254</v>
      </c>
      <c r="H96" s="1">
        <v>45997</v>
      </c>
      <c r="I96" s="1">
        <v>46014</v>
      </c>
      <c r="J96" t="s">
        <v>191</v>
      </c>
      <c r="K96" t="s">
        <v>1244</v>
      </c>
      <c r="L96">
        <v>68547.92</v>
      </c>
      <c r="M96" t="s">
        <v>118</v>
      </c>
      <c r="N96" t="s">
        <v>25</v>
      </c>
      <c r="O96" t="s">
        <v>36</v>
      </c>
    </row>
    <row r="97" spans="1:15" ht="13.8" x14ac:dyDescent="0.25">
      <c r="A97" t="s">
        <v>489</v>
      </c>
      <c r="B97" t="s">
        <v>431</v>
      </c>
      <c r="C97">
        <v>52</v>
      </c>
      <c r="D97" t="s">
        <v>17</v>
      </c>
      <c r="E97" t="s">
        <v>78</v>
      </c>
      <c r="F97" t="s">
        <v>60</v>
      </c>
      <c r="G97" t="s">
        <v>1255</v>
      </c>
      <c r="H97" s="1">
        <v>45691</v>
      </c>
      <c r="I97" s="1">
        <v>45700</v>
      </c>
      <c r="J97" t="s">
        <v>62</v>
      </c>
      <c r="K97" t="s">
        <v>1224</v>
      </c>
      <c r="L97">
        <v>88870.79</v>
      </c>
      <c r="M97" t="s">
        <v>84</v>
      </c>
      <c r="N97" t="s">
        <v>35</v>
      </c>
      <c r="O97" t="s">
        <v>26</v>
      </c>
    </row>
    <row r="98" spans="1:15" ht="13.8" x14ac:dyDescent="0.25">
      <c r="A98" t="s">
        <v>497</v>
      </c>
      <c r="B98" t="s">
        <v>498</v>
      </c>
      <c r="C98">
        <v>160</v>
      </c>
      <c r="D98" t="s">
        <v>17</v>
      </c>
      <c r="E98" t="s">
        <v>78</v>
      </c>
      <c r="F98" t="s">
        <v>30</v>
      </c>
      <c r="G98" t="s">
        <v>1216</v>
      </c>
      <c r="H98" s="1">
        <v>45671</v>
      </c>
      <c r="I98" s="1">
        <v>45679</v>
      </c>
      <c r="J98" t="s">
        <v>122</v>
      </c>
      <c r="K98" t="s">
        <v>123</v>
      </c>
      <c r="L98" s="4">
        <v>221590.42</v>
      </c>
      <c r="M98" t="s">
        <v>34</v>
      </c>
      <c r="N98" t="s">
        <v>69</v>
      </c>
      <c r="O98" t="s">
        <v>36</v>
      </c>
    </row>
    <row r="99" spans="1:15" ht="13.8" x14ac:dyDescent="0.25">
      <c r="A99" t="s">
        <v>500</v>
      </c>
      <c r="B99" t="s">
        <v>501</v>
      </c>
      <c r="C99">
        <v>26</v>
      </c>
      <c r="D99" t="s">
        <v>17</v>
      </c>
      <c r="E99" t="s">
        <v>59</v>
      </c>
      <c r="F99" t="s">
        <v>50</v>
      </c>
      <c r="G99" t="s">
        <v>1221</v>
      </c>
      <c r="H99" s="1">
        <v>45739</v>
      </c>
      <c r="I99" s="1">
        <v>46014</v>
      </c>
      <c r="J99" t="s">
        <v>332</v>
      </c>
      <c r="K99" t="s">
        <v>383</v>
      </c>
      <c r="L99">
        <v>211178.03</v>
      </c>
      <c r="M99" t="s">
        <v>34</v>
      </c>
      <c r="N99" t="s">
        <v>74</v>
      </c>
      <c r="O99" t="s">
        <v>45</v>
      </c>
    </row>
    <row r="100" spans="1:15" ht="13.8" x14ac:dyDescent="0.25">
      <c r="A100" t="s">
        <v>1215</v>
      </c>
      <c r="B100" t="s">
        <v>506</v>
      </c>
      <c r="C100">
        <v>10</v>
      </c>
      <c r="D100" t="s">
        <v>58</v>
      </c>
      <c r="E100" t="s">
        <v>18</v>
      </c>
      <c r="F100" t="s">
        <v>165</v>
      </c>
      <c r="G100" t="s">
        <v>1239</v>
      </c>
      <c r="H100" s="1">
        <v>45757</v>
      </c>
      <c r="I100" s="1">
        <v>45912</v>
      </c>
      <c r="J100" t="s">
        <v>222</v>
      </c>
      <c r="K100" t="s">
        <v>223</v>
      </c>
      <c r="L100">
        <v>99999999</v>
      </c>
      <c r="M100" t="s">
        <v>162</v>
      </c>
      <c r="N100" t="s">
        <v>35</v>
      </c>
      <c r="O100" t="s">
        <v>26</v>
      </c>
    </row>
    <row r="101" spans="1:15" ht="13.8" x14ac:dyDescent="0.25">
      <c r="A101" t="s">
        <v>507</v>
      </c>
      <c r="B101" t="s">
        <v>195</v>
      </c>
      <c r="C101">
        <v>11</v>
      </c>
      <c r="D101" t="s">
        <v>58</v>
      </c>
      <c r="E101" t="s">
        <v>102</v>
      </c>
      <c r="F101" t="s">
        <v>50</v>
      </c>
      <c r="G101" t="s">
        <v>1254</v>
      </c>
      <c r="H101" s="1">
        <v>45965</v>
      </c>
      <c r="I101" s="1">
        <v>45976</v>
      </c>
      <c r="J101" t="s">
        <v>191</v>
      </c>
      <c r="K101" t="s">
        <v>1244</v>
      </c>
      <c r="L101">
        <v>286748.51</v>
      </c>
      <c r="M101" t="s">
        <v>1219</v>
      </c>
      <c r="N101" t="s">
        <v>69</v>
      </c>
      <c r="O101" t="s">
        <v>26</v>
      </c>
    </row>
    <row r="102" spans="1:15" ht="13.8" x14ac:dyDescent="0.25">
      <c r="A102" t="s">
        <v>508</v>
      </c>
      <c r="B102" t="s">
        <v>154</v>
      </c>
      <c r="C102">
        <v>45</v>
      </c>
      <c r="D102" t="s">
        <v>17</v>
      </c>
      <c r="E102" t="s">
        <v>78</v>
      </c>
      <c r="F102" t="s">
        <v>165</v>
      </c>
      <c r="G102" t="s">
        <v>1242</v>
      </c>
      <c r="H102" s="1">
        <v>45742</v>
      </c>
      <c r="I102" s="1">
        <v>46014</v>
      </c>
      <c r="J102" t="s">
        <v>173</v>
      </c>
      <c r="K102" t="s">
        <v>174</v>
      </c>
      <c r="L102">
        <v>138546.84</v>
      </c>
      <c r="M102" t="s">
        <v>1225</v>
      </c>
      <c r="N102" t="s">
        <v>69</v>
      </c>
      <c r="O102" t="s">
        <v>45</v>
      </c>
    </row>
    <row r="103" spans="1:15" ht="13.8" x14ac:dyDescent="0.25">
      <c r="A103" t="s">
        <v>512</v>
      </c>
      <c r="B103" t="s">
        <v>513</v>
      </c>
      <c r="C103">
        <v>18</v>
      </c>
      <c r="D103" t="s">
        <v>17</v>
      </c>
      <c r="E103" t="s">
        <v>137</v>
      </c>
      <c r="F103" t="s">
        <v>103</v>
      </c>
      <c r="G103" t="s">
        <v>1245</v>
      </c>
      <c r="H103" s="1">
        <v>45950</v>
      </c>
      <c r="I103" s="1">
        <v>45966</v>
      </c>
      <c r="J103" t="s">
        <v>219</v>
      </c>
      <c r="K103" t="s">
        <v>140</v>
      </c>
      <c r="L103" s="4">
        <v>347176.11</v>
      </c>
      <c r="M103" t="s">
        <v>24</v>
      </c>
      <c r="N103" t="s">
        <v>74</v>
      </c>
      <c r="O103" t="s">
        <v>1227</v>
      </c>
    </row>
    <row r="104" spans="1:15" ht="13.8" x14ac:dyDescent="0.25">
      <c r="A104" t="s">
        <v>515</v>
      </c>
      <c r="B104" t="s">
        <v>516</v>
      </c>
      <c r="C104">
        <v>45</v>
      </c>
      <c r="D104" t="s">
        <v>17</v>
      </c>
      <c r="E104" t="s">
        <v>72</v>
      </c>
      <c r="F104" t="s">
        <v>165</v>
      </c>
      <c r="G104" t="s">
        <v>1252</v>
      </c>
      <c r="H104" s="1">
        <v>45766</v>
      </c>
      <c r="I104" s="1">
        <v>45774</v>
      </c>
      <c r="J104" t="s">
        <v>222</v>
      </c>
      <c r="K104" t="s">
        <v>223</v>
      </c>
      <c r="L104">
        <v>296274.05</v>
      </c>
      <c r="M104" t="s">
        <v>1225</v>
      </c>
      <c r="N104" t="s">
        <v>25</v>
      </c>
      <c r="O104" t="s">
        <v>26</v>
      </c>
    </row>
    <row r="105" spans="1:15" ht="13.8" x14ac:dyDescent="0.25">
      <c r="A105" t="s">
        <v>517</v>
      </c>
      <c r="B105" t="s">
        <v>518</v>
      </c>
      <c r="C105">
        <v>61</v>
      </c>
      <c r="D105" t="s">
        <v>17</v>
      </c>
      <c r="E105" t="s">
        <v>155</v>
      </c>
      <c r="F105" t="s">
        <v>19</v>
      </c>
      <c r="G105" t="s">
        <v>1235</v>
      </c>
      <c r="H105" s="1">
        <v>45900</v>
      </c>
      <c r="I105" s="1">
        <v>46014</v>
      </c>
      <c r="J105" t="s">
        <v>151</v>
      </c>
      <c r="K105" t="s">
        <v>152</v>
      </c>
      <c r="L105">
        <v>263655.98</v>
      </c>
      <c r="M105" t="s">
        <v>54</v>
      </c>
      <c r="N105" t="s">
        <v>74</v>
      </c>
      <c r="O105" t="s">
        <v>45</v>
      </c>
    </row>
    <row r="106" spans="1:15" ht="13.8" x14ac:dyDescent="0.25">
      <c r="A106" t="s">
        <v>519</v>
      </c>
      <c r="B106" t="s">
        <v>120</v>
      </c>
      <c r="C106">
        <v>18</v>
      </c>
      <c r="D106" t="s">
        <v>115</v>
      </c>
      <c r="E106" t="s">
        <v>1215</v>
      </c>
      <c r="F106" t="s">
        <v>165</v>
      </c>
      <c r="G106" t="s">
        <v>1252</v>
      </c>
      <c r="H106" s="1">
        <v>45903</v>
      </c>
      <c r="I106" s="1">
        <v>46014</v>
      </c>
      <c r="J106" t="s">
        <v>173</v>
      </c>
      <c r="K106" t="s">
        <v>174</v>
      </c>
      <c r="L106">
        <v>274232.43</v>
      </c>
      <c r="M106" t="s">
        <v>1247</v>
      </c>
      <c r="N106" t="s">
        <v>35</v>
      </c>
      <c r="O106" t="s">
        <v>45</v>
      </c>
    </row>
    <row r="107" spans="1:15" ht="13.8" x14ac:dyDescent="0.25">
      <c r="A107" t="s">
        <v>520</v>
      </c>
      <c r="B107" t="s">
        <v>521</v>
      </c>
      <c r="C107">
        <v>75</v>
      </c>
      <c r="D107" t="s">
        <v>58</v>
      </c>
      <c r="E107" t="s">
        <v>72</v>
      </c>
      <c r="F107" t="s">
        <v>165</v>
      </c>
      <c r="G107" t="s">
        <v>1252</v>
      </c>
      <c r="H107" s="1">
        <v>45667</v>
      </c>
      <c r="I107" s="1">
        <v>45684</v>
      </c>
      <c r="J107" t="s">
        <v>168</v>
      </c>
      <c r="K107" t="s">
        <v>169</v>
      </c>
      <c r="L107">
        <v>212814.74</v>
      </c>
      <c r="M107" t="s">
        <v>162</v>
      </c>
      <c r="N107" t="s">
        <v>1215</v>
      </c>
      <c r="O107" t="s">
        <v>26</v>
      </c>
    </row>
    <row r="108" spans="1:15" ht="13.8" x14ac:dyDescent="0.25">
      <c r="A108" t="s">
        <v>525</v>
      </c>
      <c r="B108" t="s">
        <v>526</v>
      </c>
      <c r="C108">
        <v>42</v>
      </c>
      <c r="D108" t="s">
        <v>17</v>
      </c>
      <c r="E108" t="s">
        <v>97</v>
      </c>
      <c r="F108" t="s">
        <v>165</v>
      </c>
      <c r="G108" t="s">
        <v>1242</v>
      </c>
      <c r="H108" s="1">
        <v>45757</v>
      </c>
      <c r="I108" s="1">
        <v>45700</v>
      </c>
      <c r="J108" t="s">
        <v>183</v>
      </c>
      <c r="K108" t="s">
        <v>184</v>
      </c>
      <c r="L108">
        <v>326680.27</v>
      </c>
      <c r="M108" t="s">
        <v>1219</v>
      </c>
      <c r="N108" t="s">
        <v>35</v>
      </c>
      <c r="O108" t="s">
        <v>36</v>
      </c>
    </row>
    <row r="109" spans="1:15" ht="13.8" x14ac:dyDescent="0.25">
      <c r="A109" t="s">
        <v>527</v>
      </c>
      <c r="B109" t="s">
        <v>528</v>
      </c>
      <c r="C109">
        <v>12</v>
      </c>
      <c r="D109" t="s">
        <v>17</v>
      </c>
      <c r="E109" t="s">
        <v>102</v>
      </c>
      <c r="F109" t="s">
        <v>103</v>
      </c>
      <c r="G109" t="s">
        <v>1245</v>
      </c>
      <c r="H109" s="1">
        <v>45842</v>
      </c>
      <c r="I109" s="1">
        <v>46014</v>
      </c>
      <c r="J109" t="s">
        <v>219</v>
      </c>
      <c r="K109" t="s">
        <v>140</v>
      </c>
      <c r="L109">
        <v>296656.08</v>
      </c>
      <c r="M109" t="s">
        <v>1225</v>
      </c>
      <c r="N109" t="s">
        <v>55</v>
      </c>
      <c r="O109" t="s">
        <v>45</v>
      </c>
    </row>
    <row r="110" spans="1:15" ht="13.8" x14ac:dyDescent="0.25">
      <c r="A110" t="s">
        <v>529</v>
      </c>
      <c r="B110" t="s">
        <v>530</v>
      </c>
      <c r="C110">
        <v>38</v>
      </c>
      <c r="D110" t="s">
        <v>58</v>
      </c>
      <c r="E110" t="s">
        <v>155</v>
      </c>
      <c r="F110" t="s">
        <v>60</v>
      </c>
      <c r="G110" t="s">
        <v>1255</v>
      </c>
      <c r="H110" s="1">
        <v>45735</v>
      </c>
      <c r="I110" s="1">
        <v>45740</v>
      </c>
      <c r="J110" t="s">
        <v>62</v>
      </c>
      <c r="K110" t="s">
        <v>1224</v>
      </c>
      <c r="L110" s="4">
        <v>319545.57</v>
      </c>
      <c r="M110" t="s">
        <v>1247</v>
      </c>
      <c r="N110" t="s">
        <v>1215</v>
      </c>
      <c r="O110" t="s">
        <v>1227</v>
      </c>
    </row>
    <row r="111" spans="1:15" ht="13.8" x14ac:dyDescent="0.25">
      <c r="A111" t="s">
        <v>532</v>
      </c>
      <c r="B111" t="s">
        <v>533</v>
      </c>
      <c r="C111">
        <v>67</v>
      </c>
      <c r="D111" t="s">
        <v>17</v>
      </c>
      <c r="E111" t="s">
        <v>59</v>
      </c>
      <c r="F111" t="s">
        <v>60</v>
      </c>
      <c r="G111" t="s">
        <v>1223</v>
      </c>
      <c r="H111" s="1">
        <v>45716</v>
      </c>
      <c r="I111" s="1">
        <v>45734</v>
      </c>
      <c r="J111" t="s">
        <v>81</v>
      </c>
      <c r="K111" t="s">
        <v>82</v>
      </c>
      <c r="L111">
        <v>288794.3</v>
      </c>
      <c r="M111" t="s">
        <v>118</v>
      </c>
      <c r="N111" t="s">
        <v>69</v>
      </c>
      <c r="O111" t="s">
        <v>112</v>
      </c>
    </row>
    <row r="112" spans="1:15" ht="13.8" x14ac:dyDescent="0.25">
      <c r="A112" t="s">
        <v>535</v>
      </c>
      <c r="B112" t="s">
        <v>232</v>
      </c>
      <c r="C112">
        <v>88</v>
      </c>
      <c r="D112" t="s">
        <v>58</v>
      </c>
      <c r="E112" t="s">
        <v>59</v>
      </c>
      <c r="F112" t="s">
        <v>60</v>
      </c>
      <c r="G112" t="s">
        <v>1255</v>
      </c>
      <c r="H112" s="1">
        <v>45823</v>
      </c>
      <c r="I112" s="1">
        <v>45837</v>
      </c>
      <c r="J112" t="s">
        <v>263</v>
      </c>
      <c r="K112" t="s">
        <v>264</v>
      </c>
      <c r="L112" s="4">
        <v>216146.47</v>
      </c>
      <c r="M112" t="s">
        <v>1215</v>
      </c>
      <c r="N112" t="s">
        <v>25</v>
      </c>
      <c r="O112" t="s">
        <v>112</v>
      </c>
    </row>
    <row r="113" spans="1:15" ht="13.8" x14ac:dyDescent="0.25">
      <c r="A113" t="s">
        <v>537</v>
      </c>
      <c r="B113" t="s">
        <v>538</v>
      </c>
      <c r="C113">
        <v>7</v>
      </c>
      <c r="D113" t="s">
        <v>58</v>
      </c>
      <c r="E113" t="s">
        <v>39</v>
      </c>
      <c r="F113" t="s">
        <v>1215</v>
      </c>
      <c r="G113" t="s">
        <v>1240</v>
      </c>
      <c r="H113" s="1">
        <v>45970</v>
      </c>
      <c r="I113" s="1">
        <v>46014</v>
      </c>
      <c r="J113" t="s">
        <v>132</v>
      </c>
      <c r="K113" t="s">
        <v>1238</v>
      </c>
      <c r="L113">
        <v>206117.65</v>
      </c>
      <c r="M113" t="s">
        <v>118</v>
      </c>
      <c r="N113" t="s">
        <v>74</v>
      </c>
      <c r="O113" t="s">
        <v>45</v>
      </c>
    </row>
    <row r="114" spans="1:15" ht="13.8" x14ac:dyDescent="0.25">
      <c r="A114" t="s">
        <v>542</v>
      </c>
      <c r="B114" t="s">
        <v>130</v>
      </c>
      <c r="C114">
        <v>84</v>
      </c>
      <c r="D114" t="s">
        <v>58</v>
      </c>
      <c r="E114" t="s">
        <v>102</v>
      </c>
      <c r="F114" t="s">
        <v>40</v>
      </c>
      <c r="G114" t="s">
        <v>1228</v>
      </c>
      <c r="H114" s="1">
        <v>45775</v>
      </c>
      <c r="I114" s="1">
        <v>45793</v>
      </c>
      <c r="J114" t="s">
        <v>1218</v>
      </c>
      <c r="K114" t="s">
        <v>43</v>
      </c>
      <c r="L114">
        <v>260581.65</v>
      </c>
      <c r="M114" t="s">
        <v>84</v>
      </c>
      <c r="N114" t="s">
        <v>25</v>
      </c>
      <c r="O114" t="s">
        <v>1227</v>
      </c>
    </row>
    <row r="115" spans="1:15" ht="13.8" x14ac:dyDescent="0.25">
      <c r="A115" t="s">
        <v>544</v>
      </c>
      <c r="B115" t="s">
        <v>545</v>
      </c>
      <c r="C115">
        <v>70</v>
      </c>
      <c r="D115" t="s">
        <v>58</v>
      </c>
      <c r="E115" t="s">
        <v>97</v>
      </c>
      <c r="F115" t="s">
        <v>30</v>
      </c>
      <c r="G115" t="s">
        <v>1251</v>
      </c>
      <c r="H115" s="1">
        <v>45672</v>
      </c>
      <c r="I115" s="1">
        <v>45685</v>
      </c>
      <c r="J115" t="s">
        <v>32</v>
      </c>
      <c r="K115" t="s">
        <v>33</v>
      </c>
      <c r="L115">
        <v>40000</v>
      </c>
      <c r="M115" t="s">
        <v>118</v>
      </c>
      <c r="N115" t="s">
        <v>69</v>
      </c>
      <c r="O115" t="s">
        <v>1227</v>
      </c>
    </row>
    <row r="116" spans="1:15" ht="13.8" x14ac:dyDescent="0.25">
      <c r="A116" t="s">
        <v>546</v>
      </c>
      <c r="B116" t="s">
        <v>547</v>
      </c>
      <c r="C116">
        <v>28</v>
      </c>
      <c r="D116" t="s">
        <v>58</v>
      </c>
      <c r="E116" t="s">
        <v>49</v>
      </c>
      <c r="F116" t="s">
        <v>30</v>
      </c>
      <c r="G116" t="s">
        <v>1233</v>
      </c>
      <c r="H116" s="1">
        <v>45928</v>
      </c>
      <c r="I116" s="1">
        <v>45940</v>
      </c>
      <c r="J116" t="s">
        <v>1215</v>
      </c>
      <c r="K116" t="s">
        <v>123</v>
      </c>
      <c r="L116">
        <v>325321.69</v>
      </c>
      <c r="M116" t="s">
        <v>34</v>
      </c>
      <c r="N116" t="s">
        <v>55</v>
      </c>
      <c r="O116" t="s">
        <v>26</v>
      </c>
    </row>
    <row r="117" spans="1:15" ht="13.8" x14ac:dyDescent="0.25">
      <c r="A117" t="s">
        <v>1257</v>
      </c>
      <c r="B117" t="s">
        <v>553</v>
      </c>
      <c r="C117">
        <v>79</v>
      </c>
      <c r="D117" t="s">
        <v>58</v>
      </c>
      <c r="E117" t="s">
        <v>72</v>
      </c>
      <c r="F117" t="s">
        <v>19</v>
      </c>
      <c r="G117" t="s">
        <v>1256</v>
      </c>
      <c r="H117" s="1">
        <v>45660</v>
      </c>
      <c r="I117" s="1">
        <v>46014</v>
      </c>
      <c r="J117" t="s">
        <v>22</v>
      </c>
      <c r="K117" t="s">
        <v>23</v>
      </c>
      <c r="L117">
        <v>257496.48</v>
      </c>
      <c r="M117" t="s">
        <v>1219</v>
      </c>
      <c r="N117" t="s">
        <v>35</v>
      </c>
      <c r="O117" t="s">
        <v>45</v>
      </c>
    </row>
    <row r="118" spans="1:15" ht="13.8" x14ac:dyDescent="0.25">
      <c r="A118" t="s">
        <v>554</v>
      </c>
      <c r="B118" t="s">
        <v>65</v>
      </c>
      <c r="C118">
        <v>43</v>
      </c>
      <c r="D118" t="s">
        <v>58</v>
      </c>
      <c r="E118" t="s">
        <v>49</v>
      </c>
      <c r="F118" t="s">
        <v>40</v>
      </c>
      <c r="G118" t="s">
        <v>1246</v>
      </c>
      <c r="H118" s="1">
        <v>46018</v>
      </c>
      <c r="I118" s="1">
        <v>46022</v>
      </c>
      <c r="J118" t="s">
        <v>238</v>
      </c>
      <c r="K118" t="s">
        <v>67</v>
      </c>
      <c r="L118">
        <v>328694.76</v>
      </c>
      <c r="M118" t="s">
        <v>24</v>
      </c>
      <c r="N118" t="s">
        <v>69</v>
      </c>
      <c r="O118" t="s">
        <v>1227</v>
      </c>
    </row>
    <row r="119" spans="1:15" ht="13.8" x14ac:dyDescent="0.25">
      <c r="A119" t="s">
        <v>558</v>
      </c>
      <c r="B119" t="s">
        <v>1215</v>
      </c>
      <c r="C119">
        <v>18</v>
      </c>
      <c r="D119" t="s">
        <v>17</v>
      </c>
      <c r="E119" t="s">
        <v>102</v>
      </c>
      <c r="F119" t="s">
        <v>60</v>
      </c>
      <c r="G119" t="s">
        <v>1223</v>
      </c>
      <c r="H119" s="1">
        <v>45744</v>
      </c>
      <c r="I119" s="1">
        <v>45748</v>
      </c>
      <c r="J119" t="s">
        <v>1215</v>
      </c>
      <c r="K119" t="s">
        <v>264</v>
      </c>
      <c r="L119">
        <v>219135.3</v>
      </c>
      <c r="M119" t="s">
        <v>24</v>
      </c>
      <c r="N119" t="s">
        <v>69</v>
      </c>
      <c r="O119" t="s">
        <v>26</v>
      </c>
    </row>
    <row r="120" spans="1:15" ht="13.8" x14ac:dyDescent="0.25">
      <c r="A120" t="s">
        <v>559</v>
      </c>
      <c r="B120" t="s">
        <v>560</v>
      </c>
      <c r="C120">
        <v>85</v>
      </c>
      <c r="D120" t="s">
        <v>58</v>
      </c>
      <c r="E120" t="s">
        <v>137</v>
      </c>
      <c r="F120" t="s">
        <v>30</v>
      </c>
      <c r="G120" t="s">
        <v>1251</v>
      </c>
      <c r="H120" s="1">
        <v>45750</v>
      </c>
      <c r="I120" s="1">
        <v>45736</v>
      </c>
      <c r="J120" t="s">
        <v>122</v>
      </c>
      <c r="K120" t="s">
        <v>123</v>
      </c>
      <c r="L120">
        <v>129775.24</v>
      </c>
      <c r="M120" t="s">
        <v>54</v>
      </c>
      <c r="N120" t="s">
        <v>35</v>
      </c>
      <c r="O120" t="s">
        <v>36</v>
      </c>
    </row>
    <row r="121" spans="1:15" ht="13.8" x14ac:dyDescent="0.25">
      <c r="A121" t="s">
        <v>561</v>
      </c>
      <c r="B121" t="s">
        <v>428</v>
      </c>
      <c r="C121">
        <v>83</v>
      </c>
      <c r="D121" t="s">
        <v>17</v>
      </c>
      <c r="E121" t="s">
        <v>78</v>
      </c>
      <c r="F121" t="s">
        <v>50</v>
      </c>
      <c r="G121" t="s">
        <v>1243</v>
      </c>
      <c r="H121" s="1">
        <v>45778</v>
      </c>
      <c r="I121" s="1">
        <v>45783</v>
      </c>
      <c r="J121" t="s">
        <v>1222</v>
      </c>
      <c r="K121" t="s">
        <v>53</v>
      </c>
      <c r="L121">
        <v>41341.620000000003</v>
      </c>
      <c r="M121" t="s">
        <v>1247</v>
      </c>
      <c r="N121" t="s">
        <v>35</v>
      </c>
      <c r="O121" t="s">
        <v>36</v>
      </c>
    </row>
    <row r="122" spans="1:15" ht="13.8" x14ac:dyDescent="0.25">
      <c r="A122" t="s">
        <v>562</v>
      </c>
      <c r="B122" t="s">
        <v>563</v>
      </c>
      <c r="C122">
        <v>81</v>
      </c>
      <c r="D122" t="s">
        <v>58</v>
      </c>
      <c r="E122" t="s">
        <v>137</v>
      </c>
      <c r="F122" t="s">
        <v>19</v>
      </c>
      <c r="G122" t="s">
        <v>1230</v>
      </c>
      <c r="H122" s="1">
        <v>45662</v>
      </c>
      <c r="I122" s="1">
        <v>45665</v>
      </c>
      <c r="J122" t="s">
        <v>22</v>
      </c>
      <c r="K122" t="s">
        <v>23</v>
      </c>
      <c r="L122">
        <v>146620.88</v>
      </c>
      <c r="M122" t="s">
        <v>34</v>
      </c>
      <c r="N122" t="s">
        <v>35</v>
      </c>
      <c r="O122" t="s">
        <v>1227</v>
      </c>
    </row>
    <row r="123" spans="1:15" ht="13.8" x14ac:dyDescent="0.25">
      <c r="A123" t="s">
        <v>1258</v>
      </c>
      <c r="B123" t="s">
        <v>566</v>
      </c>
      <c r="C123">
        <v>18</v>
      </c>
      <c r="D123" t="s">
        <v>17</v>
      </c>
      <c r="E123" t="s">
        <v>39</v>
      </c>
      <c r="F123" t="s">
        <v>60</v>
      </c>
      <c r="G123" t="s">
        <v>1223</v>
      </c>
      <c r="H123" s="1">
        <v>45854</v>
      </c>
      <c r="I123" s="1">
        <v>45864</v>
      </c>
      <c r="J123" t="s">
        <v>62</v>
      </c>
      <c r="K123" t="s">
        <v>1224</v>
      </c>
      <c r="L123">
        <v>47162.34</v>
      </c>
      <c r="M123" t="s">
        <v>54</v>
      </c>
      <c r="N123" t="s">
        <v>74</v>
      </c>
      <c r="O123" t="s">
        <v>36</v>
      </c>
    </row>
    <row r="124" spans="1:15" ht="13.8" x14ac:dyDescent="0.25">
      <c r="A124" t="s">
        <v>570</v>
      </c>
      <c r="B124" t="s">
        <v>306</v>
      </c>
      <c r="C124">
        <v>18</v>
      </c>
      <c r="D124" t="s">
        <v>17</v>
      </c>
      <c r="E124" t="s">
        <v>59</v>
      </c>
      <c r="F124" t="s">
        <v>50</v>
      </c>
      <c r="G124" t="s">
        <v>1221</v>
      </c>
      <c r="H124" s="1">
        <v>45839</v>
      </c>
      <c r="I124" s="1">
        <v>45847</v>
      </c>
      <c r="J124" t="s">
        <v>191</v>
      </c>
      <c r="K124" t="s">
        <v>1244</v>
      </c>
      <c r="L124">
        <v>61086.32</v>
      </c>
      <c r="M124" t="s">
        <v>1219</v>
      </c>
      <c r="N124" t="s">
        <v>25</v>
      </c>
      <c r="O124" t="s">
        <v>26</v>
      </c>
    </row>
    <row r="125" spans="1:15" ht="13.8" x14ac:dyDescent="0.25">
      <c r="A125" t="s">
        <v>571</v>
      </c>
      <c r="B125" t="s">
        <v>1215</v>
      </c>
      <c r="C125">
        <v>39</v>
      </c>
      <c r="D125" t="s">
        <v>17</v>
      </c>
      <c r="E125" t="s">
        <v>102</v>
      </c>
      <c r="F125" t="s">
        <v>165</v>
      </c>
      <c r="G125" t="s">
        <v>1252</v>
      </c>
      <c r="H125" s="1">
        <v>45668</v>
      </c>
      <c r="I125" s="1">
        <v>45992</v>
      </c>
      <c r="J125" t="s">
        <v>168</v>
      </c>
      <c r="K125" t="s">
        <v>169</v>
      </c>
      <c r="L125">
        <v>296960.7</v>
      </c>
      <c r="M125" t="s">
        <v>1247</v>
      </c>
      <c r="N125" t="s">
        <v>69</v>
      </c>
      <c r="O125" t="s">
        <v>26</v>
      </c>
    </row>
    <row r="126" spans="1:15" ht="13.8" x14ac:dyDescent="0.25">
      <c r="A126" t="s">
        <v>1259</v>
      </c>
      <c r="B126" t="s">
        <v>573</v>
      </c>
      <c r="C126">
        <v>71</v>
      </c>
      <c r="D126" t="s">
        <v>17</v>
      </c>
      <c r="E126" t="s">
        <v>39</v>
      </c>
      <c r="F126" t="s">
        <v>165</v>
      </c>
      <c r="G126" t="s">
        <v>1252</v>
      </c>
      <c r="H126" s="1">
        <v>45757</v>
      </c>
      <c r="I126" s="1">
        <v>46014</v>
      </c>
      <c r="J126" t="s">
        <v>168</v>
      </c>
      <c r="K126" t="s">
        <v>169</v>
      </c>
      <c r="L126">
        <v>145643.35999999999</v>
      </c>
      <c r="M126" t="s">
        <v>34</v>
      </c>
      <c r="N126" t="s">
        <v>55</v>
      </c>
      <c r="O126" t="s">
        <v>45</v>
      </c>
    </row>
    <row r="127" spans="1:15" ht="13.8" x14ac:dyDescent="0.25">
      <c r="A127" t="s">
        <v>574</v>
      </c>
      <c r="B127" t="s">
        <v>285</v>
      </c>
      <c r="C127">
        <v>7</v>
      </c>
      <c r="D127" t="s">
        <v>17</v>
      </c>
      <c r="E127" t="s">
        <v>18</v>
      </c>
      <c r="F127" t="s">
        <v>30</v>
      </c>
      <c r="G127" t="s">
        <v>1216</v>
      </c>
      <c r="H127" s="1">
        <v>45721</v>
      </c>
      <c r="I127" s="1">
        <v>45723</v>
      </c>
      <c r="J127" t="s">
        <v>88</v>
      </c>
      <c r="K127" t="s">
        <v>89</v>
      </c>
      <c r="L127">
        <v>122826.86</v>
      </c>
      <c r="M127" t="s">
        <v>162</v>
      </c>
      <c r="N127" t="s">
        <v>25</v>
      </c>
      <c r="O127" t="s">
        <v>1227</v>
      </c>
    </row>
    <row r="128" spans="1:15" ht="13.8" x14ac:dyDescent="0.25">
      <c r="A128" t="s">
        <v>578</v>
      </c>
      <c r="B128" t="s">
        <v>579</v>
      </c>
      <c r="C128">
        <v>44</v>
      </c>
      <c r="D128" t="s">
        <v>17</v>
      </c>
      <c r="E128" t="s">
        <v>155</v>
      </c>
      <c r="F128" t="s">
        <v>40</v>
      </c>
      <c r="G128" t="s">
        <v>1217</v>
      </c>
      <c r="H128" s="1">
        <v>45722</v>
      </c>
      <c r="I128" s="1">
        <v>45819</v>
      </c>
      <c r="J128" t="s">
        <v>93</v>
      </c>
      <c r="K128" t="s">
        <v>94</v>
      </c>
      <c r="L128">
        <v>263979.82</v>
      </c>
      <c r="M128" t="s">
        <v>54</v>
      </c>
      <c r="N128" t="s">
        <v>35</v>
      </c>
      <c r="O128" t="s">
        <v>112</v>
      </c>
    </row>
    <row r="129" spans="1:15" ht="13.8" x14ac:dyDescent="0.25">
      <c r="A129" t="s">
        <v>584</v>
      </c>
      <c r="B129" t="s">
        <v>154</v>
      </c>
      <c r="C129">
        <v>81</v>
      </c>
      <c r="D129" t="s">
        <v>17</v>
      </c>
      <c r="E129" t="s">
        <v>72</v>
      </c>
      <c r="F129" t="s">
        <v>60</v>
      </c>
      <c r="G129" t="s">
        <v>1255</v>
      </c>
      <c r="H129" s="1">
        <v>45771</v>
      </c>
      <c r="I129" s="1">
        <v>46014</v>
      </c>
      <c r="J129" t="s">
        <v>132</v>
      </c>
      <c r="K129" t="s">
        <v>1238</v>
      </c>
      <c r="L129">
        <v>240033.83</v>
      </c>
      <c r="M129" t="s">
        <v>54</v>
      </c>
      <c r="N129" t="s">
        <v>25</v>
      </c>
      <c r="O129" t="s">
        <v>45</v>
      </c>
    </row>
    <row r="130" spans="1:15" ht="13.8" x14ac:dyDescent="0.25">
      <c r="A130" t="s">
        <v>585</v>
      </c>
      <c r="B130" t="s">
        <v>586</v>
      </c>
      <c r="C130">
        <v>39</v>
      </c>
      <c r="D130" t="s">
        <v>17</v>
      </c>
      <c r="E130" t="s">
        <v>39</v>
      </c>
      <c r="F130" t="s">
        <v>165</v>
      </c>
      <c r="G130" t="s">
        <v>1239</v>
      </c>
      <c r="H130" s="1">
        <v>45757</v>
      </c>
      <c r="I130" s="1">
        <v>45856</v>
      </c>
      <c r="J130" t="s">
        <v>222</v>
      </c>
      <c r="K130" t="s">
        <v>223</v>
      </c>
      <c r="L130">
        <v>72671.100000000006</v>
      </c>
      <c r="M130" t="s">
        <v>1225</v>
      </c>
      <c r="N130" t="s">
        <v>69</v>
      </c>
      <c r="O130" t="s">
        <v>112</v>
      </c>
    </row>
    <row r="131" spans="1:15" ht="13.8" x14ac:dyDescent="0.25">
      <c r="A131" t="s">
        <v>587</v>
      </c>
      <c r="B131" t="s">
        <v>324</v>
      </c>
      <c r="C131">
        <v>76</v>
      </c>
      <c r="D131" t="s">
        <v>58</v>
      </c>
      <c r="E131" t="s">
        <v>137</v>
      </c>
      <c r="F131" t="s">
        <v>165</v>
      </c>
      <c r="G131" t="s">
        <v>1239</v>
      </c>
      <c r="H131" s="1">
        <v>45757</v>
      </c>
      <c r="I131" s="1">
        <v>46014</v>
      </c>
      <c r="J131" t="s">
        <v>183</v>
      </c>
      <c r="K131" t="s">
        <v>184</v>
      </c>
      <c r="L131">
        <v>337302.75</v>
      </c>
      <c r="M131" t="s">
        <v>34</v>
      </c>
      <c r="N131" t="s">
        <v>55</v>
      </c>
      <c r="O131" t="s">
        <v>45</v>
      </c>
    </row>
    <row r="132" spans="1:15" ht="13.8" x14ac:dyDescent="0.25">
      <c r="A132" t="s">
        <v>589</v>
      </c>
      <c r="B132" t="s">
        <v>590</v>
      </c>
      <c r="C132">
        <v>88</v>
      </c>
      <c r="D132" t="s">
        <v>58</v>
      </c>
      <c r="E132" t="s">
        <v>59</v>
      </c>
      <c r="F132" t="s">
        <v>103</v>
      </c>
      <c r="G132" t="s">
        <v>1229</v>
      </c>
      <c r="H132" s="1">
        <v>45925</v>
      </c>
      <c r="I132" s="1">
        <v>45818</v>
      </c>
      <c r="J132" t="s">
        <v>294</v>
      </c>
      <c r="K132" t="s">
        <v>1260</v>
      </c>
      <c r="L132">
        <v>335905.47</v>
      </c>
      <c r="M132" t="s">
        <v>1215</v>
      </c>
      <c r="N132" t="s">
        <v>35</v>
      </c>
      <c r="O132" t="s">
        <v>112</v>
      </c>
    </row>
    <row r="133" spans="1:15" ht="13.8" x14ac:dyDescent="0.25">
      <c r="A133" t="s">
        <v>1261</v>
      </c>
      <c r="B133" t="s">
        <v>528</v>
      </c>
      <c r="C133">
        <v>12</v>
      </c>
      <c r="D133" t="s">
        <v>17</v>
      </c>
      <c r="E133" t="s">
        <v>49</v>
      </c>
      <c r="F133" t="s">
        <v>40</v>
      </c>
      <c r="G133" t="s">
        <v>1217</v>
      </c>
      <c r="H133" s="1">
        <v>45832</v>
      </c>
      <c r="I133" s="1">
        <v>46014</v>
      </c>
      <c r="J133" t="s">
        <v>1218</v>
      </c>
      <c r="K133" t="s">
        <v>43</v>
      </c>
      <c r="L133" s="4">
        <v>340229.7</v>
      </c>
      <c r="M133" t="s">
        <v>1225</v>
      </c>
      <c r="N133" t="s">
        <v>25</v>
      </c>
      <c r="O133" t="s">
        <v>45</v>
      </c>
    </row>
    <row r="134" spans="1:15" ht="13.8" x14ac:dyDescent="0.25">
      <c r="A134" t="s">
        <v>594</v>
      </c>
      <c r="B134" t="s">
        <v>595</v>
      </c>
      <c r="C134">
        <v>41</v>
      </c>
      <c r="D134" t="s">
        <v>17</v>
      </c>
      <c r="E134" t="s">
        <v>72</v>
      </c>
      <c r="F134" t="s">
        <v>165</v>
      </c>
      <c r="G134" t="s">
        <v>1252</v>
      </c>
      <c r="H134" s="1">
        <v>45757</v>
      </c>
      <c r="I134" s="1">
        <v>45977</v>
      </c>
      <c r="J134" t="s">
        <v>173</v>
      </c>
      <c r="K134" t="s">
        <v>174</v>
      </c>
      <c r="L134">
        <v>40000</v>
      </c>
      <c r="M134" t="s">
        <v>162</v>
      </c>
      <c r="N134" t="s">
        <v>69</v>
      </c>
      <c r="O134" t="s">
        <v>112</v>
      </c>
    </row>
    <row r="135" spans="1:15" ht="13.8" x14ac:dyDescent="0.25">
      <c r="A135" t="s">
        <v>597</v>
      </c>
      <c r="B135" t="s">
        <v>598</v>
      </c>
      <c r="C135">
        <v>85</v>
      </c>
      <c r="D135" t="s">
        <v>58</v>
      </c>
      <c r="E135" t="s">
        <v>49</v>
      </c>
      <c r="F135" t="s">
        <v>19</v>
      </c>
      <c r="G135" t="s">
        <v>1230</v>
      </c>
      <c r="H135" s="1">
        <v>45921</v>
      </c>
      <c r="I135" s="1">
        <v>45936</v>
      </c>
      <c r="J135" t="s">
        <v>233</v>
      </c>
      <c r="K135" t="s">
        <v>234</v>
      </c>
      <c r="L135">
        <v>337085.85</v>
      </c>
      <c r="M135" t="s">
        <v>1219</v>
      </c>
      <c r="N135" t="s">
        <v>69</v>
      </c>
      <c r="O135" t="s">
        <v>36</v>
      </c>
    </row>
    <row r="136" spans="1:15" ht="13.8" x14ac:dyDescent="0.25">
      <c r="A136" t="s">
        <v>609</v>
      </c>
      <c r="B136" t="s">
        <v>610</v>
      </c>
      <c r="C136">
        <v>42</v>
      </c>
      <c r="D136" t="s">
        <v>58</v>
      </c>
      <c r="E136" t="s">
        <v>137</v>
      </c>
      <c r="F136" t="s">
        <v>50</v>
      </c>
      <c r="G136" t="s">
        <v>1221</v>
      </c>
      <c r="H136" s="1">
        <v>45757</v>
      </c>
      <c r="I136" s="1">
        <v>45703</v>
      </c>
      <c r="J136" t="s">
        <v>332</v>
      </c>
      <c r="K136" t="s">
        <v>383</v>
      </c>
      <c r="L136">
        <v>310615.59999999998</v>
      </c>
      <c r="M136" t="s">
        <v>84</v>
      </c>
      <c r="N136" t="s">
        <v>55</v>
      </c>
      <c r="O136" t="s">
        <v>36</v>
      </c>
    </row>
    <row r="137" spans="1:15" ht="13.8" x14ac:dyDescent="0.25">
      <c r="A137" t="s">
        <v>611</v>
      </c>
      <c r="B137" t="s">
        <v>612</v>
      </c>
      <c r="C137">
        <v>22</v>
      </c>
      <c r="D137" t="s">
        <v>17</v>
      </c>
      <c r="E137" t="s">
        <v>155</v>
      </c>
      <c r="F137" t="s">
        <v>40</v>
      </c>
      <c r="G137" t="s">
        <v>1228</v>
      </c>
      <c r="H137" s="1">
        <v>45938</v>
      </c>
      <c r="I137" s="1">
        <v>45952</v>
      </c>
      <c r="J137" t="s">
        <v>238</v>
      </c>
      <c r="K137" t="s">
        <v>67</v>
      </c>
      <c r="L137">
        <v>348616.66</v>
      </c>
      <c r="M137" t="s">
        <v>24</v>
      </c>
      <c r="N137" t="s">
        <v>55</v>
      </c>
      <c r="O137" t="s">
        <v>36</v>
      </c>
    </row>
    <row r="138" spans="1:15" ht="13.8" x14ac:dyDescent="0.25">
      <c r="A138" t="s">
        <v>618</v>
      </c>
      <c r="B138" t="s">
        <v>619</v>
      </c>
      <c r="C138">
        <v>2</v>
      </c>
      <c r="D138" t="s">
        <v>17</v>
      </c>
      <c r="E138" t="s">
        <v>155</v>
      </c>
      <c r="F138" t="s">
        <v>165</v>
      </c>
      <c r="G138" t="s">
        <v>1239</v>
      </c>
      <c r="H138" s="1">
        <v>46000</v>
      </c>
      <c r="I138" s="1">
        <v>46015</v>
      </c>
      <c r="J138" t="s">
        <v>222</v>
      </c>
      <c r="K138" t="s">
        <v>223</v>
      </c>
      <c r="L138">
        <v>107724.71</v>
      </c>
      <c r="M138" t="s">
        <v>118</v>
      </c>
      <c r="N138" t="s">
        <v>55</v>
      </c>
      <c r="O138" t="s">
        <v>112</v>
      </c>
    </row>
    <row r="139" spans="1:15" ht="13.8" x14ac:dyDescent="0.25">
      <c r="A139" t="s">
        <v>621</v>
      </c>
      <c r="B139" t="s">
        <v>622</v>
      </c>
      <c r="C139">
        <v>50</v>
      </c>
      <c r="D139" t="s">
        <v>17</v>
      </c>
      <c r="E139" t="s">
        <v>18</v>
      </c>
      <c r="F139" t="s">
        <v>50</v>
      </c>
      <c r="G139" t="s">
        <v>1243</v>
      </c>
      <c r="H139" s="1">
        <v>45993</v>
      </c>
      <c r="I139" s="1">
        <v>45701</v>
      </c>
      <c r="J139" t="s">
        <v>315</v>
      </c>
      <c r="K139" t="s">
        <v>204</v>
      </c>
      <c r="L139" s="4">
        <v>272521.56</v>
      </c>
      <c r="M139" t="s">
        <v>54</v>
      </c>
      <c r="N139" t="s">
        <v>25</v>
      </c>
      <c r="O139" t="s">
        <v>112</v>
      </c>
    </row>
    <row r="140" spans="1:15" ht="13.8" x14ac:dyDescent="0.25">
      <c r="A140" t="s">
        <v>624</v>
      </c>
      <c r="B140" t="s">
        <v>625</v>
      </c>
      <c r="C140">
        <v>62</v>
      </c>
      <c r="D140" t="s">
        <v>17</v>
      </c>
      <c r="E140" t="s">
        <v>59</v>
      </c>
      <c r="F140" t="s">
        <v>1215</v>
      </c>
      <c r="G140" t="s">
        <v>1228</v>
      </c>
      <c r="H140" s="1">
        <v>45659</v>
      </c>
      <c r="I140" s="1">
        <v>45670</v>
      </c>
      <c r="J140" t="s">
        <v>93</v>
      </c>
      <c r="K140" t="s">
        <v>1215</v>
      </c>
      <c r="L140">
        <v>88182.91</v>
      </c>
      <c r="M140" t="s">
        <v>84</v>
      </c>
      <c r="N140" t="s">
        <v>69</v>
      </c>
      <c r="O140" t="s">
        <v>36</v>
      </c>
    </row>
    <row r="141" spans="1:15" ht="13.8" x14ac:dyDescent="0.25">
      <c r="A141" t="s">
        <v>634</v>
      </c>
      <c r="B141" t="s">
        <v>635</v>
      </c>
      <c r="C141">
        <v>27</v>
      </c>
      <c r="D141" t="s">
        <v>17</v>
      </c>
      <c r="E141" t="s">
        <v>78</v>
      </c>
      <c r="F141" t="s">
        <v>19</v>
      </c>
      <c r="G141" t="s">
        <v>1256</v>
      </c>
      <c r="H141" s="1">
        <v>45860</v>
      </c>
      <c r="I141" s="1">
        <v>45867</v>
      </c>
      <c r="J141" t="s">
        <v>22</v>
      </c>
      <c r="K141" t="s">
        <v>23</v>
      </c>
      <c r="L141">
        <v>88203.79</v>
      </c>
      <c r="M141" t="s">
        <v>1247</v>
      </c>
      <c r="N141" t="s">
        <v>35</v>
      </c>
      <c r="O141" t="s">
        <v>26</v>
      </c>
    </row>
    <row r="142" spans="1:15" ht="13.8" x14ac:dyDescent="0.25">
      <c r="A142" t="s">
        <v>636</v>
      </c>
      <c r="B142" t="s">
        <v>186</v>
      </c>
      <c r="C142">
        <v>71</v>
      </c>
      <c r="D142" t="s">
        <v>58</v>
      </c>
      <c r="E142" t="s">
        <v>78</v>
      </c>
      <c r="F142" t="s">
        <v>1215</v>
      </c>
      <c r="G142" t="s">
        <v>1221</v>
      </c>
      <c r="H142" s="1">
        <v>45839</v>
      </c>
      <c r="I142" s="1">
        <v>45857</v>
      </c>
      <c r="J142" t="s">
        <v>332</v>
      </c>
      <c r="K142" t="s">
        <v>383</v>
      </c>
      <c r="L142" s="4">
        <v>330817.42</v>
      </c>
      <c r="M142" t="s">
        <v>1215</v>
      </c>
      <c r="N142" t="s">
        <v>25</v>
      </c>
      <c r="O142" t="s">
        <v>26</v>
      </c>
    </row>
    <row r="143" spans="1:15" ht="13.8" x14ac:dyDescent="0.25">
      <c r="A143" t="s">
        <v>638</v>
      </c>
      <c r="B143" t="s">
        <v>639</v>
      </c>
      <c r="C143">
        <v>72</v>
      </c>
      <c r="D143" t="s">
        <v>58</v>
      </c>
      <c r="E143" t="s">
        <v>72</v>
      </c>
      <c r="F143" t="s">
        <v>165</v>
      </c>
      <c r="G143" t="s">
        <v>1239</v>
      </c>
      <c r="H143" s="1">
        <v>45975</v>
      </c>
      <c r="I143" s="1">
        <v>45986</v>
      </c>
      <c r="J143" t="s">
        <v>222</v>
      </c>
      <c r="K143" t="s">
        <v>223</v>
      </c>
      <c r="L143">
        <v>40000</v>
      </c>
      <c r="M143" t="s">
        <v>1215</v>
      </c>
      <c r="N143" t="s">
        <v>55</v>
      </c>
      <c r="O143" t="s">
        <v>1227</v>
      </c>
    </row>
    <row r="144" spans="1:15" ht="13.8" x14ac:dyDescent="0.25">
      <c r="A144" t="s">
        <v>645</v>
      </c>
      <c r="B144" t="s">
        <v>646</v>
      </c>
      <c r="C144">
        <v>18</v>
      </c>
      <c r="D144" t="s">
        <v>17</v>
      </c>
      <c r="E144" t="s">
        <v>39</v>
      </c>
      <c r="F144" t="s">
        <v>40</v>
      </c>
      <c r="G144" t="s">
        <v>1228</v>
      </c>
      <c r="H144" s="1">
        <v>45777</v>
      </c>
      <c r="I144" s="1">
        <v>46014</v>
      </c>
      <c r="J144" t="s">
        <v>238</v>
      </c>
      <c r="K144" t="s">
        <v>67</v>
      </c>
      <c r="L144">
        <v>94965.17</v>
      </c>
      <c r="M144" t="s">
        <v>34</v>
      </c>
      <c r="N144" t="s">
        <v>55</v>
      </c>
      <c r="O144" t="s">
        <v>45</v>
      </c>
    </row>
    <row r="145" spans="1:15" ht="13.8" x14ac:dyDescent="0.25">
      <c r="A145" t="s">
        <v>647</v>
      </c>
      <c r="B145" t="s">
        <v>586</v>
      </c>
      <c r="C145">
        <v>18</v>
      </c>
      <c r="D145" t="s">
        <v>17</v>
      </c>
      <c r="E145" t="s">
        <v>59</v>
      </c>
      <c r="F145" t="s">
        <v>30</v>
      </c>
      <c r="G145" t="s">
        <v>1251</v>
      </c>
      <c r="H145" s="1">
        <v>45901</v>
      </c>
      <c r="I145" s="1">
        <v>45918</v>
      </c>
      <c r="J145" t="s">
        <v>32</v>
      </c>
      <c r="K145" t="s">
        <v>33</v>
      </c>
      <c r="L145">
        <v>266670.65000000002</v>
      </c>
      <c r="M145" t="s">
        <v>34</v>
      </c>
      <c r="N145" t="s">
        <v>69</v>
      </c>
      <c r="O145" t="s">
        <v>1227</v>
      </c>
    </row>
    <row r="146" spans="1:15" ht="13.8" x14ac:dyDescent="0.25">
      <c r="A146" t="s">
        <v>648</v>
      </c>
      <c r="B146" t="s">
        <v>649</v>
      </c>
      <c r="C146">
        <v>27</v>
      </c>
      <c r="D146" t="s">
        <v>17</v>
      </c>
      <c r="E146" t="s">
        <v>39</v>
      </c>
      <c r="F146" t="s">
        <v>40</v>
      </c>
      <c r="G146" t="s">
        <v>1226</v>
      </c>
      <c r="H146" s="1">
        <v>45826</v>
      </c>
      <c r="I146" s="1">
        <v>46014</v>
      </c>
      <c r="J146" t="s">
        <v>116</v>
      </c>
      <c r="K146" t="s">
        <v>1231</v>
      </c>
      <c r="L146">
        <v>52142.03</v>
      </c>
      <c r="M146" t="s">
        <v>24</v>
      </c>
      <c r="N146" t="s">
        <v>74</v>
      </c>
      <c r="O146" t="s">
        <v>45</v>
      </c>
    </row>
    <row r="147" spans="1:15" ht="13.8" x14ac:dyDescent="0.25">
      <c r="A147" t="s">
        <v>651</v>
      </c>
      <c r="B147" t="s">
        <v>652</v>
      </c>
      <c r="C147">
        <v>52</v>
      </c>
      <c r="D147" t="s">
        <v>58</v>
      </c>
      <c r="E147" t="s">
        <v>137</v>
      </c>
      <c r="F147" t="s">
        <v>103</v>
      </c>
      <c r="G147" t="s">
        <v>1245</v>
      </c>
      <c r="H147" s="1">
        <v>45931</v>
      </c>
      <c r="I147" s="1">
        <v>46014</v>
      </c>
      <c r="J147" t="s">
        <v>294</v>
      </c>
      <c r="K147" t="s">
        <v>1260</v>
      </c>
      <c r="L147">
        <v>101756.58</v>
      </c>
      <c r="M147" t="s">
        <v>34</v>
      </c>
      <c r="N147" t="s">
        <v>69</v>
      </c>
      <c r="O147" t="s">
        <v>45</v>
      </c>
    </row>
    <row r="148" spans="1:15" ht="13.8" x14ac:dyDescent="0.25">
      <c r="A148" t="s">
        <v>655</v>
      </c>
      <c r="B148" t="s">
        <v>656</v>
      </c>
      <c r="C148">
        <v>160</v>
      </c>
      <c r="D148" t="s">
        <v>58</v>
      </c>
      <c r="E148" t="s">
        <v>97</v>
      </c>
      <c r="F148" t="s">
        <v>30</v>
      </c>
      <c r="G148" t="s">
        <v>1251</v>
      </c>
      <c r="H148" s="1">
        <v>46000</v>
      </c>
      <c r="I148" s="1">
        <v>46017</v>
      </c>
      <c r="J148" t="s">
        <v>246</v>
      </c>
      <c r="K148" t="s">
        <v>1248</v>
      </c>
      <c r="L148">
        <v>41236.160000000003</v>
      </c>
      <c r="M148" t="s">
        <v>162</v>
      </c>
      <c r="N148" t="s">
        <v>25</v>
      </c>
      <c r="O148" t="s">
        <v>1262</v>
      </c>
    </row>
    <row r="149" spans="1:15" ht="13.8" x14ac:dyDescent="0.25">
      <c r="A149" t="s">
        <v>657</v>
      </c>
      <c r="B149" t="s">
        <v>136</v>
      </c>
      <c r="C149">
        <v>47</v>
      </c>
      <c r="D149" t="s">
        <v>58</v>
      </c>
      <c r="E149" t="s">
        <v>102</v>
      </c>
      <c r="F149" t="s">
        <v>60</v>
      </c>
      <c r="G149" t="s">
        <v>1223</v>
      </c>
      <c r="H149" s="1">
        <v>45927</v>
      </c>
      <c r="I149" s="1">
        <v>45940</v>
      </c>
      <c r="J149" t="s">
        <v>62</v>
      </c>
      <c r="K149" t="s">
        <v>1224</v>
      </c>
      <c r="L149">
        <v>224317.54</v>
      </c>
      <c r="M149" t="s">
        <v>34</v>
      </c>
      <c r="N149" t="s">
        <v>55</v>
      </c>
      <c r="O149" t="s">
        <v>26</v>
      </c>
    </row>
    <row r="150" spans="1:15" ht="13.8" x14ac:dyDescent="0.25">
      <c r="A150" t="s">
        <v>659</v>
      </c>
      <c r="B150" t="s">
        <v>660</v>
      </c>
      <c r="C150">
        <v>81</v>
      </c>
      <c r="D150" t="s">
        <v>58</v>
      </c>
      <c r="E150" t="s">
        <v>39</v>
      </c>
      <c r="F150" t="s">
        <v>50</v>
      </c>
      <c r="G150" t="s">
        <v>1243</v>
      </c>
      <c r="H150" s="1">
        <v>45861</v>
      </c>
      <c r="I150" s="1">
        <v>45873</v>
      </c>
      <c r="J150" t="s">
        <v>1222</v>
      </c>
      <c r="K150" t="s">
        <v>53</v>
      </c>
      <c r="L150">
        <v>141814.6</v>
      </c>
      <c r="M150" t="s">
        <v>54</v>
      </c>
      <c r="N150" t="s">
        <v>1237</v>
      </c>
      <c r="O150" t="s">
        <v>36</v>
      </c>
    </row>
    <row r="151" spans="1:15" ht="13.8" x14ac:dyDescent="0.25">
      <c r="A151" t="s">
        <v>1215</v>
      </c>
      <c r="B151" t="s">
        <v>436</v>
      </c>
      <c r="C151">
        <v>87</v>
      </c>
      <c r="D151" t="s">
        <v>58</v>
      </c>
      <c r="E151" t="s">
        <v>78</v>
      </c>
      <c r="F151" t="s">
        <v>103</v>
      </c>
      <c r="G151" t="s">
        <v>1245</v>
      </c>
      <c r="H151" s="1">
        <v>45675</v>
      </c>
      <c r="I151" s="1">
        <v>45682</v>
      </c>
      <c r="J151" t="s">
        <v>294</v>
      </c>
      <c r="K151" t="s">
        <v>1260</v>
      </c>
      <c r="L151">
        <v>258112.74</v>
      </c>
      <c r="M151" t="s">
        <v>1247</v>
      </c>
      <c r="N151" t="s">
        <v>69</v>
      </c>
      <c r="O151" t="s">
        <v>36</v>
      </c>
    </row>
    <row r="152" spans="1:15" ht="13.8" x14ac:dyDescent="0.25">
      <c r="A152" t="s">
        <v>662</v>
      </c>
      <c r="B152" t="s">
        <v>57</v>
      </c>
      <c r="C152">
        <v>16</v>
      </c>
      <c r="D152" t="s">
        <v>58</v>
      </c>
      <c r="E152" t="s">
        <v>39</v>
      </c>
      <c r="F152" t="s">
        <v>165</v>
      </c>
      <c r="G152" t="s">
        <v>1242</v>
      </c>
      <c r="H152" s="1">
        <v>45962</v>
      </c>
      <c r="I152" s="1">
        <v>46014</v>
      </c>
      <c r="J152" t="s">
        <v>168</v>
      </c>
      <c r="K152" t="s">
        <v>169</v>
      </c>
      <c r="L152">
        <v>255614.72</v>
      </c>
      <c r="M152" t="s">
        <v>54</v>
      </c>
      <c r="N152" t="s">
        <v>1237</v>
      </c>
      <c r="O152" t="s">
        <v>45</v>
      </c>
    </row>
    <row r="153" spans="1:15" ht="13.8" x14ac:dyDescent="0.25">
      <c r="A153" t="s">
        <v>663</v>
      </c>
      <c r="B153" t="s">
        <v>664</v>
      </c>
      <c r="C153">
        <v>40</v>
      </c>
      <c r="D153" t="s">
        <v>115</v>
      </c>
      <c r="E153" t="s">
        <v>137</v>
      </c>
      <c r="F153" t="s">
        <v>60</v>
      </c>
      <c r="G153" t="s">
        <v>1240</v>
      </c>
      <c r="H153" s="1">
        <v>45940</v>
      </c>
      <c r="I153" s="1">
        <v>46014</v>
      </c>
      <c r="J153" t="s">
        <v>263</v>
      </c>
      <c r="K153" t="s">
        <v>264</v>
      </c>
      <c r="L153">
        <v>317722.57</v>
      </c>
      <c r="M153" t="s">
        <v>54</v>
      </c>
      <c r="N153" t="s">
        <v>55</v>
      </c>
      <c r="O153" t="s">
        <v>45</v>
      </c>
    </row>
    <row r="154" spans="1:15" ht="13.8" x14ac:dyDescent="0.25">
      <c r="A154" t="s">
        <v>666</v>
      </c>
      <c r="B154" t="s">
        <v>667</v>
      </c>
      <c r="C154">
        <v>70</v>
      </c>
      <c r="D154" t="s">
        <v>17</v>
      </c>
      <c r="E154" t="s">
        <v>97</v>
      </c>
      <c r="F154" t="s">
        <v>50</v>
      </c>
      <c r="G154" t="s">
        <v>1243</v>
      </c>
      <c r="H154" s="1">
        <v>45962</v>
      </c>
      <c r="I154" s="1">
        <v>45672</v>
      </c>
      <c r="J154" t="s">
        <v>1222</v>
      </c>
      <c r="K154" t="s">
        <v>53</v>
      </c>
      <c r="L154" s="4">
        <v>259754.43</v>
      </c>
      <c r="M154" t="s">
        <v>84</v>
      </c>
      <c r="N154" t="s">
        <v>55</v>
      </c>
      <c r="O154" t="s">
        <v>1227</v>
      </c>
    </row>
    <row r="155" spans="1:15" ht="13.8" x14ac:dyDescent="0.25">
      <c r="A155" t="s">
        <v>669</v>
      </c>
      <c r="B155" t="s">
        <v>1215</v>
      </c>
      <c r="C155">
        <v>29</v>
      </c>
      <c r="D155" t="s">
        <v>17</v>
      </c>
      <c r="E155" t="s">
        <v>72</v>
      </c>
      <c r="F155" t="s">
        <v>103</v>
      </c>
      <c r="G155" t="s">
        <v>1236</v>
      </c>
      <c r="H155" s="1">
        <v>45751</v>
      </c>
      <c r="I155" s="1">
        <v>45754</v>
      </c>
      <c r="J155" t="s">
        <v>294</v>
      </c>
      <c r="K155" t="s">
        <v>1260</v>
      </c>
      <c r="L155">
        <v>43156.46</v>
      </c>
      <c r="M155" t="s">
        <v>118</v>
      </c>
      <c r="N155" t="s">
        <v>35</v>
      </c>
      <c r="O155" t="s">
        <v>1215</v>
      </c>
    </row>
    <row r="156" spans="1:15" ht="13.8" x14ac:dyDescent="0.25">
      <c r="A156" t="s">
        <v>671</v>
      </c>
      <c r="B156" t="s">
        <v>672</v>
      </c>
      <c r="C156">
        <v>69</v>
      </c>
      <c r="D156" t="s">
        <v>58</v>
      </c>
      <c r="E156" t="s">
        <v>18</v>
      </c>
      <c r="F156" t="s">
        <v>30</v>
      </c>
      <c r="G156" t="s">
        <v>1233</v>
      </c>
      <c r="H156" s="1">
        <v>45761</v>
      </c>
      <c r="I156" s="1">
        <v>46014</v>
      </c>
      <c r="J156" t="s">
        <v>32</v>
      </c>
      <c r="K156" t="s">
        <v>33</v>
      </c>
      <c r="L156">
        <v>8472.35</v>
      </c>
      <c r="M156" t="s">
        <v>24</v>
      </c>
      <c r="N156" t="s">
        <v>55</v>
      </c>
      <c r="O156" t="s">
        <v>45</v>
      </c>
    </row>
    <row r="157" spans="1:15" ht="13.8" x14ac:dyDescent="0.25">
      <c r="A157" t="s">
        <v>674</v>
      </c>
      <c r="B157" t="s">
        <v>675</v>
      </c>
      <c r="C157">
        <v>6</v>
      </c>
      <c r="D157" t="s">
        <v>17</v>
      </c>
      <c r="E157" t="s">
        <v>59</v>
      </c>
      <c r="F157" t="s">
        <v>60</v>
      </c>
      <c r="G157" t="s">
        <v>1240</v>
      </c>
      <c r="H157" s="1">
        <v>45972</v>
      </c>
      <c r="I157" s="1">
        <v>45984</v>
      </c>
      <c r="J157" t="s">
        <v>132</v>
      </c>
      <c r="K157" t="s">
        <v>1238</v>
      </c>
      <c r="L157">
        <v>287606.32</v>
      </c>
      <c r="M157" t="s">
        <v>54</v>
      </c>
      <c r="N157" t="s">
        <v>74</v>
      </c>
      <c r="O157" t="s">
        <v>36</v>
      </c>
    </row>
    <row r="158" spans="1:15" ht="13.8" x14ac:dyDescent="0.25">
      <c r="A158" t="s">
        <v>676</v>
      </c>
      <c r="B158" t="s">
        <v>289</v>
      </c>
      <c r="C158">
        <v>24</v>
      </c>
      <c r="D158" t="s">
        <v>58</v>
      </c>
      <c r="E158" t="s">
        <v>39</v>
      </c>
      <c r="F158" t="s">
        <v>19</v>
      </c>
      <c r="G158" t="s">
        <v>1256</v>
      </c>
      <c r="H158" s="1">
        <v>45753</v>
      </c>
      <c r="I158" s="1">
        <v>46014</v>
      </c>
      <c r="J158" t="s">
        <v>233</v>
      </c>
      <c r="K158" t="s">
        <v>234</v>
      </c>
      <c r="L158" s="4">
        <v>289092.03000000003</v>
      </c>
      <c r="M158" t="s">
        <v>1225</v>
      </c>
      <c r="N158" t="s">
        <v>74</v>
      </c>
      <c r="O158" t="s">
        <v>45</v>
      </c>
    </row>
    <row r="159" spans="1:15" ht="13.8" x14ac:dyDescent="0.25">
      <c r="A159" t="s">
        <v>679</v>
      </c>
      <c r="B159" t="s">
        <v>680</v>
      </c>
      <c r="C159">
        <v>54</v>
      </c>
      <c r="D159" t="s">
        <v>115</v>
      </c>
      <c r="E159" t="s">
        <v>49</v>
      </c>
      <c r="F159" t="s">
        <v>19</v>
      </c>
      <c r="G159" t="s">
        <v>1230</v>
      </c>
      <c r="H159" s="1">
        <v>46003</v>
      </c>
      <c r="I159" s="1">
        <v>46021</v>
      </c>
      <c r="J159" t="s">
        <v>151</v>
      </c>
      <c r="K159" t="s">
        <v>152</v>
      </c>
      <c r="L159">
        <v>33757.449999999997</v>
      </c>
      <c r="M159" t="s">
        <v>54</v>
      </c>
      <c r="N159" t="s">
        <v>1263</v>
      </c>
      <c r="O159" t="s">
        <v>112</v>
      </c>
    </row>
    <row r="160" spans="1:15" ht="13.8" x14ac:dyDescent="0.25">
      <c r="A160" t="s">
        <v>682</v>
      </c>
      <c r="B160" t="s">
        <v>683</v>
      </c>
      <c r="C160">
        <v>73</v>
      </c>
      <c r="D160" t="s">
        <v>17</v>
      </c>
      <c r="E160" t="s">
        <v>1215</v>
      </c>
      <c r="F160" t="s">
        <v>60</v>
      </c>
      <c r="G160" t="s">
        <v>1240</v>
      </c>
      <c r="H160" s="1">
        <v>45851</v>
      </c>
      <c r="I160" s="1">
        <v>45863</v>
      </c>
      <c r="J160" t="s">
        <v>263</v>
      </c>
      <c r="K160" t="s">
        <v>264</v>
      </c>
      <c r="L160">
        <v>137604.06</v>
      </c>
      <c r="M160" t="s">
        <v>1225</v>
      </c>
      <c r="N160" t="s">
        <v>35</v>
      </c>
      <c r="O160" t="s">
        <v>1227</v>
      </c>
    </row>
    <row r="161" spans="1:15" ht="13.8" x14ac:dyDescent="0.25">
      <c r="A161" t="s">
        <v>688</v>
      </c>
      <c r="B161" t="s">
        <v>689</v>
      </c>
      <c r="C161">
        <v>65</v>
      </c>
      <c r="D161" t="s">
        <v>58</v>
      </c>
      <c r="E161" t="s">
        <v>49</v>
      </c>
      <c r="F161" t="s">
        <v>165</v>
      </c>
      <c r="G161" t="s">
        <v>1242</v>
      </c>
      <c r="H161" s="1">
        <v>45720</v>
      </c>
      <c r="I161" s="1">
        <v>46014</v>
      </c>
      <c r="J161" t="s">
        <v>168</v>
      </c>
      <c r="K161" t="s">
        <v>169</v>
      </c>
      <c r="L161">
        <v>270774.19</v>
      </c>
      <c r="M161" t="s">
        <v>34</v>
      </c>
      <c r="N161" t="s">
        <v>1215</v>
      </c>
      <c r="O161" t="s">
        <v>45</v>
      </c>
    </row>
    <row r="162" spans="1:15" ht="13.8" x14ac:dyDescent="0.25">
      <c r="A162" t="s">
        <v>690</v>
      </c>
      <c r="B162" t="s">
        <v>691</v>
      </c>
      <c r="C162">
        <v>65</v>
      </c>
      <c r="D162" t="s">
        <v>58</v>
      </c>
      <c r="E162" t="s">
        <v>39</v>
      </c>
      <c r="F162" t="s">
        <v>165</v>
      </c>
      <c r="G162" t="s">
        <v>1239</v>
      </c>
      <c r="H162" s="1">
        <v>45737</v>
      </c>
      <c r="I162" s="1">
        <v>45745</v>
      </c>
      <c r="J162" t="s">
        <v>173</v>
      </c>
      <c r="K162" t="s">
        <v>174</v>
      </c>
      <c r="L162">
        <v>337793.92</v>
      </c>
      <c r="M162" t="s">
        <v>1247</v>
      </c>
      <c r="N162" t="s">
        <v>35</v>
      </c>
      <c r="O162" t="s">
        <v>1227</v>
      </c>
    </row>
    <row r="163" spans="1:15" ht="13.8" x14ac:dyDescent="0.25">
      <c r="A163" t="s">
        <v>694</v>
      </c>
      <c r="B163" t="s">
        <v>695</v>
      </c>
      <c r="C163">
        <v>5</v>
      </c>
      <c r="D163" t="s">
        <v>58</v>
      </c>
      <c r="E163" t="s">
        <v>49</v>
      </c>
      <c r="F163" t="s">
        <v>40</v>
      </c>
      <c r="G163" t="s">
        <v>1226</v>
      </c>
      <c r="H163" s="1">
        <v>46014</v>
      </c>
      <c r="I163" s="1">
        <v>46014</v>
      </c>
      <c r="J163" t="s">
        <v>1218</v>
      </c>
      <c r="K163" t="s">
        <v>43</v>
      </c>
      <c r="L163">
        <v>288515.28999999998</v>
      </c>
      <c r="M163" t="s">
        <v>1219</v>
      </c>
      <c r="N163" t="s">
        <v>74</v>
      </c>
      <c r="O163" t="s">
        <v>45</v>
      </c>
    </row>
    <row r="164" spans="1:15" ht="13.8" x14ac:dyDescent="0.25">
      <c r="A164" t="s">
        <v>697</v>
      </c>
      <c r="B164" t="s">
        <v>498</v>
      </c>
      <c r="C164">
        <v>16</v>
      </c>
      <c r="D164" t="s">
        <v>17</v>
      </c>
      <c r="E164" t="s">
        <v>137</v>
      </c>
      <c r="F164" t="s">
        <v>40</v>
      </c>
      <c r="G164" t="s">
        <v>1217</v>
      </c>
      <c r="H164" s="1">
        <v>45851</v>
      </c>
      <c r="I164" s="1">
        <v>45860</v>
      </c>
      <c r="J164" t="s">
        <v>93</v>
      </c>
      <c r="K164" t="s">
        <v>94</v>
      </c>
      <c r="L164">
        <v>330046.03999999998</v>
      </c>
      <c r="M164" t="s">
        <v>1225</v>
      </c>
      <c r="N164" t="s">
        <v>35</v>
      </c>
      <c r="O164" t="s">
        <v>36</v>
      </c>
    </row>
    <row r="165" spans="1:15" ht="13.8" x14ac:dyDescent="0.25">
      <c r="A165" t="s">
        <v>698</v>
      </c>
      <c r="B165" t="s">
        <v>699</v>
      </c>
      <c r="C165">
        <v>31</v>
      </c>
      <c r="D165" t="s">
        <v>58</v>
      </c>
      <c r="E165" t="s">
        <v>97</v>
      </c>
      <c r="F165" t="s">
        <v>40</v>
      </c>
      <c r="G165" t="s">
        <v>1246</v>
      </c>
      <c r="H165" s="1">
        <v>45757</v>
      </c>
      <c r="I165" s="1">
        <v>46014</v>
      </c>
      <c r="J165" t="s">
        <v>238</v>
      </c>
      <c r="K165" t="s">
        <v>67</v>
      </c>
      <c r="L165" s="4">
        <v>64734.19</v>
      </c>
      <c r="M165" t="s">
        <v>54</v>
      </c>
      <c r="N165" t="s">
        <v>55</v>
      </c>
      <c r="O165" t="s">
        <v>45</v>
      </c>
    </row>
    <row r="166" spans="1:15" ht="13.8" x14ac:dyDescent="0.25">
      <c r="A166" t="s">
        <v>702</v>
      </c>
      <c r="B166" t="s">
        <v>160</v>
      </c>
      <c r="C166">
        <v>84</v>
      </c>
      <c r="D166" t="s">
        <v>17</v>
      </c>
      <c r="E166" t="s">
        <v>59</v>
      </c>
      <c r="F166" t="s">
        <v>60</v>
      </c>
      <c r="G166" t="s">
        <v>1240</v>
      </c>
      <c r="H166" s="1">
        <v>45667</v>
      </c>
      <c r="I166" s="1">
        <v>45668</v>
      </c>
      <c r="J166" t="s">
        <v>1215</v>
      </c>
      <c r="K166" t="s">
        <v>1238</v>
      </c>
      <c r="L166">
        <v>340459.81</v>
      </c>
      <c r="M166" t="s">
        <v>1219</v>
      </c>
      <c r="N166" t="s">
        <v>35</v>
      </c>
      <c r="O166" t="s">
        <v>36</v>
      </c>
    </row>
    <row r="167" spans="1:15" ht="13.8" x14ac:dyDescent="0.25">
      <c r="A167" t="s">
        <v>704</v>
      </c>
      <c r="B167" t="s">
        <v>150</v>
      </c>
      <c r="C167">
        <v>63</v>
      </c>
      <c r="D167" t="s">
        <v>17</v>
      </c>
      <c r="E167" t="s">
        <v>72</v>
      </c>
      <c r="F167" t="s">
        <v>30</v>
      </c>
      <c r="G167" t="s">
        <v>1216</v>
      </c>
      <c r="H167" s="1">
        <v>45818</v>
      </c>
      <c r="I167" s="1">
        <v>46014</v>
      </c>
      <c r="J167" t="s">
        <v>32</v>
      </c>
      <c r="K167" t="s">
        <v>33</v>
      </c>
      <c r="L167">
        <v>82982.5</v>
      </c>
      <c r="M167" t="s">
        <v>118</v>
      </c>
      <c r="N167" t="s">
        <v>69</v>
      </c>
      <c r="O167" t="s">
        <v>1215</v>
      </c>
    </row>
    <row r="168" spans="1:15" ht="13.8" x14ac:dyDescent="0.25">
      <c r="A168" t="s">
        <v>705</v>
      </c>
      <c r="B168" t="s">
        <v>683</v>
      </c>
      <c r="C168">
        <v>40</v>
      </c>
      <c r="D168" t="s">
        <v>17</v>
      </c>
      <c r="E168" t="s">
        <v>137</v>
      </c>
      <c r="F168" t="s">
        <v>40</v>
      </c>
      <c r="G168" t="s">
        <v>1217</v>
      </c>
      <c r="H168" s="1">
        <v>45783</v>
      </c>
      <c r="I168" s="1">
        <v>46014</v>
      </c>
      <c r="J168" t="s">
        <v>93</v>
      </c>
      <c r="K168" t="s">
        <v>94</v>
      </c>
      <c r="L168">
        <v>99999999</v>
      </c>
      <c r="M168" t="s">
        <v>1219</v>
      </c>
      <c r="N168" t="s">
        <v>35</v>
      </c>
      <c r="O168" t="s">
        <v>45</v>
      </c>
    </row>
    <row r="169" spans="1:15" ht="13.8" x14ac:dyDescent="0.25">
      <c r="A169" t="s">
        <v>706</v>
      </c>
      <c r="B169" t="s">
        <v>707</v>
      </c>
      <c r="C169">
        <v>64</v>
      </c>
      <c r="D169" t="s">
        <v>115</v>
      </c>
      <c r="E169" t="s">
        <v>137</v>
      </c>
      <c r="F169" t="s">
        <v>50</v>
      </c>
      <c r="G169" t="s">
        <v>1221</v>
      </c>
      <c r="H169" s="1">
        <v>45779</v>
      </c>
      <c r="I169" s="1">
        <v>45707</v>
      </c>
      <c r="J169" t="s">
        <v>191</v>
      </c>
      <c r="K169" t="s">
        <v>1244</v>
      </c>
      <c r="L169">
        <v>324747.28000000003</v>
      </c>
      <c r="M169" t="s">
        <v>1225</v>
      </c>
      <c r="N169" t="s">
        <v>55</v>
      </c>
      <c r="O169" t="s">
        <v>112</v>
      </c>
    </row>
    <row r="170" spans="1:15" ht="13.8" x14ac:dyDescent="0.25">
      <c r="A170" t="s">
        <v>708</v>
      </c>
      <c r="B170" t="s">
        <v>709</v>
      </c>
      <c r="C170">
        <v>43</v>
      </c>
      <c r="D170" t="s">
        <v>17</v>
      </c>
      <c r="E170" t="s">
        <v>59</v>
      </c>
      <c r="F170" t="s">
        <v>40</v>
      </c>
      <c r="G170" t="s">
        <v>1228</v>
      </c>
      <c r="H170" s="1">
        <v>45659</v>
      </c>
      <c r="I170" s="1">
        <v>45660</v>
      </c>
      <c r="J170" t="s">
        <v>238</v>
      </c>
      <c r="K170" t="s">
        <v>67</v>
      </c>
      <c r="L170">
        <v>40000</v>
      </c>
      <c r="M170" t="s">
        <v>34</v>
      </c>
      <c r="N170" t="s">
        <v>74</v>
      </c>
      <c r="O170" t="s">
        <v>36</v>
      </c>
    </row>
    <row r="171" spans="1:15" ht="13.8" x14ac:dyDescent="0.25">
      <c r="A171" t="s">
        <v>715</v>
      </c>
      <c r="B171" t="s">
        <v>506</v>
      </c>
      <c r="C171">
        <v>8</v>
      </c>
      <c r="D171" t="s">
        <v>58</v>
      </c>
      <c r="E171" t="s">
        <v>18</v>
      </c>
      <c r="F171" t="s">
        <v>60</v>
      </c>
      <c r="G171" t="s">
        <v>1223</v>
      </c>
      <c r="H171" s="1">
        <v>45978</v>
      </c>
      <c r="I171" s="1">
        <v>46014</v>
      </c>
      <c r="J171" t="s">
        <v>132</v>
      </c>
      <c r="K171" t="s">
        <v>1238</v>
      </c>
      <c r="L171">
        <v>-287384.84000000003</v>
      </c>
      <c r="M171" t="s">
        <v>1225</v>
      </c>
      <c r="N171" t="s">
        <v>69</v>
      </c>
      <c r="O171" t="s">
        <v>26</v>
      </c>
    </row>
    <row r="172" spans="1:15" ht="13.8" x14ac:dyDescent="0.25">
      <c r="A172" t="s">
        <v>716</v>
      </c>
      <c r="B172" t="s">
        <v>1215</v>
      </c>
      <c r="C172">
        <v>83</v>
      </c>
      <c r="D172" t="s">
        <v>58</v>
      </c>
      <c r="E172" t="s">
        <v>97</v>
      </c>
      <c r="F172" t="s">
        <v>60</v>
      </c>
      <c r="G172" t="s">
        <v>1255</v>
      </c>
      <c r="H172" s="1">
        <v>45686</v>
      </c>
      <c r="I172" s="1">
        <v>45701</v>
      </c>
      <c r="J172" t="s">
        <v>81</v>
      </c>
      <c r="K172" t="s">
        <v>82</v>
      </c>
      <c r="L172" s="4">
        <v>339754.62</v>
      </c>
      <c r="M172" t="s">
        <v>118</v>
      </c>
      <c r="N172" t="s">
        <v>74</v>
      </c>
      <c r="O172" t="s">
        <v>26</v>
      </c>
    </row>
    <row r="173" spans="1:15" ht="13.8" x14ac:dyDescent="0.25">
      <c r="A173" t="s">
        <v>720</v>
      </c>
      <c r="B173" t="s">
        <v>65</v>
      </c>
      <c r="C173">
        <v>57</v>
      </c>
      <c r="D173" t="s">
        <v>58</v>
      </c>
      <c r="E173" t="s">
        <v>78</v>
      </c>
      <c r="F173" t="s">
        <v>1215</v>
      </c>
      <c r="G173" t="s">
        <v>1226</v>
      </c>
      <c r="H173" s="1">
        <v>45895</v>
      </c>
      <c r="I173" s="1">
        <v>45908</v>
      </c>
      <c r="J173" t="s">
        <v>294</v>
      </c>
      <c r="K173" t="s">
        <v>1260</v>
      </c>
      <c r="L173" s="4">
        <v>293518.03000000003</v>
      </c>
      <c r="M173" t="s">
        <v>1225</v>
      </c>
      <c r="N173" t="s">
        <v>35</v>
      </c>
      <c r="O173" t="s">
        <v>112</v>
      </c>
    </row>
    <row r="174" spans="1:15" ht="13.8" x14ac:dyDescent="0.25">
      <c r="A174" t="s">
        <v>724</v>
      </c>
      <c r="B174" t="s">
        <v>1215</v>
      </c>
      <c r="C174">
        <v>86</v>
      </c>
      <c r="D174" t="s">
        <v>58</v>
      </c>
      <c r="E174" t="s">
        <v>59</v>
      </c>
      <c r="F174" t="s">
        <v>30</v>
      </c>
      <c r="G174" t="s">
        <v>1251</v>
      </c>
      <c r="H174" s="1">
        <v>45716</v>
      </c>
      <c r="I174" s="1">
        <v>45734</v>
      </c>
      <c r="J174" t="s">
        <v>246</v>
      </c>
      <c r="K174" t="s">
        <v>1248</v>
      </c>
      <c r="L174">
        <v>114030.49</v>
      </c>
      <c r="M174" t="s">
        <v>54</v>
      </c>
      <c r="N174" t="s">
        <v>25</v>
      </c>
      <c r="O174" t="s">
        <v>1227</v>
      </c>
    </row>
    <row r="175" spans="1:15" ht="13.8" x14ac:dyDescent="0.25">
      <c r="A175" t="s">
        <v>728</v>
      </c>
      <c r="B175" t="s">
        <v>590</v>
      </c>
      <c r="C175">
        <v>52</v>
      </c>
      <c r="D175" t="s">
        <v>58</v>
      </c>
      <c r="E175" t="s">
        <v>137</v>
      </c>
      <c r="F175" t="s">
        <v>165</v>
      </c>
      <c r="G175" t="s">
        <v>1242</v>
      </c>
      <c r="H175" s="1">
        <v>45890</v>
      </c>
      <c r="I175" s="1">
        <v>45897</v>
      </c>
      <c r="J175" t="s">
        <v>173</v>
      </c>
      <c r="K175" t="s">
        <v>174</v>
      </c>
      <c r="L175">
        <v>266163.46999999997</v>
      </c>
      <c r="M175" t="s">
        <v>34</v>
      </c>
      <c r="N175" t="s">
        <v>55</v>
      </c>
      <c r="O175" t="s">
        <v>26</v>
      </c>
    </row>
    <row r="176" spans="1:15" ht="13.8" x14ac:dyDescent="0.25">
      <c r="A176" t="s">
        <v>730</v>
      </c>
      <c r="B176" t="s">
        <v>275</v>
      </c>
      <c r="C176">
        <v>32</v>
      </c>
      <c r="D176" t="s">
        <v>17</v>
      </c>
      <c r="E176" t="s">
        <v>18</v>
      </c>
      <c r="F176" t="s">
        <v>19</v>
      </c>
      <c r="G176" t="s">
        <v>1235</v>
      </c>
      <c r="H176" s="1">
        <v>45912</v>
      </c>
      <c r="I176" s="1">
        <v>46014</v>
      </c>
      <c r="J176" t="s">
        <v>233</v>
      </c>
      <c r="K176" t="s">
        <v>234</v>
      </c>
      <c r="L176">
        <v>306146.28999999998</v>
      </c>
      <c r="M176" t="s">
        <v>1219</v>
      </c>
      <c r="N176" t="s">
        <v>1237</v>
      </c>
      <c r="O176" t="s">
        <v>45</v>
      </c>
    </row>
    <row r="177" spans="1:15" ht="13.8" x14ac:dyDescent="0.25">
      <c r="A177" t="s">
        <v>732</v>
      </c>
      <c r="B177" t="s">
        <v>733</v>
      </c>
      <c r="C177">
        <v>38</v>
      </c>
      <c r="D177" t="s">
        <v>58</v>
      </c>
      <c r="E177" t="s">
        <v>18</v>
      </c>
      <c r="F177" t="s">
        <v>50</v>
      </c>
      <c r="G177" t="s">
        <v>1254</v>
      </c>
      <c r="H177" s="1">
        <v>46003</v>
      </c>
      <c r="I177" s="1">
        <v>46014</v>
      </c>
      <c r="J177" t="s">
        <v>332</v>
      </c>
      <c r="K177" t="s">
        <v>383</v>
      </c>
      <c r="L177">
        <v>165780.85</v>
      </c>
      <c r="M177" t="s">
        <v>54</v>
      </c>
      <c r="N177" t="s">
        <v>35</v>
      </c>
      <c r="O177" t="s">
        <v>112</v>
      </c>
    </row>
    <row r="178" spans="1:15" ht="13.8" x14ac:dyDescent="0.25">
      <c r="A178" t="s">
        <v>1264</v>
      </c>
      <c r="B178" t="s">
        <v>733</v>
      </c>
      <c r="C178">
        <v>45</v>
      </c>
      <c r="D178" t="s">
        <v>58</v>
      </c>
      <c r="E178" t="s">
        <v>72</v>
      </c>
      <c r="F178" t="s">
        <v>50</v>
      </c>
      <c r="G178" t="s">
        <v>1254</v>
      </c>
      <c r="H178" s="1">
        <v>45731</v>
      </c>
      <c r="I178" s="1">
        <v>45738</v>
      </c>
      <c r="J178" t="s">
        <v>1222</v>
      </c>
      <c r="K178" t="s">
        <v>53</v>
      </c>
      <c r="L178" s="4">
        <v>293503.23</v>
      </c>
      <c r="M178" t="s">
        <v>1219</v>
      </c>
      <c r="N178" t="s">
        <v>25</v>
      </c>
      <c r="O178" t="s">
        <v>26</v>
      </c>
    </row>
    <row r="179" spans="1:15" ht="13.8" x14ac:dyDescent="0.25">
      <c r="A179" t="s">
        <v>737</v>
      </c>
      <c r="B179" t="s">
        <v>738</v>
      </c>
      <c r="C179">
        <v>49</v>
      </c>
      <c r="D179" t="s">
        <v>17</v>
      </c>
      <c r="E179" t="s">
        <v>155</v>
      </c>
      <c r="F179" t="s">
        <v>40</v>
      </c>
      <c r="G179" t="s">
        <v>1217</v>
      </c>
      <c r="H179" s="1">
        <v>45757</v>
      </c>
      <c r="I179" s="1">
        <v>45965</v>
      </c>
      <c r="J179" t="s">
        <v>1218</v>
      </c>
      <c r="K179" t="s">
        <v>43</v>
      </c>
      <c r="L179">
        <v>28693.03</v>
      </c>
      <c r="M179" t="s">
        <v>84</v>
      </c>
      <c r="N179" t="s">
        <v>69</v>
      </c>
      <c r="O179" t="s">
        <v>36</v>
      </c>
    </row>
    <row r="180" spans="1:15" ht="13.8" x14ac:dyDescent="0.25">
      <c r="A180" t="s">
        <v>739</v>
      </c>
      <c r="B180" t="s">
        <v>176</v>
      </c>
      <c r="C180">
        <v>60</v>
      </c>
      <c r="D180" t="s">
        <v>58</v>
      </c>
      <c r="E180" t="s">
        <v>39</v>
      </c>
      <c r="F180" t="s">
        <v>103</v>
      </c>
      <c r="G180" t="s">
        <v>1245</v>
      </c>
      <c r="H180" s="1">
        <v>45724</v>
      </c>
      <c r="I180" s="1">
        <v>45726</v>
      </c>
      <c r="J180" t="s">
        <v>249</v>
      </c>
      <c r="K180" t="s">
        <v>250</v>
      </c>
      <c r="L180" s="4">
        <v>28640.639999999999</v>
      </c>
      <c r="M180" t="s">
        <v>34</v>
      </c>
      <c r="N180" t="s">
        <v>35</v>
      </c>
      <c r="O180" t="s">
        <v>36</v>
      </c>
    </row>
    <row r="181" spans="1:15" ht="13.8" x14ac:dyDescent="0.25">
      <c r="A181" t="s">
        <v>748</v>
      </c>
      <c r="B181" t="s">
        <v>709</v>
      </c>
      <c r="C181">
        <v>42</v>
      </c>
      <c r="D181" t="s">
        <v>17</v>
      </c>
      <c r="E181" t="s">
        <v>97</v>
      </c>
      <c r="F181" t="s">
        <v>60</v>
      </c>
      <c r="G181" t="s">
        <v>1255</v>
      </c>
      <c r="H181" s="1">
        <v>45879</v>
      </c>
      <c r="I181" s="1">
        <v>46014</v>
      </c>
      <c r="J181" t="s">
        <v>132</v>
      </c>
      <c r="K181" t="s">
        <v>1238</v>
      </c>
      <c r="L181" s="4">
        <v>218046.64</v>
      </c>
      <c r="M181" t="s">
        <v>1219</v>
      </c>
      <c r="N181" t="s">
        <v>25</v>
      </c>
      <c r="O181" t="s">
        <v>45</v>
      </c>
    </row>
    <row r="182" spans="1:15" ht="13.8" x14ac:dyDescent="0.25">
      <c r="A182" t="s">
        <v>750</v>
      </c>
      <c r="B182" t="s">
        <v>751</v>
      </c>
      <c r="C182">
        <v>69</v>
      </c>
      <c r="D182" t="s">
        <v>17</v>
      </c>
      <c r="E182" t="s">
        <v>102</v>
      </c>
      <c r="F182" t="s">
        <v>40</v>
      </c>
      <c r="G182" t="s">
        <v>1217</v>
      </c>
      <c r="H182" s="1">
        <v>45767</v>
      </c>
      <c r="I182" s="1">
        <v>45874</v>
      </c>
      <c r="J182" t="s">
        <v>238</v>
      </c>
      <c r="K182" t="s">
        <v>67</v>
      </c>
      <c r="L182">
        <v>40000</v>
      </c>
      <c r="M182" t="s">
        <v>1219</v>
      </c>
      <c r="N182" t="s">
        <v>55</v>
      </c>
      <c r="O182" t="s">
        <v>26</v>
      </c>
    </row>
    <row r="183" spans="1:15" ht="13.8" x14ac:dyDescent="0.25">
      <c r="A183" t="s">
        <v>752</v>
      </c>
      <c r="B183" t="s">
        <v>753</v>
      </c>
      <c r="C183">
        <v>8</v>
      </c>
      <c r="D183" t="s">
        <v>17</v>
      </c>
      <c r="E183" t="s">
        <v>137</v>
      </c>
      <c r="F183" t="s">
        <v>30</v>
      </c>
      <c r="G183" t="s">
        <v>1251</v>
      </c>
      <c r="H183" s="1">
        <v>45698</v>
      </c>
      <c r="I183" s="1">
        <v>45710</v>
      </c>
      <c r="J183" t="s">
        <v>122</v>
      </c>
      <c r="K183" t="s">
        <v>123</v>
      </c>
      <c r="L183">
        <v>213386.28</v>
      </c>
      <c r="M183" t="s">
        <v>1247</v>
      </c>
      <c r="N183" t="s">
        <v>25</v>
      </c>
      <c r="O183" t="s">
        <v>112</v>
      </c>
    </row>
    <row r="184" spans="1:15" ht="13.8" x14ac:dyDescent="0.25">
      <c r="A184" t="s">
        <v>756</v>
      </c>
      <c r="B184" t="s">
        <v>1265</v>
      </c>
      <c r="C184">
        <v>68</v>
      </c>
      <c r="D184" t="s">
        <v>58</v>
      </c>
      <c r="E184" t="s">
        <v>102</v>
      </c>
      <c r="F184" t="s">
        <v>30</v>
      </c>
      <c r="G184" t="s">
        <v>1216</v>
      </c>
      <c r="H184" s="1">
        <v>45710</v>
      </c>
      <c r="I184" s="1">
        <v>45721</v>
      </c>
      <c r="J184" t="s">
        <v>122</v>
      </c>
      <c r="K184" t="s">
        <v>123</v>
      </c>
      <c r="L184">
        <v>114914.67</v>
      </c>
      <c r="M184" t="s">
        <v>118</v>
      </c>
      <c r="N184" t="s">
        <v>55</v>
      </c>
      <c r="O184" t="s">
        <v>1227</v>
      </c>
    </row>
    <row r="185" spans="1:15" ht="13.8" x14ac:dyDescent="0.25">
      <c r="A185" t="s">
        <v>758</v>
      </c>
      <c r="B185" t="s">
        <v>759</v>
      </c>
      <c r="C185">
        <v>2</v>
      </c>
      <c r="D185" t="s">
        <v>17</v>
      </c>
      <c r="E185" t="s">
        <v>137</v>
      </c>
      <c r="F185" t="s">
        <v>103</v>
      </c>
      <c r="G185" t="s">
        <v>1236</v>
      </c>
      <c r="H185" s="1">
        <v>45905</v>
      </c>
      <c r="I185" s="1">
        <v>45921</v>
      </c>
      <c r="J185" t="s">
        <v>249</v>
      </c>
      <c r="K185" t="s">
        <v>250</v>
      </c>
      <c r="L185">
        <v>167818.16</v>
      </c>
      <c r="M185" t="s">
        <v>1219</v>
      </c>
      <c r="N185" t="s">
        <v>74</v>
      </c>
      <c r="O185" t="s">
        <v>1215</v>
      </c>
    </row>
    <row r="186" spans="1:15" ht="13.8" x14ac:dyDescent="0.25">
      <c r="A186" t="s">
        <v>761</v>
      </c>
      <c r="B186" t="s">
        <v>762</v>
      </c>
      <c r="C186">
        <v>31</v>
      </c>
      <c r="D186" t="s">
        <v>115</v>
      </c>
      <c r="E186" t="s">
        <v>102</v>
      </c>
      <c r="F186" t="s">
        <v>40</v>
      </c>
      <c r="G186" t="s">
        <v>1246</v>
      </c>
      <c r="H186" s="1">
        <v>45690</v>
      </c>
      <c r="I186" s="1">
        <v>46014</v>
      </c>
      <c r="J186" t="s">
        <v>1218</v>
      </c>
      <c r="K186" t="s">
        <v>1215</v>
      </c>
      <c r="L186" s="4">
        <v>47432.59</v>
      </c>
      <c r="M186" t="s">
        <v>84</v>
      </c>
      <c r="N186" t="s">
        <v>35</v>
      </c>
      <c r="O186" t="s">
        <v>36</v>
      </c>
    </row>
    <row r="187" spans="1:15" ht="13.8" x14ac:dyDescent="0.25">
      <c r="A187" t="s">
        <v>767</v>
      </c>
      <c r="B187" t="s">
        <v>77</v>
      </c>
      <c r="C187">
        <v>55</v>
      </c>
      <c r="D187" t="s">
        <v>17</v>
      </c>
      <c r="E187" t="s">
        <v>39</v>
      </c>
      <c r="F187" t="s">
        <v>19</v>
      </c>
      <c r="G187" t="s">
        <v>1256</v>
      </c>
      <c r="H187" s="1">
        <v>45864</v>
      </c>
      <c r="I187" s="1">
        <v>45867</v>
      </c>
      <c r="J187" t="s">
        <v>151</v>
      </c>
      <c r="K187" t="s">
        <v>152</v>
      </c>
      <c r="L187">
        <v>110914.54</v>
      </c>
      <c r="M187" t="s">
        <v>24</v>
      </c>
      <c r="N187" t="s">
        <v>35</v>
      </c>
      <c r="O187" t="s">
        <v>36</v>
      </c>
    </row>
    <row r="188" spans="1:15" ht="13.8" x14ac:dyDescent="0.25">
      <c r="A188" t="s">
        <v>772</v>
      </c>
      <c r="B188" t="s">
        <v>549</v>
      </c>
      <c r="C188">
        <v>31</v>
      </c>
      <c r="D188" t="s">
        <v>58</v>
      </c>
      <c r="E188" t="s">
        <v>137</v>
      </c>
      <c r="F188" t="s">
        <v>103</v>
      </c>
      <c r="G188" t="s">
        <v>1229</v>
      </c>
      <c r="H188" s="1">
        <v>45764</v>
      </c>
      <c r="I188" s="1">
        <v>45771</v>
      </c>
      <c r="J188" t="s">
        <v>249</v>
      </c>
      <c r="K188" t="s">
        <v>250</v>
      </c>
      <c r="L188">
        <v>161347.78</v>
      </c>
      <c r="M188" t="s">
        <v>24</v>
      </c>
      <c r="N188" t="s">
        <v>35</v>
      </c>
      <c r="O188" t="s">
        <v>26</v>
      </c>
    </row>
    <row r="189" spans="1:15" ht="13.8" x14ac:dyDescent="0.25">
      <c r="A189" t="s">
        <v>773</v>
      </c>
      <c r="B189" t="s">
        <v>1266</v>
      </c>
      <c r="C189">
        <v>57</v>
      </c>
      <c r="D189" t="s">
        <v>17</v>
      </c>
      <c r="E189" t="s">
        <v>18</v>
      </c>
      <c r="F189" t="s">
        <v>30</v>
      </c>
      <c r="G189" t="s">
        <v>1216</v>
      </c>
      <c r="H189" s="1">
        <v>45717</v>
      </c>
      <c r="I189" s="1">
        <v>45662</v>
      </c>
      <c r="J189" t="s">
        <v>32</v>
      </c>
      <c r="K189" t="s">
        <v>33</v>
      </c>
      <c r="L189">
        <v>138047.97</v>
      </c>
      <c r="M189" t="s">
        <v>54</v>
      </c>
      <c r="N189" t="s">
        <v>74</v>
      </c>
      <c r="O189" t="s">
        <v>36</v>
      </c>
    </row>
    <row r="190" spans="1:15" ht="13.8" x14ac:dyDescent="0.25">
      <c r="A190" t="s">
        <v>775</v>
      </c>
      <c r="B190" t="s">
        <v>776</v>
      </c>
      <c r="C190">
        <v>35</v>
      </c>
      <c r="D190" t="s">
        <v>17</v>
      </c>
      <c r="E190" t="s">
        <v>18</v>
      </c>
      <c r="F190" t="s">
        <v>50</v>
      </c>
      <c r="G190" t="s">
        <v>1221</v>
      </c>
      <c r="H190" s="1">
        <v>45853</v>
      </c>
      <c r="I190" s="1">
        <v>45863</v>
      </c>
      <c r="J190" t="s">
        <v>332</v>
      </c>
      <c r="K190" t="s">
        <v>383</v>
      </c>
      <c r="L190" s="4">
        <v>307451.11</v>
      </c>
      <c r="M190" t="s">
        <v>34</v>
      </c>
      <c r="N190" t="s">
        <v>55</v>
      </c>
      <c r="O190" t="s">
        <v>1227</v>
      </c>
    </row>
    <row r="191" spans="1:15" ht="13.8" x14ac:dyDescent="0.25">
      <c r="A191" t="s">
        <v>786</v>
      </c>
      <c r="B191" t="s">
        <v>726</v>
      </c>
      <c r="C191">
        <v>66</v>
      </c>
      <c r="D191" t="s">
        <v>17</v>
      </c>
      <c r="E191" t="s">
        <v>78</v>
      </c>
      <c r="F191" t="s">
        <v>50</v>
      </c>
      <c r="G191" t="s">
        <v>1221</v>
      </c>
      <c r="H191" s="1">
        <v>46007</v>
      </c>
      <c r="I191" s="1">
        <v>46014</v>
      </c>
      <c r="J191" t="s">
        <v>191</v>
      </c>
      <c r="K191" t="s">
        <v>1244</v>
      </c>
      <c r="L191">
        <v>40000</v>
      </c>
      <c r="M191" t="s">
        <v>34</v>
      </c>
      <c r="N191" t="s">
        <v>69</v>
      </c>
      <c r="O191" t="s">
        <v>45</v>
      </c>
    </row>
    <row r="192" spans="1:15" ht="13.8" x14ac:dyDescent="0.25">
      <c r="A192" t="s">
        <v>1267</v>
      </c>
      <c r="B192" t="s">
        <v>447</v>
      </c>
      <c r="C192">
        <v>10</v>
      </c>
      <c r="D192" t="s">
        <v>17</v>
      </c>
      <c r="E192" t="s">
        <v>789</v>
      </c>
      <c r="F192" t="s">
        <v>103</v>
      </c>
      <c r="G192" t="s">
        <v>1236</v>
      </c>
      <c r="H192" s="1">
        <v>45789</v>
      </c>
      <c r="I192" s="1">
        <v>46007</v>
      </c>
      <c r="J192" t="s">
        <v>1215</v>
      </c>
      <c r="K192" t="s">
        <v>250</v>
      </c>
      <c r="L192">
        <v>337690.34</v>
      </c>
      <c r="M192" t="s">
        <v>1247</v>
      </c>
      <c r="N192" t="s">
        <v>55</v>
      </c>
      <c r="O192" t="s">
        <v>36</v>
      </c>
    </row>
    <row r="193" spans="1:15" ht="13.8" x14ac:dyDescent="0.25">
      <c r="A193" t="s">
        <v>791</v>
      </c>
      <c r="B193" t="s">
        <v>342</v>
      </c>
      <c r="C193">
        <v>64</v>
      </c>
      <c r="D193" t="s">
        <v>58</v>
      </c>
      <c r="E193" t="s">
        <v>102</v>
      </c>
      <c r="F193" t="s">
        <v>30</v>
      </c>
      <c r="G193" t="s">
        <v>1233</v>
      </c>
      <c r="H193" s="1">
        <v>46007</v>
      </c>
      <c r="I193" s="1">
        <v>46012</v>
      </c>
      <c r="J193" t="s">
        <v>122</v>
      </c>
      <c r="K193" t="s">
        <v>123</v>
      </c>
      <c r="L193" s="4">
        <v>81267.360000000001</v>
      </c>
      <c r="M193" t="s">
        <v>24</v>
      </c>
      <c r="N193" t="s">
        <v>1263</v>
      </c>
      <c r="O193" t="s">
        <v>1227</v>
      </c>
    </row>
    <row r="194" spans="1:15" ht="13.8" x14ac:dyDescent="0.25">
      <c r="A194" t="s">
        <v>793</v>
      </c>
      <c r="B194" t="s">
        <v>794</v>
      </c>
      <c r="C194">
        <v>12</v>
      </c>
      <c r="D194" t="s">
        <v>58</v>
      </c>
      <c r="E194" t="s">
        <v>39</v>
      </c>
      <c r="F194" t="s">
        <v>40</v>
      </c>
      <c r="G194" t="s">
        <v>1246</v>
      </c>
      <c r="H194" s="1">
        <v>45668</v>
      </c>
      <c r="I194" s="1">
        <v>45670</v>
      </c>
      <c r="J194" t="s">
        <v>93</v>
      </c>
      <c r="K194" t="s">
        <v>94</v>
      </c>
      <c r="L194">
        <v>197038.65</v>
      </c>
      <c r="M194" t="s">
        <v>24</v>
      </c>
      <c r="N194" t="s">
        <v>55</v>
      </c>
      <c r="O194" t="s">
        <v>36</v>
      </c>
    </row>
    <row r="195" spans="1:15" ht="13.8" x14ac:dyDescent="0.25">
      <c r="A195" t="s">
        <v>795</v>
      </c>
      <c r="B195" t="s">
        <v>614</v>
      </c>
      <c r="C195">
        <v>72</v>
      </c>
      <c r="D195" t="s">
        <v>17</v>
      </c>
      <c r="E195" t="s">
        <v>18</v>
      </c>
      <c r="F195" t="s">
        <v>19</v>
      </c>
      <c r="G195" t="s">
        <v>1256</v>
      </c>
      <c r="H195" s="1">
        <v>45659</v>
      </c>
      <c r="I195" s="1">
        <v>46014</v>
      </c>
      <c r="J195" t="s">
        <v>233</v>
      </c>
      <c r="K195" t="s">
        <v>234</v>
      </c>
      <c r="L195">
        <v>68996.850000000006</v>
      </c>
      <c r="M195" t="s">
        <v>84</v>
      </c>
      <c r="N195" t="s">
        <v>55</v>
      </c>
      <c r="O195" t="s">
        <v>45</v>
      </c>
    </row>
    <row r="196" spans="1:15" ht="13.8" x14ac:dyDescent="0.25">
      <c r="A196" t="s">
        <v>796</v>
      </c>
      <c r="B196" t="s">
        <v>797</v>
      </c>
      <c r="C196">
        <v>34</v>
      </c>
      <c r="D196" t="s">
        <v>17</v>
      </c>
      <c r="E196" t="s">
        <v>78</v>
      </c>
      <c r="F196" t="s">
        <v>165</v>
      </c>
      <c r="G196" t="s">
        <v>1239</v>
      </c>
      <c r="H196" s="1">
        <v>45736</v>
      </c>
      <c r="I196" s="1">
        <v>45739</v>
      </c>
      <c r="J196" t="s">
        <v>168</v>
      </c>
      <c r="K196" t="s">
        <v>169</v>
      </c>
      <c r="L196">
        <v>53213.08</v>
      </c>
      <c r="M196" t="s">
        <v>24</v>
      </c>
      <c r="N196" t="s">
        <v>74</v>
      </c>
      <c r="O196" t="s">
        <v>26</v>
      </c>
    </row>
    <row r="197" spans="1:15" ht="13.8" x14ac:dyDescent="0.25">
      <c r="A197" t="s">
        <v>798</v>
      </c>
      <c r="B197" t="s">
        <v>468</v>
      </c>
      <c r="C197">
        <v>45</v>
      </c>
      <c r="D197" t="s">
        <v>17</v>
      </c>
      <c r="E197" t="s">
        <v>18</v>
      </c>
      <c r="F197" t="s">
        <v>50</v>
      </c>
      <c r="G197" t="s">
        <v>1221</v>
      </c>
      <c r="H197" s="1">
        <v>45756</v>
      </c>
      <c r="I197" s="1">
        <v>45920</v>
      </c>
      <c r="J197" t="s">
        <v>1222</v>
      </c>
      <c r="K197" t="s">
        <v>53</v>
      </c>
      <c r="L197">
        <v>280669.32</v>
      </c>
      <c r="M197" t="s">
        <v>1219</v>
      </c>
      <c r="N197" t="s">
        <v>69</v>
      </c>
      <c r="O197" t="s">
        <v>26</v>
      </c>
    </row>
    <row r="198" spans="1:15" ht="13.8" x14ac:dyDescent="0.25">
      <c r="A198" t="s">
        <v>799</v>
      </c>
      <c r="B198" t="s">
        <v>428</v>
      </c>
      <c r="C198">
        <v>31</v>
      </c>
      <c r="D198" t="s">
        <v>17</v>
      </c>
      <c r="E198" t="s">
        <v>59</v>
      </c>
      <c r="F198" t="s">
        <v>165</v>
      </c>
      <c r="G198" t="s">
        <v>1242</v>
      </c>
      <c r="H198" s="1">
        <v>45751</v>
      </c>
      <c r="I198" s="1">
        <v>46014</v>
      </c>
      <c r="J198" t="s">
        <v>168</v>
      </c>
      <c r="K198" t="s">
        <v>169</v>
      </c>
      <c r="L198">
        <v>260700.39</v>
      </c>
      <c r="M198" t="s">
        <v>54</v>
      </c>
      <c r="N198" t="s">
        <v>25</v>
      </c>
      <c r="O198" t="s">
        <v>112</v>
      </c>
    </row>
    <row r="199" spans="1:15" ht="13.8" x14ac:dyDescent="0.25">
      <c r="A199" t="s">
        <v>800</v>
      </c>
      <c r="B199" t="s">
        <v>150</v>
      </c>
      <c r="C199">
        <v>31</v>
      </c>
      <c r="D199" t="s">
        <v>17</v>
      </c>
      <c r="E199" t="s">
        <v>155</v>
      </c>
      <c r="F199" t="s">
        <v>60</v>
      </c>
      <c r="G199" t="s">
        <v>1223</v>
      </c>
      <c r="H199" s="1">
        <v>45849</v>
      </c>
      <c r="I199" s="1">
        <v>46014</v>
      </c>
      <c r="J199" t="s">
        <v>1215</v>
      </c>
      <c r="K199" t="s">
        <v>1238</v>
      </c>
      <c r="L199">
        <v>270122.58</v>
      </c>
      <c r="M199" t="s">
        <v>54</v>
      </c>
      <c r="N199" t="s">
        <v>74</v>
      </c>
      <c r="O199" t="s">
        <v>26</v>
      </c>
    </row>
    <row r="200" spans="1:15" ht="13.8" x14ac:dyDescent="0.25">
      <c r="A200" t="s">
        <v>801</v>
      </c>
      <c r="B200" t="s">
        <v>802</v>
      </c>
      <c r="C200">
        <v>28</v>
      </c>
      <c r="D200" t="s">
        <v>17</v>
      </c>
      <c r="E200" t="s">
        <v>59</v>
      </c>
      <c r="F200" t="s">
        <v>103</v>
      </c>
      <c r="G200" t="s">
        <v>1245</v>
      </c>
      <c r="H200" s="1">
        <v>45712</v>
      </c>
      <c r="I200" s="1">
        <v>45726</v>
      </c>
      <c r="J200" t="s">
        <v>106</v>
      </c>
      <c r="K200" t="s">
        <v>110</v>
      </c>
      <c r="L200">
        <v>57284.61</v>
      </c>
      <c r="M200" t="s">
        <v>1225</v>
      </c>
      <c r="N200" t="s">
        <v>69</v>
      </c>
      <c r="O200" t="s">
        <v>36</v>
      </c>
    </row>
    <row r="201" spans="1:15" ht="13.8" x14ac:dyDescent="0.25">
      <c r="A201" t="s">
        <v>807</v>
      </c>
      <c r="B201" t="s">
        <v>746</v>
      </c>
      <c r="C201">
        <v>9</v>
      </c>
      <c r="D201" t="s">
        <v>58</v>
      </c>
      <c r="E201" t="s">
        <v>97</v>
      </c>
      <c r="F201" t="s">
        <v>19</v>
      </c>
      <c r="G201" t="s">
        <v>1235</v>
      </c>
      <c r="H201" s="1">
        <v>45882</v>
      </c>
      <c r="I201" s="1">
        <v>45890</v>
      </c>
      <c r="J201" t="s">
        <v>233</v>
      </c>
      <c r="K201" t="s">
        <v>234</v>
      </c>
      <c r="L201">
        <v>256236.26</v>
      </c>
      <c r="M201" t="s">
        <v>1219</v>
      </c>
      <c r="N201" t="s">
        <v>55</v>
      </c>
      <c r="O201" t="s">
        <v>112</v>
      </c>
    </row>
    <row r="202" spans="1:15" ht="13.8" x14ac:dyDescent="0.25">
      <c r="A202" t="s">
        <v>811</v>
      </c>
      <c r="B202" t="s">
        <v>812</v>
      </c>
      <c r="C202">
        <v>68</v>
      </c>
      <c r="D202" t="s">
        <v>58</v>
      </c>
      <c r="E202" t="s">
        <v>102</v>
      </c>
      <c r="F202" t="s">
        <v>50</v>
      </c>
      <c r="G202" t="s">
        <v>1254</v>
      </c>
      <c r="H202" s="1">
        <v>45720</v>
      </c>
      <c r="I202" s="1">
        <v>45733</v>
      </c>
      <c r="J202" t="s">
        <v>315</v>
      </c>
      <c r="K202" t="s">
        <v>204</v>
      </c>
      <c r="L202">
        <v>185996.43</v>
      </c>
      <c r="M202" t="s">
        <v>1225</v>
      </c>
      <c r="N202" t="s">
        <v>69</v>
      </c>
      <c r="O202" t="s">
        <v>1227</v>
      </c>
    </row>
    <row r="203" spans="1:15" ht="13.8" x14ac:dyDescent="0.25">
      <c r="A203" t="s">
        <v>813</v>
      </c>
      <c r="B203" t="s">
        <v>114</v>
      </c>
      <c r="C203">
        <v>21</v>
      </c>
      <c r="D203" t="s">
        <v>17</v>
      </c>
      <c r="E203" t="s">
        <v>39</v>
      </c>
      <c r="F203" t="s">
        <v>19</v>
      </c>
      <c r="G203" t="s">
        <v>1230</v>
      </c>
      <c r="H203" s="1">
        <v>45668</v>
      </c>
      <c r="I203" s="1">
        <v>45675</v>
      </c>
      <c r="J203" t="s">
        <v>151</v>
      </c>
      <c r="K203" t="s">
        <v>152</v>
      </c>
      <c r="L203" s="4">
        <v>215957.52</v>
      </c>
      <c r="M203" t="s">
        <v>24</v>
      </c>
      <c r="N203" t="s">
        <v>55</v>
      </c>
      <c r="O203" t="s">
        <v>1227</v>
      </c>
    </row>
    <row r="204" spans="1:15" ht="13.8" x14ac:dyDescent="0.25">
      <c r="A204" t="s">
        <v>815</v>
      </c>
      <c r="B204" t="s">
        <v>816</v>
      </c>
      <c r="C204">
        <v>85</v>
      </c>
      <c r="D204" t="s">
        <v>17</v>
      </c>
      <c r="E204" t="s">
        <v>97</v>
      </c>
      <c r="F204" t="s">
        <v>165</v>
      </c>
      <c r="G204" t="s">
        <v>1242</v>
      </c>
      <c r="H204" s="1">
        <v>45985</v>
      </c>
      <c r="I204" s="1">
        <v>45973</v>
      </c>
      <c r="J204" t="s">
        <v>222</v>
      </c>
      <c r="K204" t="s">
        <v>223</v>
      </c>
      <c r="L204">
        <v>222845.48</v>
      </c>
      <c r="M204" t="s">
        <v>24</v>
      </c>
      <c r="N204" t="s">
        <v>74</v>
      </c>
      <c r="O204" t="s">
        <v>1227</v>
      </c>
    </row>
    <row r="205" spans="1:15" ht="13.8" x14ac:dyDescent="0.25">
      <c r="A205" t="s">
        <v>817</v>
      </c>
      <c r="B205" t="s">
        <v>586</v>
      </c>
      <c r="C205">
        <v>53</v>
      </c>
      <c r="D205" t="s">
        <v>17</v>
      </c>
      <c r="E205" t="s">
        <v>39</v>
      </c>
      <c r="F205" t="s">
        <v>19</v>
      </c>
      <c r="G205" t="s">
        <v>1235</v>
      </c>
      <c r="H205" s="1">
        <v>46002</v>
      </c>
      <c r="I205" s="1">
        <v>46015</v>
      </c>
      <c r="J205" t="s">
        <v>366</v>
      </c>
      <c r="K205" t="s">
        <v>367</v>
      </c>
      <c r="L205">
        <v>263822.09000000003</v>
      </c>
      <c r="M205" t="s">
        <v>1225</v>
      </c>
      <c r="N205" t="s">
        <v>35</v>
      </c>
      <c r="O205" t="s">
        <v>112</v>
      </c>
    </row>
    <row r="206" spans="1:15" ht="13.8" x14ac:dyDescent="0.25">
      <c r="A206" t="s">
        <v>818</v>
      </c>
      <c r="B206" t="s">
        <v>545</v>
      </c>
      <c r="C206">
        <v>42</v>
      </c>
      <c r="D206" t="s">
        <v>58</v>
      </c>
      <c r="E206" t="s">
        <v>78</v>
      </c>
      <c r="F206" t="s">
        <v>19</v>
      </c>
      <c r="G206" t="s">
        <v>1235</v>
      </c>
      <c r="H206" s="1">
        <v>45845</v>
      </c>
      <c r="I206" s="1">
        <v>45847</v>
      </c>
      <c r="J206" t="s">
        <v>1215</v>
      </c>
      <c r="K206" t="s">
        <v>234</v>
      </c>
      <c r="L206">
        <v>104636.58</v>
      </c>
      <c r="M206" t="s">
        <v>1225</v>
      </c>
      <c r="N206" t="s">
        <v>69</v>
      </c>
      <c r="O206" t="s">
        <v>36</v>
      </c>
    </row>
    <row r="207" spans="1:15" ht="13.8" x14ac:dyDescent="0.25">
      <c r="A207" t="s">
        <v>819</v>
      </c>
      <c r="B207" t="s">
        <v>331</v>
      </c>
      <c r="C207">
        <v>43</v>
      </c>
      <c r="D207" t="s">
        <v>58</v>
      </c>
      <c r="E207" t="s">
        <v>1215</v>
      </c>
      <c r="F207" t="s">
        <v>40</v>
      </c>
      <c r="G207" t="s">
        <v>1228</v>
      </c>
      <c r="H207" s="1">
        <v>45889</v>
      </c>
      <c r="I207" s="1">
        <v>45893</v>
      </c>
      <c r="J207" t="s">
        <v>1218</v>
      </c>
      <c r="K207" t="s">
        <v>43</v>
      </c>
      <c r="L207" s="4">
        <v>28616.080000000002</v>
      </c>
      <c r="M207" t="s">
        <v>34</v>
      </c>
      <c r="N207" t="s">
        <v>74</v>
      </c>
      <c r="O207" t="s">
        <v>36</v>
      </c>
    </row>
    <row r="208" spans="1:15" ht="13.8" x14ac:dyDescent="0.25">
      <c r="A208" t="s">
        <v>822</v>
      </c>
      <c r="B208" t="s">
        <v>823</v>
      </c>
      <c r="C208">
        <v>65</v>
      </c>
      <c r="D208" t="s">
        <v>58</v>
      </c>
      <c r="E208" t="s">
        <v>97</v>
      </c>
      <c r="F208" t="s">
        <v>40</v>
      </c>
      <c r="G208" t="s">
        <v>1246</v>
      </c>
      <c r="H208" s="1">
        <v>45944</v>
      </c>
      <c r="I208" s="1">
        <v>45957</v>
      </c>
      <c r="J208" t="s">
        <v>93</v>
      </c>
      <c r="K208" t="s">
        <v>94</v>
      </c>
      <c r="L208" s="4">
        <v>213497.15</v>
      </c>
      <c r="M208" t="s">
        <v>1219</v>
      </c>
      <c r="N208" t="s">
        <v>35</v>
      </c>
      <c r="O208" t="s">
        <v>112</v>
      </c>
    </row>
    <row r="209" spans="1:15" ht="13.8" x14ac:dyDescent="0.25">
      <c r="A209" t="s">
        <v>825</v>
      </c>
      <c r="B209" t="s">
        <v>438</v>
      </c>
      <c r="C209">
        <v>59</v>
      </c>
      <c r="D209" t="s">
        <v>115</v>
      </c>
      <c r="E209" t="s">
        <v>72</v>
      </c>
      <c r="F209" t="s">
        <v>50</v>
      </c>
      <c r="G209" t="s">
        <v>1221</v>
      </c>
      <c r="H209" s="1">
        <v>45663</v>
      </c>
      <c r="I209" s="1">
        <v>45819</v>
      </c>
      <c r="J209" t="s">
        <v>315</v>
      </c>
      <c r="K209" t="s">
        <v>204</v>
      </c>
      <c r="L209">
        <v>40000</v>
      </c>
      <c r="M209" t="s">
        <v>84</v>
      </c>
      <c r="N209" t="s">
        <v>74</v>
      </c>
      <c r="O209" t="s">
        <v>112</v>
      </c>
    </row>
    <row r="210" spans="1:15" ht="13.8" x14ac:dyDescent="0.25">
      <c r="A210" t="s">
        <v>826</v>
      </c>
      <c r="B210" t="s">
        <v>1215</v>
      </c>
      <c r="C210">
        <v>999</v>
      </c>
      <c r="D210" t="s">
        <v>58</v>
      </c>
      <c r="E210" t="s">
        <v>102</v>
      </c>
      <c r="F210" t="s">
        <v>103</v>
      </c>
      <c r="G210" t="s">
        <v>1229</v>
      </c>
      <c r="H210" s="1">
        <v>45806</v>
      </c>
      <c r="I210" s="1">
        <v>46014</v>
      </c>
      <c r="J210" t="s">
        <v>249</v>
      </c>
      <c r="K210" t="s">
        <v>250</v>
      </c>
      <c r="L210">
        <v>300360.06</v>
      </c>
      <c r="M210" t="s">
        <v>1225</v>
      </c>
      <c r="N210" t="s">
        <v>25</v>
      </c>
      <c r="O210" t="s">
        <v>45</v>
      </c>
    </row>
    <row r="211" spans="1:15" ht="13.8" x14ac:dyDescent="0.25">
      <c r="A211" t="s">
        <v>828</v>
      </c>
      <c r="B211" t="s">
        <v>65</v>
      </c>
      <c r="C211">
        <v>8</v>
      </c>
      <c r="D211" t="s">
        <v>58</v>
      </c>
      <c r="E211" t="s">
        <v>72</v>
      </c>
      <c r="F211" t="s">
        <v>165</v>
      </c>
      <c r="G211" t="s">
        <v>1252</v>
      </c>
      <c r="H211" s="1">
        <v>45948</v>
      </c>
      <c r="I211" s="1">
        <v>46014</v>
      </c>
      <c r="J211" t="s">
        <v>222</v>
      </c>
      <c r="K211" t="s">
        <v>223</v>
      </c>
      <c r="L211">
        <v>125286.57</v>
      </c>
      <c r="M211" t="s">
        <v>1225</v>
      </c>
      <c r="N211" t="s">
        <v>69</v>
      </c>
      <c r="O211" t="s">
        <v>45</v>
      </c>
    </row>
    <row r="212" spans="1:15" ht="13.8" x14ac:dyDescent="0.25">
      <c r="A212" t="s">
        <v>831</v>
      </c>
      <c r="B212" t="s">
        <v>1268</v>
      </c>
      <c r="C212">
        <v>65</v>
      </c>
      <c r="D212" t="s">
        <v>58</v>
      </c>
      <c r="E212" t="s">
        <v>78</v>
      </c>
      <c r="F212" t="s">
        <v>1215</v>
      </c>
      <c r="G212" t="s">
        <v>1216</v>
      </c>
      <c r="H212" s="1">
        <v>45872</v>
      </c>
      <c r="I212" s="1">
        <v>46014</v>
      </c>
      <c r="J212" t="s">
        <v>88</v>
      </c>
      <c r="K212" t="s">
        <v>89</v>
      </c>
      <c r="L212">
        <v>-186594.85</v>
      </c>
      <c r="M212" t="s">
        <v>34</v>
      </c>
      <c r="N212" t="s">
        <v>55</v>
      </c>
      <c r="O212" t="s">
        <v>45</v>
      </c>
    </row>
    <row r="213" spans="1:15" ht="13.8" x14ac:dyDescent="0.25">
      <c r="A213" t="s">
        <v>833</v>
      </c>
      <c r="B213" t="s">
        <v>834</v>
      </c>
      <c r="C213">
        <v>53</v>
      </c>
      <c r="D213" t="s">
        <v>17</v>
      </c>
      <c r="E213" t="s">
        <v>72</v>
      </c>
      <c r="F213" t="s">
        <v>165</v>
      </c>
      <c r="G213" t="s">
        <v>1252</v>
      </c>
      <c r="H213" s="1">
        <v>45983</v>
      </c>
      <c r="I213" s="1">
        <v>45989</v>
      </c>
      <c r="J213" t="s">
        <v>222</v>
      </c>
      <c r="K213" t="s">
        <v>223</v>
      </c>
      <c r="L213">
        <v>150874.89000000001</v>
      </c>
      <c r="M213" t="s">
        <v>54</v>
      </c>
      <c r="N213" t="s">
        <v>74</v>
      </c>
      <c r="O213" t="s">
        <v>26</v>
      </c>
    </row>
    <row r="214" spans="1:15" ht="13.8" x14ac:dyDescent="0.25">
      <c r="A214" t="s">
        <v>835</v>
      </c>
      <c r="B214" t="s">
        <v>738</v>
      </c>
      <c r="C214">
        <v>16</v>
      </c>
      <c r="D214" t="s">
        <v>17</v>
      </c>
      <c r="E214" t="s">
        <v>72</v>
      </c>
      <c r="F214" t="s">
        <v>19</v>
      </c>
      <c r="G214" t="s">
        <v>1256</v>
      </c>
      <c r="H214" s="1">
        <v>45664</v>
      </c>
      <c r="I214" s="1">
        <v>45845</v>
      </c>
      <c r="J214" t="s">
        <v>366</v>
      </c>
      <c r="K214" t="s">
        <v>367</v>
      </c>
      <c r="L214">
        <v>161842.22</v>
      </c>
      <c r="M214" t="s">
        <v>162</v>
      </c>
      <c r="N214" t="s">
        <v>1237</v>
      </c>
      <c r="O214" t="s">
        <v>1227</v>
      </c>
    </row>
    <row r="215" spans="1:15" ht="13.8" x14ac:dyDescent="0.25">
      <c r="A215" t="s">
        <v>836</v>
      </c>
      <c r="B215" t="s">
        <v>837</v>
      </c>
      <c r="C215">
        <v>53</v>
      </c>
      <c r="D215" t="s">
        <v>58</v>
      </c>
      <c r="E215" t="s">
        <v>49</v>
      </c>
      <c r="F215" t="s">
        <v>165</v>
      </c>
      <c r="G215" t="s">
        <v>1239</v>
      </c>
      <c r="H215" s="1">
        <v>45842</v>
      </c>
      <c r="I215" s="1">
        <v>46014</v>
      </c>
      <c r="J215" t="s">
        <v>183</v>
      </c>
      <c r="K215" t="s">
        <v>184</v>
      </c>
      <c r="L215">
        <v>40000</v>
      </c>
      <c r="M215" t="s">
        <v>1247</v>
      </c>
      <c r="N215" t="s">
        <v>55</v>
      </c>
      <c r="O215" t="s">
        <v>45</v>
      </c>
    </row>
    <row r="216" spans="1:15" ht="13.8" x14ac:dyDescent="0.25">
      <c r="A216" t="s">
        <v>838</v>
      </c>
      <c r="B216" t="s">
        <v>1044</v>
      </c>
      <c r="C216">
        <v>3</v>
      </c>
      <c r="D216" t="s">
        <v>58</v>
      </c>
      <c r="E216" t="s">
        <v>1215</v>
      </c>
      <c r="F216" t="s">
        <v>30</v>
      </c>
      <c r="G216" t="s">
        <v>1251</v>
      </c>
      <c r="H216" s="1">
        <v>45668</v>
      </c>
      <c r="I216" s="1">
        <v>45678</v>
      </c>
      <c r="J216" t="s">
        <v>246</v>
      </c>
      <c r="K216" t="s">
        <v>1248</v>
      </c>
      <c r="L216">
        <v>208374.36</v>
      </c>
      <c r="M216" t="s">
        <v>1219</v>
      </c>
      <c r="N216" t="s">
        <v>35</v>
      </c>
      <c r="O216" t="s">
        <v>112</v>
      </c>
    </row>
    <row r="217" spans="1:15" ht="13.8" x14ac:dyDescent="0.25">
      <c r="A217" t="s">
        <v>840</v>
      </c>
      <c r="B217" t="s">
        <v>841</v>
      </c>
      <c r="C217">
        <v>66</v>
      </c>
      <c r="D217" t="s">
        <v>17</v>
      </c>
      <c r="E217" t="s">
        <v>155</v>
      </c>
      <c r="F217" t="s">
        <v>103</v>
      </c>
      <c r="G217" t="s">
        <v>1245</v>
      </c>
      <c r="H217" s="1">
        <v>45730</v>
      </c>
      <c r="I217" s="1">
        <v>45748</v>
      </c>
      <c r="J217" t="s">
        <v>106</v>
      </c>
      <c r="K217" t="s">
        <v>110</v>
      </c>
      <c r="L217">
        <v>76422.86</v>
      </c>
      <c r="M217" t="s">
        <v>84</v>
      </c>
      <c r="N217" t="s">
        <v>55</v>
      </c>
      <c r="O217" t="s">
        <v>36</v>
      </c>
    </row>
    <row r="218" spans="1:15" ht="13.8" x14ac:dyDescent="0.25">
      <c r="A218" t="s">
        <v>843</v>
      </c>
      <c r="B218" t="s">
        <v>215</v>
      </c>
      <c r="C218">
        <v>88</v>
      </c>
      <c r="D218" t="s">
        <v>17</v>
      </c>
      <c r="E218" t="s">
        <v>155</v>
      </c>
      <c r="F218" t="s">
        <v>30</v>
      </c>
      <c r="G218" t="s">
        <v>1233</v>
      </c>
      <c r="H218" s="1">
        <v>45870</v>
      </c>
      <c r="I218" s="1">
        <v>45873</v>
      </c>
      <c r="J218" t="s">
        <v>122</v>
      </c>
      <c r="K218" t="s">
        <v>1215</v>
      </c>
      <c r="L218">
        <v>215647.84</v>
      </c>
      <c r="M218" t="s">
        <v>24</v>
      </c>
      <c r="N218" t="s">
        <v>35</v>
      </c>
      <c r="O218" t="s">
        <v>36</v>
      </c>
    </row>
    <row r="219" spans="1:15" ht="13.8" x14ac:dyDescent="0.25">
      <c r="A219" t="s">
        <v>846</v>
      </c>
      <c r="B219" t="s">
        <v>691</v>
      </c>
      <c r="C219">
        <v>65</v>
      </c>
      <c r="D219" t="s">
        <v>58</v>
      </c>
      <c r="E219" t="s">
        <v>97</v>
      </c>
      <c r="F219" t="s">
        <v>165</v>
      </c>
      <c r="G219" t="s">
        <v>1242</v>
      </c>
      <c r="H219" s="1">
        <v>45674</v>
      </c>
      <c r="I219" s="1">
        <v>45679</v>
      </c>
      <c r="J219" t="s">
        <v>183</v>
      </c>
      <c r="K219" t="s">
        <v>184</v>
      </c>
      <c r="L219">
        <v>92369.02</v>
      </c>
      <c r="M219" t="s">
        <v>34</v>
      </c>
      <c r="N219" t="s">
        <v>35</v>
      </c>
      <c r="O219" t="s">
        <v>1227</v>
      </c>
    </row>
    <row r="220" spans="1:15" ht="13.8" x14ac:dyDescent="0.25">
      <c r="A220" t="s">
        <v>847</v>
      </c>
      <c r="B220" t="s">
        <v>691</v>
      </c>
      <c r="C220">
        <v>33</v>
      </c>
      <c r="D220" t="s">
        <v>58</v>
      </c>
      <c r="E220" t="s">
        <v>18</v>
      </c>
      <c r="F220" t="s">
        <v>50</v>
      </c>
      <c r="G220" t="s">
        <v>1254</v>
      </c>
      <c r="H220" s="1">
        <v>45750</v>
      </c>
      <c r="I220" s="1">
        <v>45873</v>
      </c>
      <c r="J220" t="s">
        <v>1222</v>
      </c>
      <c r="K220" t="s">
        <v>53</v>
      </c>
      <c r="L220" s="4">
        <v>273508.17</v>
      </c>
      <c r="M220" t="s">
        <v>24</v>
      </c>
      <c r="N220" t="s">
        <v>69</v>
      </c>
      <c r="O220" t="s">
        <v>36</v>
      </c>
    </row>
    <row r="221" spans="1:15" ht="13.8" x14ac:dyDescent="0.25">
      <c r="A221" t="s">
        <v>850</v>
      </c>
      <c r="B221" t="s">
        <v>851</v>
      </c>
      <c r="C221">
        <v>20</v>
      </c>
      <c r="D221" t="s">
        <v>58</v>
      </c>
      <c r="E221" t="s">
        <v>137</v>
      </c>
      <c r="F221" t="s">
        <v>60</v>
      </c>
      <c r="G221" t="s">
        <v>1255</v>
      </c>
      <c r="H221" s="1">
        <v>45757</v>
      </c>
      <c r="I221" s="1">
        <v>46014</v>
      </c>
      <c r="J221" t="s">
        <v>1215</v>
      </c>
      <c r="K221" t="s">
        <v>1224</v>
      </c>
      <c r="L221">
        <v>159154.76999999999</v>
      </c>
      <c r="M221" t="s">
        <v>118</v>
      </c>
      <c r="N221" t="s">
        <v>35</v>
      </c>
      <c r="O221" t="s">
        <v>45</v>
      </c>
    </row>
    <row r="222" spans="1:15" ht="13.8" x14ac:dyDescent="0.25">
      <c r="A222" t="s">
        <v>852</v>
      </c>
      <c r="B222" t="s">
        <v>434</v>
      </c>
      <c r="C222">
        <v>31</v>
      </c>
      <c r="D222" t="s">
        <v>58</v>
      </c>
      <c r="E222" t="s">
        <v>78</v>
      </c>
      <c r="F222" t="s">
        <v>19</v>
      </c>
      <c r="G222" t="s">
        <v>1256</v>
      </c>
      <c r="H222" s="1">
        <v>45830</v>
      </c>
      <c r="I222" s="1">
        <v>46014</v>
      </c>
      <c r="J222" t="s">
        <v>233</v>
      </c>
      <c r="K222" t="s">
        <v>234</v>
      </c>
      <c r="L222">
        <v>137168.85999999999</v>
      </c>
      <c r="M222" t="s">
        <v>1219</v>
      </c>
      <c r="N222" t="s">
        <v>35</v>
      </c>
      <c r="O222" t="s">
        <v>112</v>
      </c>
    </row>
    <row r="223" spans="1:15" ht="13.8" x14ac:dyDescent="0.25">
      <c r="A223" t="s">
        <v>853</v>
      </c>
      <c r="B223" t="s">
        <v>733</v>
      </c>
      <c r="C223">
        <v>88</v>
      </c>
      <c r="D223" t="s">
        <v>58</v>
      </c>
      <c r="E223" t="s">
        <v>137</v>
      </c>
      <c r="F223" t="s">
        <v>19</v>
      </c>
      <c r="G223" t="s">
        <v>1235</v>
      </c>
      <c r="H223" s="1">
        <v>45671</v>
      </c>
      <c r="I223" s="1">
        <v>45684</v>
      </c>
      <c r="J223" t="s">
        <v>233</v>
      </c>
      <c r="K223" t="s">
        <v>234</v>
      </c>
      <c r="L223">
        <v>99999999</v>
      </c>
      <c r="M223" t="s">
        <v>1225</v>
      </c>
      <c r="N223" t="s">
        <v>35</v>
      </c>
      <c r="O223" t="s">
        <v>26</v>
      </c>
    </row>
    <row r="224" spans="1:15" ht="13.8" x14ac:dyDescent="0.25">
      <c r="A224" t="s">
        <v>855</v>
      </c>
      <c r="B224" t="s">
        <v>622</v>
      </c>
      <c r="C224">
        <v>160</v>
      </c>
      <c r="D224" t="s">
        <v>17</v>
      </c>
      <c r="E224" t="s">
        <v>97</v>
      </c>
      <c r="F224" t="s">
        <v>40</v>
      </c>
      <c r="G224" t="s">
        <v>1246</v>
      </c>
      <c r="H224" s="1">
        <v>45699</v>
      </c>
      <c r="I224" s="1">
        <v>45713</v>
      </c>
      <c r="J224" t="s">
        <v>1218</v>
      </c>
      <c r="K224" t="s">
        <v>43</v>
      </c>
      <c r="L224">
        <v>-234724.28</v>
      </c>
      <c r="M224" t="s">
        <v>1225</v>
      </c>
      <c r="N224" t="s">
        <v>35</v>
      </c>
      <c r="O224" t="s">
        <v>112</v>
      </c>
    </row>
    <row r="225" spans="1:15" ht="13.8" x14ac:dyDescent="0.25">
      <c r="A225" t="s">
        <v>856</v>
      </c>
      <c r="B225" t="s">
        <v>164</v>
      </c>
      <c r="C225">
        <v>67</v>
      </c>
      <c r="D225" t="s">
        <v>58</v>
      </c>
      <c r="E225" t="s">
        <v>102</v>
      </c>
      <c r="F225" t="s">
        <v>165</v>
      </c>
      <c r="G225" t="s">
        <v>1239</v>
      </c>
      <c r="H225" s="1">
        <v>45744</v>
      </c>
      <c r="I225" s="1">
        <v>45750</v>
      </c>
      <c r="J225" t="s">
        <v>183</v>
      </c>
      <c r="K225" t="s">
        <v>184</v>
      </c>
      <c r="L225" s="4">
        <v>330025.55</v>
      </c>
      <c r="M225" t="s">
        <v>1225</v>
      </c>
      <c r="N225" t="s">
        <v>55</v>
      </c>
      <c r="O225" t="s">
        <v>112</v>
      </c>
    </row>
    <row r="226" spans="1:15" ht="13.8" x14ac:dyDescent="0.25">
      <c r="A226" t="s">
        <v>860</v>
      </c>
      <c r="B226" t="s">
        <v>861</v>
      </c>
      <c r="C226">
        <v>42</v>
      </c>
      <c r="D226" t="s">
        <v>58</v>
      </c>
      <c r="E226" t="s">
        <v>78</v>
      </c>
      <c r="F226" t="s">
        <v>1215</v>
      </c>
      <c r="G226" t="s">
        <v>1243</v>
      </c>
      <c r="H226" s="1">
        <v>45806</v>
      </c>
      <c r="I226" s="1">
        <v>45824</v>
      </c>
      <c r="J226" t="s">
        <v>315</v>
      </c>
      <c r="K226" t="s">
        <v>204</v>
      </c>
      <c r="L226">
        <v>121793.68</v>
      </c>
      <c r="M226" t="s">
        <v>1247</v>
      </c>
      <c r="N226" t="s">
        <v>69</v>
      </c>
      <c r="O226" t="s">
        <v>36</v>
      </c>
    </row>
    <row r="227" spans="1:15" ht="13.8" x14ac:dyDescent="0.25">
      <c r="A227" t="s">
        <v>864</v>
      </c>
      <c r="B227" t="s">
        <v>865</v>
      </c>
      <c r="C227">
        <v>76</v>
      </c>
      <c r="D227" t="s">
        <v>58</v>
      </c>
      <c r="E227" t="s">
        <v>137</v>
      </c>
      <c r="F227" t="s">
        <v>19</v>
      </c>
      <c r="G227" t="s">
        <v>1235</v>
      </c>
      <c r="H227" s="1">
        <v>45810</v>
      </c>
      <c r="I227" s="1">
        <v>45817</v>
      </c>
      <c r="J227" t="s">
        <v>233</v>
      </c>
      <c r="K227" t="s">
        <v>234</v>
      </c>
      <c r="L227">
        <v>35097.68</v>
      </c>
      <c r="M227" t="s">
        <v>1219</v>
      </c>
      <c r="N227" t="s">
        <v>35</v>
      </c>
      <c r="O227" t="s">
        <v>26</v>
      </c>
    </row>
    <row r="228" spans="1:15" ht="13.8" x14ac:dyDescent="0.25">
      <c r="A228" t="s">
        <v>866</v>
      </c>
      <c r="B228" t="s">
        <v>733</v>
      </c>
      <c r="C228">
        <v>39</v>
      </c>
      <c r="D228" t="s">
        <v>58</v>
      </c>
      <c r="E228" t="s">
        <v>49</v>
      </c>
      <c r="F228" t="s">
        <v>40</v>
      </c>
      <c r="G228" t="s">
        <v>1228</v>
      </c>
      <c r="H228" s="1">
        <v>45788</v>
      </c>
      <c r="I228" s="1">
        <v>45794</v>
      </c>
      <c r="J228" t="s">
        <v>93</v>
      </c>
      <c r="K228" t="s">
        <v>94</v>
      </c>
      <c r="L228" s="4">
        <v>138020.31</v>
      </c>
      <c r="M228" t="s">
        <v>84</v>
      </c>
      <c r="N228" t="s">
        <v>74</v>
      </c>
      <c r="O228" t="s">
        <v>112</v>
      </c>
    </row>
    <row r="229" spans="1:15" ht="13.8" x14ac:dyDescent="0.25">
      <c r="A229" t="s">
        <v>869</v>
      </c>
      <c r="B229" t="s">
        <v>870</v>
      </c>
      <c r="C229">
        <v>45</v>
      </c>
      <c r="D229" t="s">
        <v>58</v>
      </c>
      <c r="E229" t="s">
        <v>155</v>
      </c>
      <c r="F229" t="s">
        <v>30</v>
      </c>
      <c r="G229" t="s">
        <v>1251</v>
      </c>
      <c r="H229" s="1">
        <v>45932</v>
      </c>
      <c r="I229" s="1">
        <v>45948</v>
      </c>
      <c r="J229" t="s">
        <v>32</v>
      </c>
      <c r="K229" t="s">
        <v>33</v>
      </c>
      <c r="L229">
        <v>346942.33</v>
      </c>
      <c r="M229" t="s">
        <v>1247</v>
      </c>
      <c r="N229" t="s">
        <v>74</v>
      </c>
      <c r="O229" t="s">
        <v>1227</v>
      </c>
    </row>
    <row r="230" spans="1:15" ht="13.8" x14ac:dyDescent="0.25">
      <c r="A230" t="s">
        <v>871</v>
      </c>
      <c r="B230" t="s">
        <v>1215</v>
      </c>
      <c r="C230">
        <v>75</v>
      </c>
      <c r="D230" t="s">
        <v>17</v>
      </c>
      <c r="E230" t="s">
        <v>39</v>
      </c>
      <c r="F230" t="s">
        <v>103</v>
      </c>
      <c r="G230" t="s">
        <v>1245</v>
      </c>
      <c r="H230" s="1">
        <v>45814</v>
      </c>
      <c r="I230" s="1">
        <v>45810</v>
      </c>
      <c r="J230" t="s">
        <v>219</v>
      </c>
      <c r="K230" t="s">
        <v>140</v>
      </c>
      <c r="L230">
        <v>-91922.240000000005</v>
      </c>
      <c r="M230" t="s">
        <v>1219</v>
      </c>
      <c r="N230" t="s">
        <v>35</v>
      </c>
      <c r="O230" t="s">
        <v>112</v>
      </c>
    </row>
    <row r="231" spans="1:15" ht="13.8" x14ac:dyDescent="0.25">
      <c r="A231" t="s">
        <v>872</v>
      </c>
      <c r="B231" t="s">
        <v>709</v>
      </c>
      <c r="C231">
        <v>48</v>
      </c>
      <c r="D231" t="s">
        <v>17</v>
      </c>
      <c r="E231" t="s">
        <v>39</v>
      </c>
      <c r="F231" t="s">
        <v>50</v>
      </c>
      <c r="G231" t="s">
        <v>1254</v>
      </c>
      <c r="H231" s="1">
        <v>45953</v>
      </c>
      <c r="I231" s="1">
        <v>45965</v>
      </c>
      <c r="J231" t="s">
        <v>191</v>
      </c>
      <c r="K231" t="s">
        <v>1244</v>
      </c>
      <c r="L231">
        <v>40000</v>
      </c>
      <c r="M231" t="s">
        <v>1219</v>
      </c>
      <c r="N231" t="s">
        <v>25</v>
      </c>
      <c r="O231" t="s">
        <v>36</v>
      </c>
    </row>
    <row r="232" spans="1:15" ht="13.8" x14ac:dyDescent="0.25">
      <c r="A232" t="s">
        <v>878</v>
      </c>
      <c r="B232" t="s">
        <v>394</v>
      </c>
      <c r="C232">
        <v>72</v>
      </c>
      <c r="D232" t="s">
        <v>58</v>
      </c>
      <c r="E232" t="s">
        <v>155</v>
      </c>
      <c r="F232" t="s">
        <v>103</v>
      </c>
      <c r="G232" t="s">
        <v>1236</v>
      </c>
      <c r="H232" s="1">
        <v>45719</v>
      </c>
      <c r="I232" s="1">
        <v>46014</v>
      </c>
      <c r="J232" t="s">
        <v>294</v>
      </c>
      <c r="K232" t="s">
        <v>1260</v>
      </c>
      <c r="L232">
        <v>342444.11</v>
      </c>
      <c r="M232" t="s">
        <v>34</v>
      </c>
      <c r="N232" t="s">
        <v>55</v>
      </c>
      <c r="O232" t="s">
        <v>45</v>
      </c>
    </row>
    <row r="233" spans="1:15" ht="13.8" x14ac:dyDescent="0.25">
      <c r="A233" t="s">
        <v>882</v>
      </c>
      <c r="B233" t="s">
        <v>883</v>
      </c>
      <c r="C233">
        <v>18</v>
      </c>
      <c r="D233" t="s">
        <v>58</v>
      </c>
      <c r="E233" t="s">
        <v>18</v>
      </c>
      <c r="F233" t="s">
        <v>50</v>
      </c>
      <c r="G233" t="s">
        <v>1254</v>
      </c>
      <c r="H233" s="1">
        <v>45969</v>
      </c>
      <c r="I233" s="1">
        <v>46014</v>
      </c>
      <c r="J233" t="s">
        <v>191</v>
      </c>
      <c r="K233" t="s">
        <v>1244</v>
      </c>
      <c r="L233">
        <v>269352.28000000003</v>
      </c>
      <c r="M233" t="s">
        <v>118</v>
      </c>
      <c r="N233" t="s">
        <v>35</v>
      </c>
      <c r="O233" t="s">
        <v>45</v>
      </c>
    </row>
    <row r="234" spans="1:15" ht="13.8" x14ac:dyDescent="0.25">
      <c r="A234" t="s">
        <v>884</v>
      </c>
      <c r="B234" t="s">
        <v>425</v>
      </c>
      <c r="C234">
        <v>73</v>
      </c>
      <c r="D234" t="s">
        <v>17</v>
      </c>
      <c r="E234" t="s">
        <v>72</v>
      </c>
      <c r="F234" t="s">
        <v>30</v>
      </c>
      <c r="G234" t="s">
        <v>1216</v>
      </c>
      <c r="H234" s="1">
        <v>45818</v>
      </c>
      <c r="I234" s="1">
        <v>45836</v>
      </c>
      <c r="J234" t="s">
        <v>122</v>
      </c>
      <c r="K234" t="s">
        <v>123</v>
      </c>
      <c r="L234" s="4">
        <v>197586.65</v>
      </c>
      <c r="M234" t="s">
        <v>1219</v>
      </c>
      <c r="N234" t="s">
        <v>74</v>
      </c>
      <c r="O234" t="s">
        <v>26</v>
      </c>
    </row>
    <row r="235" spans="1:15" ht="13.8" x14ac:dyDescent="0.25">
      <c r="A235" t="s">
        <v>887</v>
      </c>
      <c r="B235" t="s">
        <v>851</v>
      </c>
      <c r="C235">
        <v>5</v>
      </c>
      <c r="D235" t="s">
        <v>58</v>
      </c>
      <c r="E235" t="s">
        <v>59</v>
      </c>
      <c r="F235" t="s">
        <v>19</v>
      </c>
      <c r="G235" t="s">
        <v>1226</v>
      </c>
      <c r="H235" s="1">
        <v>45840</v>
      </c>
      <c r="I235" s="1">
        <v>45843</v>
      </c>
      <c r="J235" t="s">
        <v>366</v>
      </c>
      <c r="K235" t="s">
        <v>367</v>
      </c>
      <c r="L235">
        <v>87118.18</v>
      </c>
      <c r="M235" t="s">
        <v>84</v>
      </c>
      <c r="N235" t="s">
        <v>25</v>
      </c>
      <c r="O235" t="s">
        <v>1227</v>
      </c>
    </row>
    <row r="236" spans="1:15" ht="13.8" x14ac:dyDescent="0.25">
      <c r="A236" t="s">
        <v>889</v>
      </c>
      <c r="B236" t="s">
        <v>890</v>
      </c>
      <c r="C236">
        <v>6</v>
      </c>
      <c r="D236" t="s">
        <v>58</v>
      </c>
      <c r="E236" t="s">
        <v>102</v>
      </c>
      <c r="F236" t="s">
        <v>103</v>
      </c>
      <c r="G236" t="s">
        <v>1229</v>
      </c>
      <c r="H236" s="1">
        <v>45969</v>
      </c>
      <c r="I236" s="1">
        <v>45975</v>
      </c>
      <c r="J236" t="s">
        <v>294</v>
      </c>
      <c r="K236" t="s">
        <v>1260</v>
      </c>
      <c r="L236">
        <v>173699.35</v>
      </c>
      <c r="M236" t="s">
        <v>54</v>
      </c>
      <c r="N236" t="s">
        <v>25</v>
      </c>
      <c r="O236" t="s">
        <v>26</v>
      </c>
    </row>
    <row r="237" spans="1:15" ht="13.8" x14ac:dyDescent="0.25">
      <c r="A237" t="s">
        <v>893</v>
      </c>
      <c r="B237" t="s">
        <v>894</v>
      </c>
      <c r="C237">
        <v>70</v>
      </c>
      <c r="D237" t="s">
        <v>58</v>
      </c>
      <c r="E237" t="s">
        <v>789</v>
      </c>
      <c r="F237" t="s">
        <v>165</v>
      </c>
      <c r="G237" t="s">
        <v>1242</v>
      </c>
      <c r="H237" s="1">
        <v>45997</v>
      </c>
      <c r="I237" s="1">
        <v>45823</v>
      </c>
      <c r="J237" t="s">
        <v>222</v>
      </c>
      <c r="K237" t="s">
        <v>223</v>
      </c>
      <c r="L237">
        <v>183816.01</v>
      </c>
      <c r="M237" t="s">
        <v>118</v>
      </c>
      <c r="N237" t="s">
        <v>35</v>
      </c>
      <c r="O237" t="s">
        <v>36</v>
      </c>
    </row>
    <row r="238" spans="1:15" ht="13.8" x14ac:dyDescent="0.25">
      <c r="A238" t="s">
        <v>895</v>
      </c>
      <c r="B238" t="s">
        <v>870</v>
      </c>
      <c r="C238">
        <v>13</v>
      </c>
      <c r="D238" t="s">
        <v>58</v>
      </c>
      <c r="E238" t="s">
        <v>137</v>
      </c>
      <c r="F238" t="s">
        <v>60</v>
      </c>
      <c r="G238" t="s">
        <v>1223</v>
      </c>
      <c r="H238" s="1">
        <v>45881</v>
      </c>
      <c r="I238" s="1">
        <v>45890</v>
      </c>
      <c r="J238" t="s">
        <v>62</v>
      </c>
      <c r="K238" t="s">
        <v>1224</v>
      </c>
      <c r="L238">
        <v>43425.63</v>
      </c>
      <c r="M238" t="s">
        <v>24</v>
      </c>
      <c r="N238" t="s">
        <v>35</v>
      </c>
      <c r="O238" t="s">
        <v>26</v>
      </c>
    </row>
    <row r="239" spans="1:15" ht="13.8" x14ac:dyDescent="0.25">
      <c r="A239" t="s">
        <v>896</v>
      </c>
      <c r="B239" t="s">
        <v>897</v>
      </c>
      <c r="C239">
        <v>49</v>
      </c>
      <c r="D239" t="s">
        <v>58</v>
      </c>
      <c r="E239" t="s">
        <v>102</v>
      </c>
      <c r="F239" t="s">
        <v>40</v>
      </c>
      <c r="G239" t="s">
        <v>1228</v>
      </c>
      <c r="H239" s="1">
        <v>45819</v>
      </c>
      <c r="I239" s="1">
        <v>45980</v>
      </c>
      <c r="J239" t="s">
        <v>116</v>
      </c>
      <c r="K239" t="s">
        <v>1231</v>
      </c>
      <c r="L239">
        <v>40000</v>
      </c>
      <c r="M239" t="s">
        <v>84</v>
      </c>
      <c r="N239" t="s">
        <v>35</v>
      </c>
      <c r="O239" t="s">
        <v>112</v>
      </c>
    </row>
    <row r="240" spans="1:15" ht="13.8" x14ac:dyDescent="0.25">
      <c r="A240" t="s">
        <v>900</v>
      </c>
      <c r="B240" t="s">
        <v>901</v>
      </c>
      <c r="C240">
        <v>73</v>
      </c>
      <c r="D240" t="s">
        <v>17</v>
      </c>
      <c r="E240" t="s">
        <v>59</v>
      </c>
      <c r="F240" t="s">
        <v>50</v>
      </c>
      <c r="G240" t="s">
        <v>1221</v>
      </c>
      <c r="H240" s="1">
        <v>45963</v>
      </c>
      <c r="I240" s="1">
        <v>45700</v>
      </c>
      <c r="J240" t="s">
        <v>191</v>
      </c>
      <c r="K240" t="s">
        <v>1244</v>
      </c>
      <c r="L240">
        <v>270260.96999999997</v>
      </c>
      <c r="M240" t="s">
        <v>1247</v>
      </c>
      <c r="N240" t="s">
        <v>1215</v>
      </c>
      <c r="O240" t="s">
        <v>112</v>
      </c>
    </row>
    <row r="241" spans="1:15" ht="13.8" x14ac:dyDescent="0.25">
      <c r="A241" t="s">
        <v>902</v>
      </c>
      <c r="B241" t="s">
        <v>897</v>
      </c>
      <c r="C241">
        <v>85</v>
      </c>
      <c r="D241" t="s">
        <v>58</v>
      </c>
      <c r="E241" t="s">
        <v>78</v>
      </c>
      <c r="F241" t="s">
        <v>30</v>
      </c>
      <c r="G241" t="s">
        <v>1251</v>
      </c>
      <c r="H241" s="1">
        <v>45688</v>
      </c>
      <c r="I241" s="1">
        <v>45932</v>
      </c>
      <c r="J241" t="s">
        <v>246</v>
      </c>
      <c r="K241" t="s">
        <v>1248</v>
      </c>
      <c r="L241">
        <v>292075.46000000002</v>
      </c>
      <c r="M241" t="s">
        <v>162</v>
      </c>
      <c r="N241" t="s">
        <v>69</v>
      </c>
      <c r="O241" t="s">
        <v>1227</v>
      </c>
    </row>
    <row r="242" spans="1:15" ht="13.8" x14ac:dyDescent="0.25">
      <c r="A242" t="s">
        <v>905</v>
      </c>
      <c r="B242" t="s">
        <v>906</v>
      </c>
      <c r="C242">
        <v>58</v>
      </c>
      <c r="D242" t="s">
        <v>17</v>
      </c>
      <c r="E242" t="s">
        <v>72</v>
      </c>
      <c r="F242" t="s">
        <v>103</v>
      </c>
      <c r="G242" t="s">
        <v>1236</v>
      </c>
      <c r="H242" s="1">
        <v>45925</v>
      </c>
      <c r="I242" s="1">
        <v>45928</v>
      </c>
      <c r="J242" t="s">
        <v>249</v>
      </c>
      <c r="K242" t="s">
        <v>250</v>
      </c>
      <c r="L242">
        <v>272662.94</v>
      </c>
      <c r="M242" t="s">
        <v>118</v>
      </c>
      <c r="N242" t="s">
        <v>35</v>
      </c>
      <c r="O242" t="s">
        <v>1227</v>
      </c>
    </row>
    <row r="243" spans="1:15" ht="13.8" x14ac:dyDescent="0.25">
      <c r="A243" t="s">
        <v>910</v>
      </c>
      <c r="B243" t="s">
        <v>47</v>
      </c>
      <c r="C243">
        <v>23</v>
      </c>
      <c r="D243" t="s">
        <v>58</v>
      </c>
      <c r="E243" t="s">
        <v>78</v>
      </c>
      <c r="F243" t="s">
        <v>30</v>
      </c>
      <c r="G243" t="s">
        <v>1216</v>
      </c>
      <c r="H243" s="1">
        <v>45680</v>
      </c>
      <c r="I243" s="1">
        <v>45693</v>
      </c>
      <c r="J243" t="s">
        <v>88</v>
      </c>
      <c r="K243" t="s">
        <v>89</v>
      </c>
      <c r="L243">
        <v>73899.320000000007</v>
      </c>
      <c r="M243" t="s">
        <v>34</v>
      </c>
      <c r="N243" t="s">
        <v>55</v>
      </c>
      <c r="O243" t="s">
        <v>112</v>
      </c>
    </row>
    <row r="244" spans="1:15" ht="13.8" x14ac:dyDescent="0.25">
      <c r="A244" t="s">
        <v>913</v>
      </c>
      <c r="B244" t="s">
        <v>914</v>
      </c>
      <c r="C244">
        <v>13</v>
      </c>
      <c r="D244" t="s">
        <v>58</v>
      </c>
      <c r="E244" t="s">
        <v>155</v>
      </c>
      <c r="F244" t="s">
        <v>30</v>
      </c>
      <c r="G244" t="s">
        <v>1216</v>
      </c>
      <c r="H244" s="1">
        <v>45912</v>
      </c>
      <c r="I244" s="1">
        <v>45919</v>
      </c>
      <c r="J244" t="s">
        <v>32</v>
      </c>
      <c r="K244" t="s">
        <v>33</v>
      </c>
      <c r="L244">
        <v>260952.41</v>
      </c>
      <c r="M244" t="s">
        <v>84</v>
      </c>
      <c r="N244" t="s">
        <v>74</v>
      </c>
      <c r="O244" t="s">
        <v>26</v>
      </c>
    </row>
    <row r="245" spans="1:15" ht="13.8" x14ac:dyDescent="0.25">
      <c r="A245" t="s">
        <v>917</v>
      </c>
      <c r="B245" t="s">
        <v>365</v>
      </c>
      <c r="C245">
        <v>160</v>
      </c>
      <c r="D245" t="s">
        <v>58</v>
      </c>
      <c r="E245" t="s">
        <v>39</v>
      </c>
      <c r="F245" t="s">
        <v>165</v>
      </c>
      <c r="G245" t="s">
        <v>1239</v>
      </c>
      <c r="H245" s="1">
        <v>45838</v>
      </c>
      <c r="I245" s="1">
        <v>45846</v>
      </c>
      <c r="J245" t="s">
        <v>1215</v>
      </c>
      <c r="K245" t="s">
        <v>184</v>
      </c>
      <c r="L245">
        <v>14889.03</v>
      </c>
      <c r="M245" t="s">
        <v>24</v>
      </c>
      <c r="N245" t="s">
        <v>25</v>
      </c>
      <c r="O245" t="s">
        <v>112</v>
      </c>
    </row>
    <row r="246" spans="1:15" ht="13.8" x14ac:dyDescent="0.25">
      <c r="A246" t="s">
        <v>922</v>
      </c>
      <c r="B246" t="s">
        <v>601</v>
      </c>
      <c r="C246">
        <v>58</v>
      </c>
      <c r="D246" t="s">
        <v>17</v>
      </c>
      <c r="E246" t="s">
        <v>59</v>
      </c>
      <c r="F246" t="s">
        <v>19</v>
      </c>
      <c r="G246" t="s">
        <v>1230</v>
      </c>
      <c r="H246" s="1">
        <v>45718</v>
      </c>
      <c r="I246" s="1">
        <v>45732</v>
      </c>
      <c r="J246" t="s">
        <v>22</v>
      </c>
      <c r="K246" t="s">
        <v>23</v>
      </c>
      <c r="L246">
        <v>27887.8</v>
      </c>
      <c r="M246" t="s">
        <v>34</v>
      </c>
      <c r="N246" t="s">
        <v>35</v>
      </c>
      <c r="O246" t="s">
        <v>1227</v>
      </c>
    </row>
    <row r="247" spans="1:15" ht="13.8" x14ac:dyDescent="0.25">
      <c r="A247" t="s">
        <v>923</v>
      </c>
      <c r="B247" t="s">
        <v>830</v>
      </c>
      <c r="C247">
        <v>75</v>
      </c>
      <c r="D247" t="s">
        <v>17</v>
      </c>
      <c r="E247" t="s">
        <v>18</v>
      </c>
      <c r="F247" t="s">
        <v>165</v>
      </c>
      <c r="G247" t="s">
        <v>1239</v>
      </c>
      <c r="H247" s="1">
        <v>46001</v>
      </c>
      <c r="I247" s="1">
        <v>46015</v>
      </c>
      <c r="J247" t="s">
        <v>168</v>
      </c>
      <c r="K247" t="s">
        <v>169</v>
      </c>
      <c r="L247">
        <v>207167.51</v>
      </c>
      <c r="M247" t="s">
        <v>118</v>
      </c>
      <c r="N247" t="s">
        <v>69</v>
      </c>
      <c r="O247" t="s">
        <v>1227</v>
      </c>
    </row>
    <row r="248" spans="1:15" ht="13.8" x14ac:dyDescent="0.25">
      <c r="A248" t="s">
        <v>925</v>
      </c>
      <c r="B248" t="s">
        <v>625</v>
      </c>
      <c r="C248">
        <v>30</v>
      </c>
      <c r="D248" t="s">
        <v>17</v>
      </c>
      <c r="E248" t="s">
        <v>78</v>
      </c>
      <c r="F248" t="s">
        <v>165</v>
      </c>
      <c r="G248" t="s">
        <v>1239</v>
      </c>
      <c r="H248" s="1">
        <v>45815</v>
      </c>
      <c r="I248" s="1">
        <v>45846</v>
      </c>
      <c r="J248" t="s">
        <v>183</v>
      </c>
      <c r="K248" t="s">
        <v>184</v>
      </c>
      <c r="L248">
        <v>160039.89000000001</v>
      </c>
      <c r="M248" t="s">
        <v>54</v>
      </c>
      <c r="N248" t="s">
        <v>69</v>
      </c>
      <c r="O248" t="s">
        <v>36</v>
      </c>
    </row>
    <row r="249" spans="1:15" ht="13.8" x14ac:dyDescent="0.25">
      <c r="A249" t="s">
        <v>926</v>
      </c>
      <c r="B249" t="s">
        <v>927</v>
      </c>
      <c r="C249">
        <v>76</v>
      </c>
      <c r="D249" t="s">
        <v>17</v>
      </c>
      <c r="E249" t="s">
        <v>1215</v>
      </c>
      <c r="F249" t="s">
        <v>19</v>
      </c>
      <c r="G249" t="s">
        <v>1256</v>
      </c>
      <c r="H249" s="1">
        <v>45855</v>
      </c>
      <c r="I249" s="1">
        <v>46014</v>
      </c>
      <c r="J249" t="s">
        <v>151</v>
      </c>
      <c r="K249" t="s">
        <v>152</v>
      </c>
      <c r="L249">
        <v>333754.68</v>
      </c>
      <c r="M249" t="s">
        <v>54</v>
      </c>
      <c r="N249" t="s">
        <v>25</v>
      </c>
      <c r="O249" t="s">
        <v>45</v>
      </c>
    </row>
    <row r="250" spans="1:15" ht="13.8" x14ac:dyDescent="0.25">
      <c r="A250" t="s">
        <v>1269</v>
      </c>
      <c r="B250" t="s">
        <v>928</v>
      </c>
      <c r="C250">
        <v>18</v>
      </c>
      <c r="D250" t="s">
        <v>58</v>
      </c>
      <c r="E250" t="s">
        <v>39</v>
      </c>
      <c r="F250" t="s">
        <v>165</v>
      </c>
      <c r="G250" t="s">
        <v>1242</v>
      </c>
      <c r="H250" s="1">
        <v>45967</v>
      </c>
      <c r="I250" s="1">
        <v>46014</v>
      </c>
      <c r="J250" t="s">
        <v>183</v>
      </c>
      <c r="K250" t="s">
        <v>184</v>
      </c>
      <c r="L250">
        <v>65658.62</v>
      </c>
      <c r="M250" t="s">
        <v>24</v>
      </c>
      <c r="N250" t="s">
        <v>35</v>
      </c>
      <c r="O250" t="s">
        <v>45</v>
      </c>
    </row>
    <row r="251" spans="1:15" ht="13.8" x14ac:dyDescent="0.25">
      <c r="A251" t="s">
        <v>929</v>
      </c>
      <c r="B251" t="s">
        <v>533</v>
      </c>
      <c r="C251">
        <v>47</v>
      </c>
      <c r="D251" t="s">
        <v>17</v>
      </c>
      <c r="E251" t="s">
        <v>78</v>
      </c>
      <c r="F251" t="s">
        <v>19</v>
      </c>
      <c r="G251" t="s">
        <v>1235</v>
      </c>
      <c r="H251" s="1">
        <v>45759</v>
      </c>
      <c r="I251" s="1">
        <v>46014</v>
      </c>
      <c r="J251" t="s">
        <v>151</v>
      </c>
      <c r="K251" t="s">
        <v>152</v>
      </c>
      <c r="L251" s="4">
        <v>100093.93</v>
      </c>
      <c r="M251" t="s">
        <v>1219</v>
      </c>
      <c r="N251" t="s">
        <v>55</v>
      </c>
      <c r="O251" t="s">
        <v>1227</v>
      </c>
    </row>
    <row r="252" spans="1:15" ht="13.8" x14ac:dyDescent="0.25">
      <c r="A252" t="s">
        <v>932</v>
      </c>
      <c r="B252" t="s">
        <v>530</v>
      </c>
      <c r="C252">
        <v>19</v>
      </c>
      <c r="D252" t="s">
        <v>58</v>
      </c>
      <c r="E252" t="s">
        <v>18</v>
      </c>
      <c r="F252" t="s">
        <v>103</v>
      </c>
      <c r="G252" t="s">
        <v>1236</v>
      </c>
      <c r="H252" s="1">
        <v>45934</v>
      </c>
      <c r="I252" s="1">
        <v>45764</v>
      </c>
      <c r="J252" t="s">
        <v>294</v>
      </c>
      <c r="K252" t="s">
        <v>1260</v>
      </c>
      <c r="L252">
        <v>251416.32000000001</v>
      </c>
      <c r="M252" t="s">
        <v>1225</v>
      </c>
      <c r="N252" t="s">
        <v>35</v>
      </c>
      <c r="O252" t="s">
        <v>26</v>
      </c>
    </row>
    <row r="253" spans="1:15" ht="13.8" x14ac:dyDescent="0.25">
      <c r="A253" t="s">
        <v>934</v>
      </c>
      <c r="B253" t="s">
        <v>547</v>
      </c>
      <c r="C253">
        <v>7</v>
      </c>
      <c r="D253" t="s">
        <v>58</v>
      </c>
      <c r="E253" t="s">
        <v>72</v>
      </c>
      <c r="F253" t="s">
        <v>40</v>
      </c>
      <c r="G253" t="s">
        <v>1228</v>
      </c>
      <c r="H253" s="1">
        <v>45818</v>
      </c>
      <c r="I253" s="1">
        <v>45835</v>
      </c>
      <c r="J253" t="s">
        <v>1218</v>
      </c>
      <c r="K253" t="s">
        <v>43</v>
      </c>
      <c r="L253">
        <v>267165.83</v>
      </c>
      <c r="M253" t="s">
        <v>34</v>
      </c>
      <c r="N253" t="s">
        <v>25</v>
      </c>
      <c r="O253" t="s">
        <v>36</v>
      </c>
    </row>
    <row r="254" spans="1:15" ht="13.8" x14ac:dyDescent="0.25">
      <c r="A254" t="s">
        <v>936</v>
      </c>
      <c r="B254" t="s">
        <v>709</v>
      </c>
      <c r="C254">
        <v>62</v>
      </c>
      <c r="D254" t="s">
        <v>17</v>
      </c>
      <c r="E254" t="s">
        <v>18</v>
      </c>
      <c r="F254" t="s">
        <v>19</v>
      </c>
      <c r="G254" t="s">
        <v>1235</v>
      </c>
      <c r="H254" s="1">
        <v>45909</v>
      </c>
      <c r="I254" s="1">
        <v>45923</v>
      </c>
      <c r="J254" t="s">
        <v>366</v>
      </c>
      <c r="K254" t="s">
        <v>367</v>
      </c>
      <c r="L254">
        <v>288098.34000000003</v>
      </c>
      <c r="M254" t="s">
        <v>54</v>
      </c>
      <c r="N254" t="s">
        <v>74</v>
      </c>
      <c r="O254" t="s">
        <v>26</v>
      </c>
    </row>
    <row r="255" spans="1:15" ht="13.8" x14ac:dyDescent="0.25">
      <c r="A255" t="s">
        <v>945</v>
      </c>
      <c r="B255" t="s">
        <v>906</v>
      </c>
      <c r="C255">
        <v>70</v>
      </c>
      <c r="D255" t="s">
        <v>17</v>
      </c>
      <c r="E255" t="s">
        <v>39</v>
      </c>
      <c r="F255" t="s">
        <v>165</v>
      </c>
      <c r="G255" t="s">
        <v>1239</v>
      </c>
      <c r="H255" s="1">
        <v>45704</v>
      </c>
      <c r="I255" s="1">
        <v>45710</v>
      </c>
      <c r="J255" t="s">
        <v>222</v>
      </c>
      <c r="K255" t="s">
        <v>223</v>
      </c>
      <c r="L255">
        <v>28856.82</v>
      </c>
      <c r="M255" t="s">
        <v>84</v>
      </c>
      <c r="N255" t="s">
        <v>25</v>
      </c>
      <c r="O255" t="s">
        <v>36</v>
      </c>
    </row>
    <row r="256" spans="1:15" ht="13.8" x14ac:dyDescent="0.25">
      <c r="A256" t="s">
        <v>951</v>
      </c>
      <c r="B256" t="s">
        <v>28</v>
      </c>
      <c r="C256">
        <v>60</v>
      </c>
      <c r="D256" t="s">
        <v>58</v>
      </c>
      <c r="E256" t="s">
        <v>72</v>
      </c>
      <c r="F256" t="s">
        <v>103</v>
      </c>
      <c r="G256" t="s">
        <v>1229</v>
      </c>
      <c r="H256" s="1">
        <v>45790</v>
      </c>
      <c r="I256" s="1">
        <v>46014</v>
      </c>
      <c r="J256" t="s">
        <v>294</v>
      </c>
      <c r="K256" t="s">
        <v>1260</v>
      </c>
      <c r="L256">
        <v>24847.62</v>
      </c>
      <c r="M256" t="s">
        <v>84</v>
      </c>
      <c r="N256" t="s">
        <v>55</v>
      </c>
      <c r="O256" t="s">
        <v>45</v>
      </c>
    </row>
    <row r="257" spans="1:15" ht="13.8" x14ac:dyDescent="0.25">
      <c r="A257" t="s">
        <v>952</v>
      </c>
      <c r="B257" t="s">
        <v>953</v>
      </c>
      <c r="C257">
        <v>24</v>
      </c>
      <c r="D257" t="s">
        <v>17</v>
      </c>
      <c r="E257" t="s">
        <v>72</v>
      </c>
      <c r="F257" t="s">
        <v>30</v>
      </c>
      <c r="G257" t="s">
        <v>1233</v>
      </c>
      <c r="H257" s="1">
        <v>45983</v>
      </c>
      <c r="I257" s="1">
        <v>45991</v>
      </c>
      <c r="J257" t="s">
        <v>88</v>
      </c>
      <c r="K257" t="s">
        <v>89</v>
      </c>
      <c r="L257">
        <v>75690.77</v>
      </c>
      <c r="M257" t="s">
        <v>84</v>
      </c>
      <c r="N257" t="s">
        <v>69</v>
      </c>
      <c r="O257" t="s">
        <v>112</v>
      </c>
    </row>
    <row r="258" spans="1:15" ht="13.8" x14ac:dyDescent="0.25">
      <c r="A258" t="s">
        <v>955</v>
      </c>
      <c r="B258" t="s">
        <v>468</v>
      </c>
      <c r="C258">
        <v>18</v>
      </c>
      <c r="D258" t="s">
        <v>17</v>
      </c>
      <c r="E258" t="s">
        <v>72</v>
      </c>
      <c r="F258" t="s">
        <v>1215</v>
      </c>
      <c r="G258" t="s">
        <v>1251</v>
      </c>
      <c r="H258" s="1">
        <v>46017</v>
      </c>
      <c r="I258" s="1">
        <v>46031</v>
      </c>
      <c r="J258" t="s">
        <v>88</v>
      </c>
      <c r="K258" t="s">
        <v>89</v>
      </c>
      <c r="L258">
        <v>292142.3</v>
      </c>
      <c r="M258" t="s">
        <v>1225</v>
      </c>
      <c r="N258" t="s">
        <v>69</v>
      </c>
      <c r="O258" t="s">
        <v>36</v>
      </c>
    </row>
    <row r="259" spans="1:15" ht="13.8" x14ac:dyDescent="0.25">
      <c r="A259" t="s">
        <v>956</v>
      </c>
      <c r="B259" t="s">
        <v>957</v>
      </c>
      <c r="C259">
        <v>56</v>
      </c>
      <c r="D259" t="s">
        <v>17</v>
      </c>
      <c r="E259" t="s">
        <v>1215</v>
      </c>
      <c r="F259" t="s">
        <v>19</v>
      </c>
      <c r="G259" t="s">
        <v>1230</v>
      </c>
      <c r="H259" s="1">
        <v>45977</v>
      </c>
      <c r="I259" s="1">
        <v>46014</v>
      </c>
      <c r="J259" t="s">
        <v>22</v>
      </c>
      <c r="K259" t="s">
        <v>23</v>
      </c>
      <c r="L259">
        <v>218516.52</v>
      </c>
      <c r="M259" t="s">
        <v>1225</v>
      </c>
      <c r="N259" t="s">
        <v>25</v>
      </c>
      <c r="O259" t="s">
        <v>45</v>
      </c>
    </row>
    <row r="260" spans="1:15" ht="13.8" x14ac:dyDescent="0.25">
      <c r="A260" t="s">
        <v>958</v>
      </c>
      <c r="B260" t="s">
        <v>959</v>
      </c>
      <c r="C260">
        <v>10</v>
      </c>
      <c r="D260" t="s">
        <v>17</v>
      </c>
      <c r="E260" t="s">
        <v>72</v>
      </c>
      <c r="F260" t="s">
        <v>50</v>
      </c>
      <c r="G260" t="s">
        <v>1221</v>
      </c>
      <c r="H260" s="1">
        <v>45785</v>
      </c>
      <c r="I260" s="1">
        <v>45799</v>
      </c>
      <c r="J260" t="s">
        <v>1222</v>
      </c>
      <c r="K260" t="s">
        <v>53</v>
      </c>
      <c r="L260">
        <v>169398.15</v>
      </c>
      <c r="M260" t="s">
        <v>1219</v>
      </c>
      <c r="N260" t="s">
        <v>35</v>
      </c>
      <c r="O260" t="s">
        <v>26</v>
      </c>
    </row>
    <row r="261" spans="1:15" ht="13.8" x14ac:dyDescent="0.25">
      <c r="A261" t="s">
        <v>960</v>
      </c>
      <c r="B261" t="s">
        <v>961</v>
      </c>
      <c r="C261">
        <v>19</v>
      </c>
      <c r="D261" t="s">
        <v>58</v>
      </c>
      <c r="E261" t="s">
        <v>78</v>
      </c>
      <c r="F261" t="s">
        <v>40</v>
      </c>
      <c r="G261" t="s">
        <v>1217</v>
      </c>
      <c r="H261" s="1">
        <v>45934</v>
      </c>
      <c r="I261" s="1">
        <v>46014</v>
      </c>
      <c r="J261" t="s">
        <v>238</v>
      </c>
      <c r="K261" t="s">
        <v>67</v>
      </c>
      <c r="L261">
        <v>267621</v>
      </c>
      <c r="M261" t="s">
        <v>118</v>
      </c>
      <c r="N261" t="s">
        <v>35</v>
      </c>
      <c r="O261" t="s">
        <v>45</v>
      </c>
    </row>
    <row r="262" spans="1:15" ht="13.8" x14ac:dyDescent="0.25">
      <c r="A262" t="s">
        <v>962</v>
      </c>
      <c r="B262" t="s">
        <v>963</v>
      </c>
      <c r="C262">
        <v>61</v>
      </c>
      <c r="D262" t="s">
        <v>58</v>
      </c>
      <c r="E262" t="s">
        <v>97</v>
      </c>
      <c r="F262" t="s">
        <v>50</v>
      </c>
      <c r="G262" t="s">
        <v>1243</v>
      </c>
      <c r="H262" s="1">
        <v>45757</v>
      </c>
      <c r="I262" s="1">
        <v>45776</v>
      </c>
      <c r="J262" t="s">
        <v>315</v>
      </c>
      <c r="K262" t="s">
        <v>204</v>
      </c>
      <c r="L262" s="4">
        <v>234451</v>
      </c>
      <c r="M262" t="s">
        <v>84</v>
      </c>
      <c r="N262" t="s">
        <v>69</v>
      </c>
      <c r="O262" t="s">
        <v>1227</v>
      </c>
    </row>
    <row r="263" spans="1:15" ht="13.8" x14ac:dyDescent="0.25">
      <c r="A263" t="s">
        <v>965</v>
      </c>
      <c r="B263" t="s">
        <v>310</v>
      </c>
      <c r="C263">
        <v>20</v>
      </c>
      <c r="D263" t="s">
        <v>115</v>
      </c>
      <c r="E263" t="s">
        <v>155</v>
      </c>
      <c r="F263" t="s">
        <v>30</v>
      </c>
      <c r="G263" t="s">
        <v>1233</v>
      </c>
      <c r="H263" s="1">
        <v>45757</v>
      </c>
      <c r="I263" s="1">
        <v>46014</v>
      </c>
      <c r="J263" t="s">
        <v>122</v>
      </c>
      <c r="K263" t="s">
        <v>123</v>
      </c>
      <c r="L263">
        <v>65515.33</v>
      </c>
      <c r="M263" t="s">
        <v>54</v>
      </c>
      <c r="N263" t="s">
        <v>74</v>
      </c>
      <c r="O263" t="s">
        <v>1215</v>
      </c>
    </row>
    <row r="264" spans="1:15" ht="13.8" x14ac:dyDescent="0.25">
      <c r="A264" t="s">
        <v>966</v>
      </c>
      <c r="B264" t="s">
        <v>622</v>
      </c>
      <c r="C264">
        <v>58</v>
      </c>
      <c r="D264" t="s">
        <v>17</v>
      </c>
      <c r="E264" t="s">
        <v>72</v>
      </c>
      <c r="F264" t="s">
        <v>103</v>
      </c>
      <c r="G264" t="s">
        <v>1245</v>
      </c>
      <c r="H264" s="1">
        <v>45708</v>
      </c>
      <c r="I264" s="1">
        <v>45712</v>
      </c>
      <c r="J264" t="s">
        <v>106</v>
      </c>
      <c r="K264" t="s">
        <v>110</v>
      </c>
      <c r="L264">
        <v>11310.31</v>
      </c>
      <c r="M264" t="s">
        <v>1219</v>
      </c>
      <c r="N264" t="s">
        <v>74</v>
      </c>
      <c r="O264" t="s">
        <v>1227</v>
      </c>
    </row>
    <row r="265" spans="1:15" ht="13.8" x14ac:dyDescent="0.25">
      <c r="A265" t="s">
        <v>971</v>
      </c>
      <c r="B265" t="s">
        <v>331</v>
      </c>
      <c r="C265">
        <v>75</v>
      </c>
      <c r="D265" t="s">
        <v>58</v>
      </c>
      <c r="E265" t="s">
        <v>39</v>
      </c>
      <c r="F265" t="s">
        <v>40</v>
      </c>
      <c r="G265" t="s">
        <v>1228</v>
      </c>
      <c r="H265" s="1">
        <v>45912</v>
      </c>
      <c r="I265" s="1">
        <v>45913</v>
      </c>
      <c r="J265" t="s">
        <v>116</v>
      </c>
      <c r="K265" t="s">
        <v>1231</v>
      </c>
      <c r="L265">
        <v>70627.63</v>
      </c>
      <c r="M265" t="s">
        <v>24</v>
      </c>
      <c r="N265" t="s">
        <v>69</v>
      </c>
      <c r="O265" t="s">
        <v>112</v>
      </c>
    </row>
    <row r="266" spans="1:15" ht="13.8" x14ac:dyDescent="0.25">
      <c r="A266" t="s">
        <v>972</v>
      </c>
      <c r="B266" t="s">
        <v>281</v>
      </c>
      <c r="C266">
        <v>79</v>
      </c>
      <c r="D266" t="s">
        <v>58</v>
      </c>
      <c r="E266" t="s">
        <v>97</v>
      </c>
      <c r="F266" t="s">
        <v>103</v>
      </c>
      <c r="G266" t="s">
        <v>1236</v>
      </c>
      <c r="H266" s="1">
        <v>45887</v>
      </c>
      <c r="I266" s="1">
        <v>45895</v>
      </c>
      <c r="J266" t="s">
        <v>294</v>
      </c>
      <c r="K266" t="s">
        <v>1260</v>
      </c>
      <c r="L266">
        <v>219686.66</v>
      </c>
      <c r="M266" t="s">
        <v>1225</v>
      </c>
      <c r="N266" t="s">
        <v>35</v>
      </c>
      <c r="O266" t="s">
        <v>112</v>
      </c>
    </row>
    <row r="267" spans="1:15" ht="13.8" x14ac:dyDescent="0.25">
      <c r="A267" t="s">
        <v>973</v>
      </c>
      <c r="B267" t="s">
        <v>164</v>
      </c>
      <c r="C267">
        <v>72</v>
      </c>
      <c r="D267" t="s">
        <v>58</v>
      </c>
      <c r="E267" t="s">
        <v>49</v>
      </c>
      <c r="F267" t="s">
        <v>165</v>
      </c>
      <c r="G267" t="s">
        <v>1242</v>
      </c>
      <c r="H267" s="1">
        <v>45895</v>
      </c>
      <c r="I267" s="1">
        <v>46014</v>
      </c>
      <c r="J267" t="s">
        <v>173</v>
      </c>
      <c r="K267" t="s">
        <v>174</v>
      </c>
      <c r="L267">
        <v>40000</v>
      </c>
      <c r="M267" t="s">
        <v>118</v>
      </c>
      <c r="N267" t="s">
        <v>74</v>
      </c>
      <c r="O267" t="s">
        <v>45</v>
      </c>
    </row>
    <row r="268" spans="1:15" ht="13.8" x14ac:dyDescent="0.25">
      <c r="A268" t="s">
        <v>978</v>
      </c>
      <c r="B268" t="s">
        <v>979</v>
      </c>
      <c r="C268">
        <v>45</v>
      </c>
      <c r="D268" t="s">
        <v>17</v>
      </c>
      <c r="E268" t="s">
        <v>137</v>
      </c>
      <c r="F268" t="s">
        <v>30</v>
      </c>
      <c r="G268" t="s">
        <v>1251</v>
      </c>
      <c r="H268" s="1">
        <v>45835</v>
      </c>
      <c r="I268" s="1">
        <v>46014</v>
      </c>
      <c r="J268" t="s">
        <v>88</v>
      </c>
      <c r="K268" t="s">
        <v>89</v>
      </c>
      <c r="L268">
        <v>328188.99</v>
      </c>
      <c r="M268" t="s">
        <v>24</v>
      </c>
      <c r="N268" t="s">
        <v>35</v>
      </c>
      <c r="O268" t="s">
        <v>45</v>
      </c>
    </row>
    <row r="269" spans="1:15" ht="13.8" x14ac:dyDescent="0.25">
      <c r="A269" t="s">
        <v>981</v>
      </c>
      <c r="B269" t="s">
        <v>797</v>
      </c>
      <c r="C269">
        <v>2</v>
      </c>
      <c r="D269" t="s">
        <v>17</v>
      </c>
      <c r="E269" t="s">
        <v>72</v>
      </c>
      <c r="F269" t="s">
        <v>103</v>
      </c>
      <c r="G269" t="s">
        <v>1236</v>
      </c>
      <c r="H269" s="1">
        <v>45806</v>
      </c>
      <c r="I269" s="1">
        <v>46014</v>
      </c>
      <c r="J269" t="s">
        <v>106</v>
      </c>
      <c r="K269" t="s">
        <v>110</v>
      </c>
      <c r="L269">
        <v>176910.39</v>
      </c>
      <c r="M269" t="s">
        <v>24</v>
      </c>
      <c r="N269" t="s">
        <v>25</v>
      </c>
      <c r="O269" t="s">
        <v>1262</v>
      </c>
    </row>
    <row r="270" spans="1:15" ht="13.8" x14ac:dyDescent="0.25">
      <c r="A270" t="s">
        <v>982</v>
      </c>
      <c r="B270" t="s">
        <v>516</v>
      </c>
      <c r="C270">
        <v>10</v>
      </c>
      <c r="D270" t="s">
        <v>17</v>
      </c>
      <c r="E270" t="s">
        <v>49</v>
      </c>
      <c r="F270" t="s">
        <v>50</v>
      </c>
      <c r="G270" t="s">
        <v>1221</v>
      </c>
      <c r="H270" s="1">
        <v>45831</v>
      </c>
      <c r="I270" s="1">
        <v>46014</v>
      </c>
      <c r="J270" t="s">
        <v>1222</v>
      </c>
      <c r="K270" t="s">
        <v>53</v>
      </c>
      <c r="L270">
        <v>142933.82</v>
      </c>
      <c r="M270" t="s">
        <v>54</v>
      </c>
      <c r="N270" t="s">
        <v>55</v>
      </c>
      <c r="O270" t="s">
        <v>45</v>
      </c>
    </row>
    <row r="271" spans="1:15" ht="13.8" x14ac:dyDescent="0.25">
      <c r="A271" t="s">
        <v>983</v>
      </c>
      <c r="B271" t="s">
        <v>281</v>
      </c>
      <c r="C271">
        <v>81</v>
      </c>
      <c r="D271" t="s">
        <v>58</v>
      </c>
      <c r="E271" t="s">
        <v>155</v>
      </c>
      <c r="F271" t="s">
        <v>60</v>
      </c>
      <c r="G271" t="s">
        <v>1255</v>
      </c>
      <c r="H271" s="1">
        <v>45906</v>
      </c>
      <c r="I271" s="1">
        <v>45820</v>
      </c>
      <c r="J271" t="s">
        <v>263</v>
      </c>
      <c r="K271" t="s">
        <v>264</v>
      </c>
      <c r="L271">
        <v>40000</v>
      </c>
      <c r="M271" t="s">
        <v>1247</v>
      </c>
      <c r="N271" t="s">
        <v>25</v>
      </c>
      <c r="O271" t="s">
        <v>1227</v>
      </c>
    </row>
    <row r="272" spans="1:15" ht="13.8" x14ac:dyDescent="0.25">
      <c r="A272" t="s">
        <v>984</v>
      </c>
      <c r="B272" t="s">
        <v>985</v>
      </c>
      <c r="C272">
        <v>80</v>
      </c>
      <c r="D272" t="s">
        <v>17</v>
      </c>
      <c r="E272" t="s">
        <v>155</v>
      </c>
      <c r="F272" t="s">
        <v>50</v>
      </c>
      <c r="G272" t="s">
        <v>1221</v>
      </c>
      <c r="H272" s="1">
        <v>45954</v>
      </c>
      <c r="I272" s="1">
        <v>45956</v>
      </c>
      <c r="J272" t="s">
        <v>315</v>
      </c>
      <c r="K272" t="s">
        <v>204</v>
      </c>
      <c r="L272">
        <v>149246.6</v>
      </c>
      <c r="M272" t="s">
        <v>118</v>
      </c>
      <c r="N272" t="s">
        <v>25</v>
      </c>
      <c r="O272" t="s">
        <v>112</v>
      </c>
    </row>
    <row r="273" spans="1:15" ht="13.8" x14ac:dyDescent="0.25">
      <c r="A273" t="s">
        <v>988</v>
      </c>
      <c r="B273" t="s">
        <v>614</v>
      </c>
      <c r="C273">
        <v>6</v>
      </c>
      <c r="D273" t="s">
        <v>17</v>
      </c>
      <c r="E273" t="s">
        <v>78</v>
      </c>
      <c r="F273" t="s">
        <v>19</v>
      </c>
      <c r="G273" t="s">
        <v>1230</v>
      </c>
      <c r="H273" s="1">
        <v>45891</v>
      </c>
      <c r="I273" s="1">
        <v>45894</v>
      </c>
      <c r="J273" t="s">
        <v>151</v>
      </c>
      <c r="K273" t="s">
        <v>152</v>
      </c>
      <c r="L273">
        <v>255209.04</v>
      </c>
      <c r="M273" t="s">
        <v>54</v>
      </c>
      <c r="N273" t="s">
        <v>74</v>
      </c>
      <c r="O273" t="s">
        <v>26</v>
      </c>
    </row>
    <row r="274" spans="1:15" ht="13.8" x14ac:dyDescent="0.25">
      <c r="A274" t="s">
        <v>993</v>
      </c>
      <c r="B274" t="s">
        <v>114</v>
      </c>
      <c r="C274">
        <v>51</v>
      </c>
      <c r="D274" t="s">
        <v>17</v>
      </c>
      <c r="E274" t="s">
        <v>78</v>
      </c>
      <c r="F274" t="s">
        <v>50</v>
      </c>
      <c r="G274" t="s">
        <v>1254</v>
      </c>
      <c r="H274" s="1">
        <v>45842</v>
      </c>
      <c r="I274" s="1">
        <v>46014</v>
      </c>
      <c r="J274" t="s">
        <v>1222</v>
      </c>
      <c r="K274" t="s">
        <v>53</v>
      </c>
      <c r="L274">
        <v>100750.51</v>
      </c>
      <c r="M274" t="s">
        <v>54</v>
      </c>
      <c r="N274" t="s">
        <v>25</v>
      </c>
      <c r="O274" t="s">
        <v>45</v>
      </c>
    </row>
    <row r="275" spans="1:15" ht="13.8" x14ac:dyDescent="0.25">
      <c r="A275" t="s">
        <v>995</v>
      </c>
      <c r="B275" t="s">
        <v>373</v>
      </c>
      <c r="C275">
        <v>3</v>
      </c>
      <c r="D275" t="s">
        <v>17</v>
      </c>
      <c r="E275" t="s">
        <v>72</v>
      </c>
      <c r="F275" t="s">
        <v>60</v>
      </c>
      <c r="G275" t="s">
        <v>1255</v>
      </c>
      <c r="H275" s="1">
        <v>45920</v>
      </c>
      <c r="I275" s="1">
        <v>45926</v>
      </c>
      <c r="J275" t="s">
        <v>132</v>
      </c>
      <c r="K275" t="s">
        <v>1238</v>
      </c>
      <c r="L275">
        <v>168972.32</v>
      </c>
      <c r="M275" t="s">
        <v>118</v>
      </c>
      <c r="N275" t="s">
        <v>35</v>
      </c>
      <c r="O275" t="s">
        <v>26</v>
      </c>
    </row>
    <row r="276" spans="1:15" ht="13.8" x14ac:dyDescent="0.25">
      <c r="A276" t="s">
        <v>996</v>
      </c>
      <c r="B276" t="s">
        <v>208</v>
      </c>
      <c r="C276">
        <v>41</v>
      </c>
      <c r="D276" t="s">
        <v>58</v>
      </c>
      <c r="E276" t="s">
        <v>72</v>
      </c>
      <c r="F276" t="s">
        <v>19</v>
      </c>
      <c r="G276" t="s">
        <v>1235</v>
      </c>
      <c r="H276" s="1">
        <v>45681</v>
      </c>
      <c r="I276" s="1">
        <v>45692</v>
      </c>
      <c r="J276" t="s">
        <v>366</v>
      </c>
      <c r="K276" t="s">
        <v>367</v>
      </c>
      <c r="L276">
        <v>153334.01999999999</v>
      </c>
      <c r="M276" t="s">
        <v>1225</v>
      </c>
      <c r="N276" t="s">
        <v>35</v>
      </c>
      <c r="O276" t="s">
        <v>1227</v>
      </c>
    </row>
    <row r="277" spans="1:15" ht="13.8" x14ac:dyDescent="0.25">
      <c r="A277" t="s">
        <v>998</v>
      </c>
      <c r="B277" t="s">
        <v>928</v>
      </c>
      <c r="C277">
        <v>8</v>
      </c>
      <c r="D277" t="s">
        <v>58</v>
      </c>
      <c r="E277" t="s">
        <v>49</v>
      </c>
      <c r="F277" t="s">
        <v>40</v>
      </c>
      <c r="G277" t="s">
        <v>1246</v>
      </c>
      <c r="H277" s="1">
        <v>45822</v>
      </c>
      <c r="I277" s="1">
        <v>45828</v>
      </c>
      <c r="J277" t="s">
        <v>116</v>
      </c>
      <c r="K277" t="s">
        <v>1231</v>
      </c>
      <c r="L277">
        <v>273053.57</v>
      </c>
      <c r="M277" t="s">
        <v>1225</v>
      </c>
      <c r="N277" t="s">
        <v>69</v>
      </c>
      <c r="O277" t="s">
        <v>26</v>
      </c>
    </row>
    <row r="278" spans="1:15" ht="13.8" x14ac:dyDescent="0.25">
      <c r="A278" t="s">
        <v>999</v>
      </c>
      <c r="B278" t="s">
        <v>355</v>
      </c>
      <c r="C278">
        <v>68</v>
      </c>
      <c r="D278" t="s">
        <v>17</v>
      </c>
      <c r="E278" t="s">
        <v>1215</v>
      </c>
      <c r="F278" t="s">
        <v>50</v>
      </c>
      <c r="G278" t="s">
        <v>1243</v>
      </c>
      <c r="H278" s="1">
        <v>45799</v>
      </c>
      <c r="I278" s="1">
        <v>45814</v>
      </c>
      <c r="J278" t="s">
        <v>315</v>
      </c>
      <c r="K278" t="s">
        <v>204</v>
      </c>
      <c r="L278">
        <v>42562.48</v>
      </c>
      <c r="M278" t="s">
        <v>118</v>
      </c>
      <c r="N278" t="s">
        <v>69</v>
      </c>
      <c r="O278" t="s">
        <v>112</v>
      </c>
    </row>
    <row r="279" spans="1:15" ht="13.8" x14ac:dyDescent="0.25">
      <c r="A279" t="s">
        <v>1000</v>
      </c>
      <c r="B279" t="s">
        <v>457</v>
      </c>
      <c r="C279">
        <v>56</v>
      </c>
      <c r="D279" t="s">
        <v>17</v>
      </c>
      <c r="E279" t="s">
        <v>39</v>
      </c>
      <c r="F279" t="s">
        <v>103</v>
      </c>
      <c r="G279" t="s">
        <v>1236</v>
      </c>
      <c r="H279" s="1">
        <v>45659</v>
      </c>
      <c r="I279" s="1">
        <v>45677</v>
      </c>
      <c r="J279" t="s">
        <v>106</v>
      </c>
      <c r="K279" t="s">
        <v>110</v>
      </c>
      <c r="L279" s="4">
        <v>273509.90999999997</v>
      </c>
      <c r="M279" t="s">
        <v>162</v>
      </c>
      <c r="N279" t="s">
        <v>55</v>
      </c>
      <c r="O279" t="s">
        <v>112</v>
      </c>
    </row>
    <row r="280" spans="1:15" ht="13.8" x14ac:dyDescent="0.25">
      <c r="A280" t="s">
        <v>1005</v>
      </c>
      <c r="B280" t="s">
        <v>619</v>
      </c>
      <c r="C280">
        <v>85</v>
      </c>
      <c r="D280" t="s">
        <v>17</v>
      </c>
      <c r="E280" t="s">
        <v>59</v>
      </c>
      <c r="F280" t="s">
        <v>103</v>
      </c>
      <c r="G280" t="s">
        <v>1229</v>
      </c>
      <c r="H280" s="1">
        <v>45844</v>
      </c>
      <c r="I280" s="1">
        <v>46014</v>
      </c>
      <c r="J280" t="s">
        <v>106</v>
      </c>
      <c r="K280" t="s">
        <v>110</v>
      </c>
      <c r="L280">
        <v>15445.5</v>
      </c>
      <c r="M280" t="s">
        <v>1247</v>
      </c>
      <c r="N280" t="s">
        <v>25</v>
      </c>
      <c r="O280" t="s">
        <v>45</v>
      </c>
    </row>
    <row r="281" spans="1:15" ht="13.8" x14ac:dyDescent="0.25">
      <c r="A281" t="s">
        <v>1006</v>
      </c>
      <c r="B281" t="s">
        <v>1007</v>
      </c>
      <c r="C281">
        <v>38</v>
      </c>
      <c r="D281" t="s">
        <v>58</v>
      </c>
      <c r="E281" t="s">
        <v>155</v>
      </c>
      <c r="F281" t="s">
        <v>50</v>
      </c>
      <c r="G281" t="s">
        <v>1221</v>
      </c>
      <c r="H281" s="1">
        <v>45673</v>
      </c>
      <c r="I281" s="1">
        <v>46014</v>
      </c>
      <c r="J281" t="s">
        <v>1222</v>
      </c>
      <c r="K281" t="s">
        <v>53</v>
      </c>
      <c r="L281">
        <v>229227.12</v>
      </c>
      <c r="M281" t="s">
        <v>84</v>
      </c>
      <c r="N281" t="s">
        <v>74</v>
      </c>
      <c r="O281" t="s">
        <v>45</v>
      </c>
    </row>
    <row r="282" spans="1:15" ht="13.8" x14ac:dyDescent="0.25">
      <c r="A282" t="s">
        <v>1008</v>
      </c>
      <c r="B282" t="s">
        <v>751</v>
      </c>
      <c r="C282">
        <v>59</v>
      </c>
      <c r="D282" t="s">
        <v>17</v>
      </c>
      <c r="E282" t="s">
        <v>155</v>
      </c>
      <c r="F282" t="s">
        <v>165</v>
      </c>
      <c r="G282" t="s">
        <v>1252</v>
      </c>
      <c r="H282" s="1">
        <v>45803</v>
      </c>
      <c r="I282" s="1">
        <v>45816</v>
      </c>
      <c r="J282" t="s">
        <v>173</v>
      </c>
      <c r="K282" t="s">
        <v>174</v>
      </c>
      <c r="L282">
        <v>92715.25</v>
      </c>
      <c r="M282" t="s">
        <v>84</v>
      </c>
      <c r="N282" t="s">
        <v>25</v>
      </c>
      <c r="O282" t="s">
        <v>112</v>
      </c>
    </row>
    <row r="283" spans="1:15" ht="13.8" x14ac:dyDescent="0.25">
      <c r="A283" t="s">
        <v>1009</v>
      </c>
      <c r="B283" t="s">
        <v>1010</v>
      </c>
      <c r="C283">
        <v>18</v>
      </c>
      <c r="D283" t="s">
        <v>17</v>
      </c>
      <c r="E283" t="s">
        <v>72</v>
      </c>
      <c r="F283" t="s">
        <v>1215</v>
      </c>
      <c r="G283" t="s">
        <v>1251</v>
      </c>
      <c r="H283" s="1">
        <v>45683</v>
      </c>
      <c r="I283" s="1">
        <v>45698</v>
      </c>
      <c r="J283" t="s">
        <v>32</v>
      </c>
      <c r="K283" t="s">
        <v>33</v>
      </c>
      <c r="L283">
        <v>39164.58</v>
      </c>
      <c r="M283" t="s">
        <v>24</v>
      </c>
      <c r="N283" t="s">
        <v>55</v>
      </c>
      <c r="O283" t="s">
        <v>112</v>
      </c>
    </row>
    <row r="284" spans="1:15" ht="13.8" x14ac:dyDescent="0.25">
      <c r="A284" t="s">
        <v>1011</v>
      </c>
      <c r="B284" t="s">
        <v>652</v>
      </c>
      <c r="C284">
        <v>72</v>
      </c>
      <c r="D284" t="s">
        <v>58</v>
      </c>
      <c r="E284" t="s">
        <v>39</v>
      </c>
      <c r="F284" t="s">
        <v>103</v>
      </c>
      <c r="G284" t="s">
        <v>1245</v>
      </c>
      <c r="H284" s="1">
        <v>45818</v>
      </c>
      <c r="I284" s="1">
        <v>45832</v>
      </c>
      <c r="J284" t="s">
        <v>249</v>
      </c>
      <c r="K284" t="s">
        <v>250</v>
      </c>
      <c r="L284">
        <v>256933.8</v>
      </c>
      <c r="M284" t="s">
        <v>24</v>
      </c>
      <c r="N284" t="s">
        <v>55</v>
      </c>
      <c r="O284" t="s">
        <v>36</v>
      </c>
    </row>
    <row r="285" spans="1:15" ht="13.8" x14ac:dyDescent="0.25">
      <c r="A285" t="s">
        <v>1015</v>
      </c>
      <c r="B285" t="s">
        <v>1016</v>
      </c>
      <c r="C285">
        <v>86</v>
      </c>
      <c r="D285" t="s">
        <v>58</v>
      </c>
      <c r="E285" t="s">
        <v>72</v>
      </c>
      <c r="F285" t="s">
        <v>60</v>
      </c>
      <c r="G285" t="s">
        <v>1255</v>
      </c>
      <c r="H285" s="1">
        <v>45898</v>
      </c>
      <c r="I285" s="1">
        <v>45897</v>
      </c>
      <c r="J285" t="s">
        <v>81</v>
      </c>
      <c r="K285" t="s">
        <v>82</v>
      </c>
      <c r="L285">
        <v>266992.5</v>
      </c>
      <c r="M285" t="s">
        <v>1225</v>
      </c>
      <c r="N285" t="s">
        <v>69</v>
      </c>
      <c r="O285" t="s">
        <v>1227</v>
      </c>
    </row>
    <row r="286" spans="1:15" ht="13.8" x14ac:dyDescent="0.25">
      <c r="A286" t="s">
        <v>1017</v>
      </c>
      <c r="B286" t="s">
        <v>1018</v>
      </c>
      <c r="C286">
        <v>77</v>
      </c>
      <c r="D286" t="s">
        <v>58</v>
      </c>
      <c r="E286" t="s">
        <v>155</v>
      </c>
      <c r="F286" t="s">
        <v>165</v>
      </c>
      <c r="G286" t="s">
        <v>1252</v>
      </c>
      <c r="H286" s="1">
        <v>45787</v>
      </c>
      <c r="I286" s="1">
        <v>45802</v>
      </c>
      <c r="J286" t="s">
        <v>183</v>
      </c>
      <c r="K286" t="s">
        <v>184</v>
      </c>
      <c r="L286">
        <v>210266.08</v>
      </c>
      <c r="M286" t="s">
        <v>1219</v>
      </c>
      <c r="N286" t="s">
        <v>69</v>
      </c>
      <c r="O286" t="s">
        <v>36</v>
      </c>
    </row>
    <row r="287" spans="1:15" ht="13.8" x14ac:dyDescent="0.25">
      <c r="A287" t="s">
        <v>1019</v>
      </c>
      <c r="B287" t="s">
        <v>1020</v>
      </c>
      <c r="C287">
        <v>59</v>
      </c>
      <c r="D287" t="s">
        <v>17</v>
      </c>
      <c r="E287" t="s">
        <v>155</v>
      </c>
      <c r="F287" t="s">
        <v>60</v>
      </c>
      <c r="G287" t="s">
        <v>1226</v>
      </c>
      <c r="H287" s="1">
        <v>45978</v>
      </c>
      <c r="I287" s="1">
        <v>45985</v>
      </c>
      <c r="J287" t="s">
        <v>132</v>
      </c>
      <c r="K287" t="s">
        <v>1238</v>
      </c>
      <c r="L287">
        <v>45237.98</v>
      </c>
      <c r="M287" t="s">
        <v>54</v>
      </c>
      <c r="N287" t="s">
        <v>69</v>
      </c>
      <c r="O287" t="s">
        <v>1227</v>
      </c>
    </row>
    <row r="288" spans="1:15" ht="13.8" x14ac:dyDescent="0.25">
      <c r="A288" t="s">
        <v>1021</v>
      </c>
      <c r="B288" t="s">
        <v>1061</v>
      </c>
      <c r="C288">
        <v>59</v>
      </c>
      <c r="D288" t="s">
        <v>17</v>
      </c>
      <c r="E288" t="s">
        <v>59</v>
      </c>
      <c r="F288" t="s">
        <v>40</v>
      </c>
      <c r="G288" t="s">
        <v>1246</v>
      </c>
      <c r="H288" s="1">
        <v>46017</v>
      </c>
      <c r="I288" s="1">
        <v>46357</v>
      </c>
      <c r="J288" t="s">
        <v>116</v>
      </c>
      <c r="K288" t="s">
        <v>1231</v>
      </c>
      <c r="L288" s="4">
        <v>286366.02</v>
      </c>
      <c r="M288" t="s">
        <v>1219</v>
      </c>
      <c r="N288" t="s">
        <v>69</v>
      </c>
      <c r="O288" t="s">
        <v>1227</v>
      </c>
    </row>
    <row r="289" spans="1:15" ht="13.8" x14ac:dyDescent="0.25">
      <c r="A289" t="s">
        <v>1024</v>
      </c>
      <c r="B289" t="s">
        <v>482</v>
      </c>
      <c r="C289">
        <v>45</v>
      </c>
      <c r="D289" t="s">
        <v>58</v>
      </c>
      <c r="E289" t="s">
        <v>39</v>
      </c>
      <c r="F289" t="s">
        <v>19</v>
      </c>
      <c r="G289" t="s">
        <v>1235</v>
      </c>
      <c r="H289" s="1">
        <v>45963</v>
      </c>
      <c r="I289" s="1">
        <v>45977</v>
      </c>
      <c r="J289" t="s">
        <v>22</v>
      </c>
      <c r="K289" t="s">
        <v>1215</v>
      </c>
      <c r="L289">
        <v>321069.3</v>
      </c>
      <c r="M289" t="s">
        <v>1215</v>
      </c>
      <c r="N289" t="s">
        <v>74</v>
      </c>
      <c r="O289" t="s">
        <v>1215</v>
      </c>
    </row>
    <row r="290" spans="1:15" ht="13.8" x14ac:dyDescent="0.25">
      <c r="A290" t="s">
        <v>1028</v>
      </c>
      <c r="B290" t="s">
        <v>96</v>
      </c>
      <c r="C290">
        <v>25</v>
      </c>
      <c r="D290" t="s">
        <v>17</v>
      </c>
      <c r="E290" t="s">
        <v>155</v>
      </c>
      <c r="F290" t="s">
        <v>103</v>
      </c>
      <c r="G290" t="s">
        <v>1245</v>
      </c>
      <c r="H290" s="1">
        <v>45964</v>
      </c>
      <c r="I290" s="1">
        <v>45974</v>
      </c>
      <c r="J290" t="s">
        <v>249</v>
      </c>
      <c r="K290" t="s">
        <v>250</v>
      </c>
      <c r="L290">
        <v>205456.56</v>
      </c>
      <c r="M290" t="s">
        <v>84</v>
      </c>
      <c r="N290" t="s">
        <v>35</v>
      </c>
      <c r="O290" t="s">
        <v>1227</v>
      </c>
    </row>
    <row r="291" spans="1:15" ht="13.8" x14ac:dyDescent="0.25">
      <c r="A291" t="s">
        <v>1029</v>
      </c>
      <c r="B291" t="s">
        <v>1265</v>
      </c>
      <c r="C291">
        <v>12</v>
      </c>
      <c r="D291" t="s">
        <v>58</v>
      </c>
      <c r="E291" t="s">
        <v>18</v>
      </c>
      <c r="F291" t="s">
        <v>40</v>
      </c>
      <c r="G291" t="s">
        <v>1217</v>
      </c>
      <c r="H291" s="1">
        <v>45681</v>
      </c>
      <c r="I291" s="1">
        <v>45690</v>
      </c>
      <c r="J291" t="s">
        <v>116</v>
      </c>
      <c r="K291" t="s">
        <v>1231</v>
      </c>
      <c r="L291">
        <v>220121.52</v>
      </c>
      <c r="M291" t="s">
        <v>54</v>
      </c>
      <c r="N291" t="s">
        <v>55</v>
      </c>
      <c r="O291" t="s">
        <v>1227</v>
      </c>
    </row>
    <row r="292" spans="1:15" ht="13.8" x14ac:dyDescent="0.25">
      <c r="A292" t="s">
        <v>1035</v>
      </c>
      <c r="B292" t="s">
        <v>373</v>
      </c>
      <c r="C292">
        <v>9</v>
      </c>
      <c r="D292" t="s">
        <v>17</v>
      </c>
      <c r="E292" t="s">
        <v>18</v>
      </c>
      <c r="F292" t="s">
        <v>40</v>
      </c>
      <c r="G292" t="s">
        <v>1217</v>
      </c>
      <c r="H292" s="1">
        <v>45669</v>
      </c>
      <c r="I292" s="1">
        <v>45683</v>
      </c>
      <c r="J292" t="s">
        <v>1218</v>
      </c>
      <c r="K292" t="s">
        <v>43</v>
      </c>
      <c r="L292">
        <v>274018.15999999997</v>
      </c>
      <c r="M292" t="s">
        <v>24</v>
      </c>
      <c r="N292" t="s">
        <v>69</v>
      </c>
      <c r="O292" t="s">
        <v>1227</v>
      </c>
    </row>
    <row r="293" spans="1:15" ht="13.8" x14ac:dyDescent="0.25">
      <c r="A293" t="s">
        <v>1036</v>
      </c>
      <c r="B293" t="s">
        <v>334</v>
      </c>
      <c r="C293">
        <v>58</v>
      </c>
      <c r="D293" t="s">
        <v>58</v>
      </c>
      <c r="E293" t="s">
        <v>97</v>
      </c>
      <c r="F293" t="s">
        <v>103</v>
      </c>
      <c r="G293" t="s">
        <v>1229</v>
      </c>
      <c r="H293" s="1">
        <v>45703</v>
      </c>
      <c r="I293" s="1">
        <v>45705</v>
      </c>
      <c r="J293" t="s">
        <v>106</v>
      </c>
      <c r="K293" t="s">
        <v>110</v>
      </c>
      <c r="L293">
        <v>258752.78</v>
      </c>
      <c r="M293" t="s">
        <v>34</v>
      </c>
      <c r="N293" t="s">
        <v>35</v>
      </c>
      <c r="O293" t="s">
        <v>26</v>
      </c>
    </row>
    <row r="294" spans="1:15" ht="13.8" x14ac:dyDescent="0.25">
      <c r="A294" t="s">
        <v>1037</v>
      </c>
      <c r="B294" t="s">
        <v>612</v>
      </c>
      <c r="C294">
        <v>62</v>
      </c>
      <c r="D294" t="s">
        <v>17</v>
      </c>
      <c r="E294" t="s">
        <v>72</v>
      </c>
      <c r="F294" t="s">
        <v>60</v>
      </c>
      <c r="G294" t="s">
        <v>1240</v>
      </c>
      <c r="H294" s="1">
        <v>45988</v>
      </c>
      <c r="I294" s="1">
        <v>46014</v>
      </c>
      <c r="J294" t="s">
        <v>81</v>
      </c>
      <c r="K294" t="s">
        <v>82</v>
      </c>
      <c r="L294">
        <v>331071.07</v>
      </c>
      <c r="M294" t="s">
        <v>84</v>
      </c>
      <c r="N294" t="s">
        <v>74</v>
      </c>
      <c r="O294" t="s">
        <v>1215</v>
      </c>
    </row>
    <row r="295" spans="1:15" ht="13.8" x14ac:dyDescent="0.25">
      <c r="A295" t="s">
        <v>1038</v>
      </c>
      <c r="B295" t="s">
        <v>164</v>
      </c>
      <c r="C295">
        <v>78</v>
      </c>
      <c r="D295" t="s">
        <v>58</v>
      </c>
      <c r="E295" t="s">
        <v>97</v>
      </c>
      <c r="F295" t="s">
        <v>103</v>
      </c>
      <c r="G295" t="s">
        <v>1245</v>
      </c>
      <c r="H295" s="1">
        <v>45887</v>
      </c>
      <c r="I295" s="1">
        <v>45888</v>
      </c>
      <c r="J295" t="s">
        <v>294</v>
      </c>
      <c r="K295" t="s">
        <v>1260</v>
      </c>
      <c r="L295">
        <v>98132.13</v>
      </c>
      <c r="M295" t="s">
        <v>118</v>
      </c>
      <c r="N295" t="s">
        <v>25</v>
      </c>
      <c r="O295" t="s">
        <v>36</v>
      </c>
    </row>
    <row r="296" spans="1:15" ht="13.8" x14ac:dyDescent="0.25">
      <c r="A296" t="s">
        <v>1039</v>
      </c>
      <c r="B296" t="s">
        <v>1040</v>
      </c>
      <c r="C296">
        <v>54</v>
      </c>
      <c r="D296" t="s">
        <v>58</v>
      </c>
      <c r="E296" t="s">
        <v>39</v>
      </c>
      <c r="F296" t="s">
        <v>165</v>
      </c>
      <c r="G296" t="s">
        <v>1252</v>
      </c>
      <c r="H296" s="1">
        <v>45892</v>
      </c>
      <c r="I296" s="1">
        <v>45901</v>
      </c>
      <c r="J296" t="s">
        <v>183</v>
      </c>
      <c r="K296" t="s">
        <v>184</v>
      </c>
      <c r="L296">
        <v>-251314.05</v>
      </c>
      <c r="M296" t="s">
        <v>1225</v>
      </c>
      <c r="N296" t="s">
        <v>1215</v>
      </c>
      <c r="O296" t="s">
        <v>1227</v>
      </c>
    </row>
    <row r="297" spans="1:15" ht="13.8" x14ac:dyDescent="0.25">
      <c r="A297" t="s">
        <v>1043</v>
      </c>
      <c r="B297" t="s">
        <v>1044</v>
      </c>
      <c r="C297">
        <v>85</v>
      </c>
      <c r="D297" t="s">
        <v>58</v>
      </c>
      <c r="E297" t="s">
        <v>18</v>
      </c>
      <c r="F297" t="s">
        <v>60</v>
      </c>
      <c r="G297" t="s">
        <v>1240</v>
      </c>
      <c r="H297" s="1">
        <v>45738</v>
      </c>
      <c r="I297" s="1">
        <v>45756</v>
      </c>
      <c r="J297" t="s">
        <v>263</v>
      </c>
      <c r="K297" t="s">
        <v>264</v>
      </c>
      <c r="L297">
        <v>269120.03999999998</v>
      </c>
      <c r="M297" t="s">
        <v>24</v>
      </c>
      <c r="N297" t="s">
        <v>1215</v>
      </c>
      <c r="O297" t="s">
        <v>26</v>
      </c>
    </row>
    <row r="298" spans="1:15" ht="13.8" x14ac:dyDescent="0.25">
      <c r="A298" t="s">
        <v>1045</v>
      </c>
      <c r="B298" t="s">
        <v>538</v>
      </c>
      <c r="C298">
        <v>32</v>
      </c>
      <c r="D298" t="s">
        <v>58</v>
      </c>
      <c r="E298" t="s">
        <v>102</v>
      </c>
      <c r="F298" t="s">
        <v>103</v>
      </c>
      <c r="G298" t="s">
        <v>1236</v>
      </c>
      <c r="H298" s="1">
        <v>45894</v>
      </c>
      <c r="I298" s="1">
        <v>45896</v>
      </c>
      <c r="J298" t="s">
        <v>219</v>
      </c>
      <c r="K298" t="s">
        <v>140</v>
      </c>
      <c r="L298">
        <v>147820.29</v>
      </c>
      <c r="M298" t="s">
        <v>24</v>
      </c>
      <c r="N298" t="s">
        <v>25</v>
      </c>
      <c r="O298" t="s">
        <v>36</v>
      </c>
    </row>
    <row r="299" spans="1:15" ht="13.8" x14ac:dyDescent="0.25">
      <c r="A299" t="s">
        <v>1270</v>
      </c>
      <c r="B299" t="s">
        <v>1040</v>
      </c>
      <c r="C299">
        <v>31</v>
      </c>
      <c r="D299" t="s">
        <v>58</v>
      </c>
      <c r="E299" t="s">
        <v>59</v>
      </c>
      <c r="F299" t="s">
        <v>30</v>
      </c>
      <c r="G299" t="s">
        <v>1251</v>
      </c>
      <c r="H299" s="1">
        <v>45906</v>
      </c>
      <c r="I299" s="1">
        <v>45878</v>
      </c>
      <c r="J299" t="s">
        <v>246</v>
      </c>
      <c r="K299" t="s">
        <v>1248</v>
      </c>
      <c r="L299">
        <v>310729.95</v>
      </c>
      <c r="M299" t="s">
        <v>84</v>
      </c>
      <c r="N299" t="s">
        <v>25</v>
      </c>
      <c r="O299" t="s">
        <v>1227</v>
      </c>
    </row>
    <row r="300" spans="1:15" ht="13.8" x14ac:dyDescent="0.25">
      <c r="A300" t="s">
        <v>1048</v>
      </c>
      <c r="B300" t="s">
        <v>1049</v>
      </c>
      <c r="C300">
        <v>34</v>
      </c>
      <c r="D300" t="s">
        <v>17</v>
      </c>
      <c r="E300" t="s">
        <v>39</v>
      </c>
      <c r="F300" t="s">
        <v>40</v>
      </c>
      <c r="G300" t="s">
        <v>1246</v>
      </c>
      <c r="H300" s="1">
        <v>45962</v>
      </c>
      <c r="I300" s="1">
        <v>45971</v>
      </c>
      <c r="J300" t="s">
        <v>116</v>
      </c>
      <c r="K300" t="s">
        <v>1231</v>
      </c>
      <c r="L300">
        <v>174458.85</v>
      </c>
      <c r="M300" t="s">
        <v>1225</v>
      </c>
      <c r="N300" t="s">
        <v>55</v>
      </c>
      <c r="O300" t="s">
        <v>36</v>
      </c>
    </row>
    <row r="301" spans="1:15" ht="13.8" x14ac:dyDescent="0.25">
      <c r="A301" t="s">
        <v>1271</v>
      </c>
      <c r="B301" t="s">
        <v>804</v>
      </c>
      <c r="C301">
        <v>7</v>
      </c>
      <c r="D301" t="s">
        <v>58</v>
      </c>
      <c r="E301" t="s">
        <v>39</v>
      </c>
      <c r="F301" t="s">
        <v>165</v>
      </c>
      <c r="G301" t="s">
        <v>1242</v>
      </c>
      <c r="H301" s="1">
        <v>45989</v>
      </c>
      <c r="I301" s="1">
        <v>46014</v>
      </c>
      <c r="J301" t="s">
        <v>222</v>
      </c>
      <c r="K301" t="s">
        <v>223</v>
      </c>
      <c r="L301">
        <v>316907.76</v>
      </c>
      <c r="M301" t="s">
        <v>24</v>
      </c>
      <c r="N301" t="s">
        <v>25</v>
      </c>
      <c r="O301" t="s">
        <v>45</v>
      </c>
    </row>
    <row r="302" spans="1:15" ht="13.8" x14ac:dyDescent="0.25">
      <c r="A302" t="s">
        <v>1052</v>
      </c>
      <c r="B302" t="s">
        <v>331</v>
      </c>
      <c r="C302">
        <v>69</v>
      </c>
      <c r="D302" t="s">
        <v>58</v>
      </c>
      <c r="E302" t="s">
        <v>102</v>
      </c>
      <c r="F302" t="s">
        <v>19</v>
      </c>
      <c r="G302" t="s">
        <v>1226</v>
      </c>
      <c r="H302" s="1">
        <v>45757</v>
      </c>
      <c r="I302" s="1">
        <v>45931</v>
      </c>
      <c r="J302" t="s">
        <v>22</v>
      </c>
      <c r="K302" t="s">
        <v>23</v>
      </c>
      <c r="L302">
        <v>142969.68</v>
      </c>
      <c r="M302" t="s">
        <v>1247</v>
      </c>
      <c r="N302" t="s">
        <v>74</v>
      </c>
      <c r="O302" t="s">
        <v>112</v>
      </c>
    </row>
    <row r="303" spans="1:15" ht="13.8" x14ac:dyDescent="0.25">
      <c r="A303" t="s">
        <v>1055</v>
      </c>
      <c r="B303" t="s">
        <v>338</v>
      </c>
      <c r="C303">
        <v>67</v>
      </c>
      <c r="D303" t="s">
        <v>17</v>
      </c>
      <c r="E303" t="s">
        <v>39</v>
      </c>
      <c r="F303" t="s">
        <v>19</v>
      </c>
      <c r="G303" t="s">
        <v>1230</v>
      </c>
      <c r="H303" s="1">
        <v>45663</v>
      </c>
      <c r="I303" s="1">
        <v>45677</v>
      </c>
      <c r="J303" t="s">
        <v>366</v>
      </c>
      <c r="K303" t="s">
        <v>367</v>
      </c>
      <c r="L303">
        <v>200127.72</v>
      </c>
      <c r="M303" t="s">
        <v>1225</v>
      </c>
      <c r="N303" t="s">
        <v>35</v>
      </c>
      <c r="O303" t="s">
        <v>36</v>
      </c>
    </row>
    <row r="304" spans="1:15" ht="13.8" x14ac:dyDescent="0.25">
      <c r="A304" t="s">
        <v>1057</v>
      </c>
      <c r="B304" t="s">
        <v>1074</v>
      </c>
      <c r="C304">
        <v>40</v>
      </c>
      <c r="D304" t="s">
        <v>17</v>
      </c>
      <c r="E304" t="s">
        <v>59</v>
      </c>
      <c r="F304" t="s">
        <v>165</v>
      </c>
      <c r="G304" t="s">
        <v>1242</v>
      </c>
      <c r="H304" s="1">
        <v>45751</v>
      </c>
      <c r="I304" s="1">
        <v>46014</v>
      </c>
      <c r="J304" t="s">
        <v>183</v>
      </c>
      <c r="K304" t="s">
        <v>184</v>
      </c>
      <c r="L304">
        <v>165777.60000000001</v>
      </c>
      <c r="M304" t="s">
        <v>84</v>
      </c>
      <c r="N304" t="s">
        <v>74</v>
      </c>
      <c r="O304" t="s">
        <v>45</v>
      </c>
    </row>
    <row r="305" spans="1:15" ht="13.8" x14ac:dyDescent="0.25">
      <c r="A305" t="s">
        <v>1063</v>
      </c>
      <c r="B305" t="s">
        <v>1215</v>
      </c>
      <c r="C305">
        <v>45</v>
      </c>
      <c r="D305" t="s">
        <v>58</v>
      </c>
      <c r="E305" t="s">
        <v>97</v>
      </c>
      <c r="F305" t="s">
        <v>30</v>
      </c>
      <c r="G305" t="s">
        <v>1216</v>
      </c>
      <c r="H305" s="1">
        <v>45845</v>
      </c>
      <c r="I305" s="1">
        <v>46014</v>
      </c>
      <c r="J305" t="s">
        <v>32</v>
      </c>
      <c r="K305" t="s">
        <v>33</v>
      </c>
      <c r="L305">
        <v>281407.65999999997</v>
      </c>
      <c r="M305" t="s">
        <v>1225</v>
      </c>
      <c r="N305" t="s">
        <v>74</v>
      </c>
      <c r="O305" t="s">
        <v>45</v>
      </c>
    </row>
    <row r="306" spans="1:15" ht="13.8" x14ac:dyDescent="0.25">
      <c r="A306" t="s">
        <v>1065</v>
      </c>
      <c r="B306" t="s">
        <v>1066</v>
      </c>
      <c r="C306">
        <v>5</v>
      </c>
      <c r="D306" t="s">
        <v>58</v>
      </c>
      <c r="E306" t="s">
        <v>155</v>
      </c>
      <c r="F306" t="s">
        <v>40</v>
      </c>
      <c r="G306" t="s">
        <v>1246</v>
      </c>
      <c r="H306" s="1">
        <v>45909</v>
      </c>
      <c r="I306" s="1">
        <v>45912</v>
      </c>
      <c r="J306" t="s">
        <v>116</v>
      </c>
      <c r="K306" t="s">
        <v>1231</v>
      </c>
      <c r="L306">
        <v>40000</v>
      </c>
      <c r="M306" t="s">
        <v>34</v>
      </c>
      <c r="N306" t="s">
        <v>1215</v>
      </c>
      <c r="O306" t="s">
        <v>26</v>
      </c>
    </row>
    <row r="307" spans="1:15" ht="13.8" x14ac:dyDescent="0.25">
      <c r="A307" t="s">
        <v>1067</v>
      </c>
      <c r="B307" t="s">
        <v>897</v>
      </c>
      <c r="C307">
        <v>47</v>
      </c>
      <c r="D307" t="s">
        <v>58</v>
      </c>
      <c r="E307" t="s">
        <v>18</v>
      </c>
      <c r="F307" t="s">
        <v>30</v>
      </c>
      <c r="G307" t="s">
        <v>1216</v>
      </c>
      <c r="H307" s="1">
        <v>45757</v>
      </c>
      <c r="I307" s="1">
        <v>46014</v>
      </c>
      <c r="J307" t="s">
        <v>32</v>
      </c>
      <c r="K307" t="s">
        <v>33</v>
      </c>
      <c r="L307">
        <v>174532.25</v>
      </c>
      <c r="M307" t="s">
        <v>118</v>
      </c>
      <c r="N307" t="s">
        <v>74</v>
      </c>
      <c r="O307" t="s">
        <v>45</v>
      </c>
    </row>
    <row r="308" spans="1:15" ht="13.8" x14ac:dyDescent="0.25">
      <c r="A308" t="s">
        <v>1070</v>
      </c>
      <c r="B308" t="s">
        <v>1215</v>
      </c>
      <c r="C308">
        <v>47</v>
      </c>
      <c r="D308" t="s">
        <v>58</v>
      </c>
      <c r="E308" t="s">
        <v>39</v>
      </c>
      <c r="F308" t="s">
        <v>103</v>
      </c>
      <c r="G308" t="s">
        <v>1236</v>
      </c>
      <c r="H308" s="1">
        <v>45722</v>
      </c>
      <c r="I308" s="1">
        <v>46014</v>
      </c>
      <c r="J308" t="s">
        <v>249</v>
      </c>
      <c r="K308" t="s">
        <v>250</v>
      </c>
      <c r="L308">
        <v>72763.16</v>
      </c>
      <c r="M308" t="s">
        <v>34</v>
      </c>
      <c r="N308" t="s">
        <v>25</v>
      </c>
      <c r="O308" t="s">
        <v>45</v>
      </c>
    </row>
    <row r="309" spans="1:15" ht="13.8" x14ac:dyDescent="0.25">
      <c r="A309" t="s">
        <v>1071</v>
      </c>
      <c r="B309" t="s">
        <v>285</v>
      </c>
      <c r="C309">
        <v>62</v>
      </c>
      <c r="D309" t="s">
        <v>17</v>
      </c>
      <c r="E309" t="s">
        <v>102</v>
      </c>
      <c r="F309" t="s">
        <v>40</v>
      </c>
      <c r="G309" t="s">
        <v>1246</v>
      </c>
      <c r="H309" s="1">
        <v>45874</v>
      </c>
      <c r="I309" s="1">
        <v>45969</v>
      </c>
      <c r="J309" t="s">
        <v>93</v>
      </c>
      <c r="K309" t="s">
        <v>94</v>
      </c>
      <c r="L309">
        <v>177051.77</v>
      </c>
      <c r="M309" t="s">
        <v>1225</v>
      </c>
      <c r="N309" t="s">
        <v>69</v>
      </c>
      <c r="O309" t="s">
        <v>26</v>
      </c>
    </row>
    <row r="310" spans="1:15" ht="13.8" x14ac:dyDescent="0.25">
      <c r="A310" t="s">
        <v>1072</v>
      </c>
      <c r="B310" t="s">
        <v>317</v>
      </c>
      <c r="C310">
        <v>65</v>
      </c>
      <c r="D310" t="s">
        <v>58</v>
      </c>
      <c r="E310" t="s">
        <v>18</v>
      </c>
      <c r="F310" t="s">
        <v>60</v>
      </c>
      <c r="G310" t="s">
        <v>1255</v>
      </c>
      <c r="H310" s="1">
        <v>45938</v>
      </c>
      <c r="I310" s="1">
        <v>45954</v>
      </c>
      <c r="J310" t="s">
        <v>1215</v>
      </c>
      <c r="K310" t="s">
        <v>82</v>
      </c>
      <c r="L310">
        <v>51762.55</v>
      </c>
      <c r="M310" t="s">
        <v>54</v>
      </c>
      <c r="N310" t="s">
        <v>35</v>
      </c>
      <c r="O310" t="s">
        <v>1227</v>
      </c>
    </row>
    <row r="311" spans="1:15" ht="13.8" x14ac:dyDescent="0.25">
      <c r="A311" t="s">
        <v>1077</v>
      </c>
      <c r="B311" t="s">
        <v>327</v>
      </c>
      <c r="C311">
        <v>38</v>
      </c>
      <c r="D311" t="s">
        <v>58</v>
      </c>
      <c r="E311" t="s">
        <v>78</v>
      </c>
      <c r="F311" t="s">
        <v>50</v>
      </c>
      <c r="G311" t="s">
        <v>1221</v>
      </c>
      <c r="H311" s="1">
        <v>45877</v>
      </c>
      <c r="I311" s="1">
        <v>45883</v>
      </c>
      <c r="J311" t="s">
        <v>332</v>
      </c>
      <c r="K311" t="s">
        <v>383</v>
      </c>
      <c r="L311">
        <v>144237.31</v>
      </c>
      <c r="M311" t="s">
        <v>1225</v>
      </c>
      <c r="N311" t="s">
        <v>25</v>
      </c>
      <c r="O311" t="s">
        <v>112</v>
      </c>
    </row>
    <row r="312" spans="1:15" ht="13.8" x14ac:dyDescent="0.25">
      <c r="A312" t="s">
        <v>1079</v>
      </c>
      <c r="B312" t="s">
        <v>726</v>
      </c>
      <c r="C312">
        <v>17</v>
      </c>
      <c r="D312" t="s">
        <v>17</v>
      </c>
      <c r="E312" t="s">
        <v>18</v>
      </c>
      <c r="F312" t="s">
        <v>165</v>
      </c>
      <c r="G312" t="s">
        <v>1252</v>
      </c>
      <c r="H312" s="1">
        <v>45850</v>
      </c>
      <c r="I312" s="1">
        <v>46014</v>
      </c>
      <c r="J312" t="s">
        <v>222</v>
      </c>
      <c r="K312" t="s">
        <v>223</v>
      </c>
      <c r="L312">
        <v>154474.9</v>
      </c>
      <c r="M312" t="s">
        <v>118</v>
      </c>
      <c r="N312" t="s">
        <v>55</v>
      </c>
      <c r="O312" t="s">
        <v>45</v>
      </c>
    </row>
    <row r="313" spans="1:15" ht="13.8" x14ac:dyDescent="0.25">
      <c r="A313" t="s">
        <v>1080</v>
      </c>
      <c r="B313" t="s">
        <v>991</v>
      </c>
      <c r="C313">
        <v>28</v>
      </c>
      <c r="D313" t="s">
        <v>58</v>
      </c>
      <c r="E313" t="s">
        <v>78</v>
      </c>
      <c r="F313" t="s">
        <v>165</v>
      </c>
      <c r="G313" t="s">
        <v>1239</v>
      </c>
      <c r="H313" s="1">
        <v>45943</v>
      </c>
      <c r="I313" s="1">
        <v>46014</v>
      </c>
      <c r="J313" t="s">
        <v>222</v>
      </c>
      <c r="K313" t="s">
        <v>223</v>
      </c>
      <c r="L313">
        <v>-271072.07</v>
      </c>
      <c r="M313" t="s">
        <v>24</v>
      </c>
      <c r="N313" t="s">
        <v>69</v>
      </c>
      <c r="O313" t="s">
        <v>36</v>
      </c>
    </row>
    <row r="314" spans="1:15" ht="13.8" x14ac:dyDescent="0.25">
      <c r="A314" t="s">
        <v>1081</v>
      </c>
      <c r="B314" t="s">
        <v>109</v>
      </c>
      <c r="C314">
        <v>78</v>
      </c>
      <c r="D314" t="s">
        <v>58</v>
      </c>
      <c r="E314" t="s">
        <v>1215</v>
      </c>
      <c r="F314" t="s">
        <v>30</v>
      </c>
      <c r="G314" t="s">
        <v>1216</v>
      </c>
      <c r="H314" s="1">
        <v>45773</v>
      </c>
      <c r="I314" s="1">
        <v>45791</v>
      </c>
      <c r="J314" t="s">
        <v>88</v>
      </c>
      <c r="K314" t="s">
        <v>89</v>
      </c>
      <c r="L314">
        <v>40000</v>
      </c>
      <c r="M314" t="s">
        <v>1225</v>
      </c>
      <c r="N314" t="s">
        <v>55</v>
      </c>
      <c r="O314" t="s">
        <v>1227</v>
      </c>
    </row>
    <row r="315" spans="1:15" ht="13.8" x14ac:dyDescent="0.25">
      <c r="A315" t="s">
        <v>1084</v>
      </c>
      <c r="B315" t="s">
        <v>649</v>
      </c>
      <c r="C315">
        <v>86</v>
      </c>
      <c r="D315" t="s">
        <v>17</v>
      </c>
      <c r="E315" t="s">
        <v>49</v>
      </c>
      <c r="F315" t="s">
        <v>1215</v>
      </c>
      <c r="G315" t="s">
        <v>1229</v>
      </c>
      <c r="H315" s="1">
        <v>45899</v>
      </c>
      <c r="I315" s="1">
        <v>45911</v>
      </c>
      <c r="J315" t="s">
        <v>106</v>
      </c>
      <c r="K315" t="s">
        <v>110</v>
      </c>
      <c r="L315">
        <v>47767.94</v>
      </c>
      <c r="M315" t="s">
        <v>1219</v>
      </c>
      <c r="N315" t="s">
        <v>25</v>
      </c>
      <c r="O315" t="s">
        <v>112</v>
      </c>
    </row>
    <row r="316" spans="1:15" ht="13.8" x14ac:dyDescent="0.25">
      <c r="A316" t="s">
        <v>1085</v>
      </c>
      <c r="B316" t="s">
        <v>590</v>
      </c>
      <c r="C316">
        <v>78</v>
      </c>
      <c r="D316" t="s">
        <v>58</v>
      </c>
      <c r="E316" t="s">
        <v>102</v>
      </c>
      <c r="F316" t="s">
        <v>40</v>
      </c>
      <c r="G316" t="s">
        <v>1246</v>
      </c>
      <c r="H316" s="1">
        <v>45745</v>
      </c>
      <c r="I316" s="1">
        <v>45751</v>
      </c>
      <c r="J316" t="s">
        <v>238</v>
      </c>
      <c r="K316" t="s">
        <v>67</v>
      </c>
      <c r="L316">
        <v>42917.919999999998</v>
      </c>
      <c r="M316" t="s">
        <v>118</v>
      </c>
      <c r="N316" t="s">
        <v>69</v>
      </c>
      <c r="O316" t="s">
        <v>1227</v>
      </c>
    </row>
    <row r="317" spans="1:15" ht="13.8" x14ac:dyDescent="0.25">
      <c r="A317" t="s">
        <v>1086</v>
      </c>
      <c r="B317" t="s">
        <v>431</v>
      </c>
      <c r="C317">
        <v>57</v>
      </c>
      <c r="D317" t="s">
        <v>17</v>
      </c>
      <c r="E317" t="s">
        <v>72</v>
      </c>
      <c r="F317" t="s">
        <v>165</v>
      </c>
      <c r="G317" t="s">
        <v>1239</v>
      </c>
      <c r="H317" s="1">
        <v>45675</v>
      </c>
      <c r="I317" s="1">
        <v>45690</v>
      </c>
      <c r="J317" t="s">
        <v>168</v>
      </c>
      <c r="K317" t="s">
        <v>169</v>
      </c>
      <c r="L317">
        <v>276405.78000000003</v>
      </c>
      <c r="M317" t="s">
        <v>34</v>
      </c>
      <c r="N317" t="s">
        <v>1215</v>
      </c>
      <c r="O317" t="s">
        <v>36</v>
      </c>
    </row>
    <row r="318" spans="1:15" ht="13.8" x14ac:dyDescent="0.25">
      <c r="A318" t="s">
        <v>1087</v>
      </c>
      <c r="B318" t="s">
        <v>928</v>
      </c>
      <c r="C318">
        <v>32</v>
      </c>
      <c r="D318" t="s">
        <v>58</v>
      </c>
      <c r="E318" t="s">
        <v>78</v>
      </c>
      <c r="F318" t="s">
        <v>60</v>
      </c>
      <c r="G318" t="s">
        <v>1240</v>
      </c>
      <c r="H318" s="1">
        <v>45903</v>
      </c>
      <c r="I318" s="1">
        <v>45878</v>
      </c>
      <c r="J318" t="s">
        <v>132</v>
      </c>
      <c r="K318" t="s">
        <v>1238</v>
      </c>
      <c r="L318">
        <v>270242.33</v>
      </c>
      <c r="M318" t="s">
        <v>118</v>
      </c>
      <c r="N318" t="s">
        <v>35</v>
      </c>
      <c r="O318" t="s">
        <v>1227</v>
      </c>
    </row>
    <row r="319" spans="1:15" ht="13.8" x14ac:dyDescent="0.25">
      <c r="A319" t="s">
        <v>1089</v>
      </c>
      <c r="B319" t="s">
        <v>1090</v>
      </c>
      <c r="C319">
        <v>83</v>
      </c>
      <c r="D319" t="s">
        <v>17</v>
      </c>
      <c r="E319" t="s">
        <v>72</v>
      </c>
      <c r="F319" t="s">
        <v>50</v>
      </c>
      <c r="G319" t="s">
        <v>1243</v>
      </c>
      <c r="H319" s="1">
        <v>45933</v>
      </c>
      <c r="I319" s="1">
        <v>45945</v>
      </c>
      <c r="J319" t="s">
        <v>315</v>
      </c>
      <c r="K319" t="s">
        <v>204</v>
      </c>
      <c r="L319">
        <v>243996.75</v>
      </c>
      <c r="M319" t="s">
        <v>1215</v>
      </c>
      <c r="N319" t="s">
        <v>69</v>
      </c>
      <c r="O319" t="s">
        <v>1227</v>
      </c>
    </row>
    <row r="320" spans="1:15" ht="13.8" x14ac:dyDescent="0.25">
      <c r="A320" t="s">
        <v>1272</v>
      </c>
      <c r="B320" t="s">
        <v>1215</v>
      </c>
      <c r="C320">
        <v>21</v>
      </c>
      <c r="D320" t="s">
        <v>17</v>
      </c>
      <c r="E320" t="s">
        <v>102</v>
      </c>
      <c r="F320" t="s">
        <v>165</v>
      </c>
      <c r="G320" t="s">
        <v>1239</v>
      </c>
      <c r="H320" s="1">
        <v>45698</v>
      </c>
      <c r="I320" s="1">
        <v>46014</v>
      </c>
      <c r="J320" t="s">
        <v>222</v>
      </c>
      <c r="K320" t="s">
        <v>223</v>
      </c>
      <c r="L320">
        <v>27887.200000000001</v>
      </c>
      <c r="M320" t="s">
        <v>1215</v>
      </c>
      <c r="N320" t="s">
        <v>35</v>
      </c>
      <c r="O320" t="s">
        <v>45</v>
      </c>
    </row>
    <row r="321" spans="1:15" ht="13.8" x14ac:dyDescent="0.25">
      <c r="A321" t="s">
        <v>1092</v>
      </c>
      <c r="B321" t="s">
        <v>1093</v>
      </c>
      <c r="C321">
        <v>48</v>
      </c>
      <c r="D321" t="s">
        <v>17</v>
      </c>
      <c r="E321" t="s">
        <v>137</v>
      </c>
      <c r="F321" t="s">
        <v>30</v>
      </c>
      <c r="G321" t="s">
        <v>1251</v>
      </c>
      <c r="H321" s="1">
        <v>45892</v>
      </c>
      <c r="I321" s="1">
        <v>45906</v>
      </c>
      <c r="J321" t="s">
        <v>32</v>
      </c>
      <c r="K321" t="s">
        <v>33</v>
      </c>
      <c r="L321">
        <v>94685.56</v>
      </c>
      <c r="M321" t="s">
        <v>54</v>
      </c>
      <c r="N321" t="s">
        <v>55</v>
      </c>
      <c r="O321" t="s">
        <v>1227</v>
      </c>
    </row>
    <row r="322" spans="1:15" ht="13.8" x14ac:dyDescent="0.25">
      <c r="A322" t="s">
        <v>1094</v>
      </c>
      <c r="B322" t="s">
        <v>991</v>
      </c>
      <c r="C322">
        <v>28</v>
      </c>
      <c r="D322" t="s">
        <v>58</v>
      </c>
      <c r="E322" t="s">
        <v>102</v>
      </c>
      <c r="F322" t="s">
        <v>19</v>
      </c>
      <c r="G322" t="s">
        <v>1256</v>
      </c>
      <c r="H322" s="1">
        <v>45718</v>
      </c>
      <c r="I322" s="1">
        <v>45721</v>
      </c>
      <c r="J322" t="s">
        <v>22</v>
      </c>
      <c r="K322" t="s">
        <v>23</v>
      </c>
      <c r="L322">
        <v>297160.62</v>
      </c>
      <c r="M322" t="s">
        <v>1247</v>
      </c>
      <c r="N322" t="s">
        <v>35</v>
      </c>
      <c r="O322" t="s">
        <v>1262</v>
      </c>
    </row>
    <row r="323" spans="1:15" ht="13.8" x14ac:dyDescent="0.25">
      <c r="A323" t="s">
        <v>1095</v>
      </c>
      <c r="B323" t="s">
        <v>770</v>
      </c>
      <c r="C323">
        <v>2</v>
      </c>
      <c r="D323" t="s">
        <v>17</v>
      </c>
      <c r="E323" t="s">
        <v>102</v>
      </c>
      <c r="F323" t="s">
        <v>1215</v>
      </c>
      <c r="G323" t="s">
        <v>1239</v>
      </c>
      <c r="H323" s="1">
        <v>45866</v>
      </c>
      <c r="I323" s="1">
        <v>45881</v>
      </c>
      <c r="J323" t="s">
        <v>168</v>
      </c>
      <c r="K323" t="s">
        <v>169</v>
      </c>
      <c r="L323">
        <v>226360.94</v>
      </c>
      <c r="M323" t="s">
        <v>54</v>
      </c>
      <c r="N323" t="s">
        <v>74</v>
      </c>
      <c r="O323" t="s">
        <v>112</v>
      </c>
    </row>
    <row r="324" spans="1:15" ht="13.8" x14ac:dyDescent="0.25">
      <c r="A324" t="s">
        <v>1096</v>
      </c>
      <c r="B324" t="s">
        <v>979</v>
      </c>
      <c r="C324">
        <v>19</v>
      </c>
      <c r="D324" t="s">
        <v>17</v>
      </c>
      <c r="E324" t="s">
        <v>102</v>
      </c>
      <c r="F324" t="s">
        <v>30</v>
      </c>
      <c r="G324" t="s">
        <v>1216</v>
      </c>
      <c r="H324" s="1">
        <v>45970</v>
      </c>
      <c r="I324" s="1">
        <v>46014</v>
      </c>
      <c r="J324" t="s">
        <v>122</v>
      </c>
      <c r="K324" t="s">
        <v>123</v>
      </c>
      <c r="L324">
        <v>67171.45</v>
      </c>
      <c r="M324" t="s">
        <v>24</v>
      </c>
      <c r="N324" t="s">
        <v>69</v>
      </c>
      <c r="O324" t="s">
        <v>45</v>
      </c>
    </row>
    <row r="325" spans="1:15" ht="13.8" x14ac:dyDescent="0.25">
      <c r="A325" t="s">
        <v>1097</v>
      </c>
      <c r="B325" t="s">
        <v>664</v>
      </c>
      <c r="C325">
        <v>6</v>
      </c>
      <c r="D325" t="s">
        <v>17</v>
      </c>
      <c r="E325" t="s">
        <v>72</v>
      </c>
      <c r="F325" t="s">
        <v>19</v>
      </c>
      <c r="G325" t="s">
        <v>1256</v>
      </c>
      <c r="H325" s="1">
        <v>45831</v>
      </c>
      <c r="I325" s="1">
        <v>45837</v>
      </c>
      <c r="J325" t="s">
        <v>151</v>
      </c>
      <c r="K325" t="s">
        <v>152</v>
      </c>
      <c r="L325">
        <v>269392.61</v>
      </c>
      <c r="M325" t="s">
        <v>54</v>
      </c>
      <c r="N325" t="s">
        <v>25</v>
      </c>
      <c r="O325" t="s">
        <v>1227</v>
      </c>
    </row>
    <row r="326" spans="1:15" ht="13.8" x14ac:dyDescent="0.25">
      <c r="A326" t="s">
        <v>1232</v>
      </c>
      <c r="B326" t="s">
        <v>445</v>
      </c>
      <c r="C326">
        <v>19</v>
      </c>
      <c r="D326" t="s">
        <v>17</v>
      </c>
      <c r="E326" t="s">
        <v>137</v>
      </c>
      <c r="F326" t="s">
        <v>165</v>
      </c>
      <c r="G326" t="s">
        <v>1242</v>
      </c>
      <c r="H326" s="1">
        <v>45973</v>
      </c>
      <c r="I326" s="1">
        <v>45977</v>
      </c>
      <c r="J326" t="s">
        <v>183</v>
      </c>
      <c r="K326" t="s">
        <v>184</v>
      </c>
      <c r="L326">
        <v>58427.63</v>
      </c>
      <c r="M326" t="s">
        <v>1225</v>
      </c>
      <c r="N326" t="s">
        <v>69</v>
      </c>
      <c r="O326" t="s">
        <v>26</v>
      </c>
    </row>
    <row r="327" spans="1:15" ht="13.8" x14ac:dyDescent="0.25">
      <c r="A327" t="s">
        <v>1098</v>
      </c>
      <c r="B327" t="s">
        <v>1099</v>
      </c>
      <c r="C327">
        <v>82</v>
      </c>
      <c r="D327" t="s">
        <v>17</v>
      </c>
      <c r="E327" t="s">
        <v>72</v>
      </c>
      <c r="F327" t="s">
        <v>50</v>
      </c>
      <c r="G327" t="s">
        <v>1226</v>
      </c>
      <c r="H327" s="1">
        <v>46000</v>
      </c>
      <c r="I327" s="1">
        <v>46008</v>
      </c>
      <c r="J327" t="s">
        <v>315</v>
      </c>
      <c r="K327" t="s">
        <v>204</v>
      </c>
      <c r="L327">
        <v>231726.06</v>
      </c>
      <c r="M327" t="s">
        <v>34</v>
      </c>
      <c r="N327" t="s">
        <v>69</v>
      </c>
      <c r="O327" t="s">
        <v>1227</v>
      </c>
    </row>
    <row r="328" spans="1:15" ht="13.8" x14ac:dyDescent="0.25">
      <c r="A328" t="s">
        <v>1100</v>
      </c>
      <c r="B328" t="s">
        <v>1049</v>
      </c>
      <c r="C328">
        <v>8</v>
      </c>
      <c r="D328" t="s">
        <v>17</v>
      </c>
      <c r="E328" t="s">
        <v>78</v>
      </c>
      <c r="F328" t="s">
        <v>40</v>
      </c>
      <c r="G328" t="s">
        <v>1217</v>
      </c>
      <c r="H328" s="1">
        <v>45746</v>
      </c>
      <c r="I328" s="1">
        <v>45762</v>
      </c>
      <c r="J328" t="s">
        <v>116</v>
      </c>
      <c r="K328" t="s">
        <v>1231</v>
      </c>
      <c r="L328">
        <v>40000</v>
      </c>
      <c r="M328" t="s">
        <v>84</v>
      </c>
      <c r="N328" t="s">
        <v>35</v>
      </c>
      <c r="O328" t="s">
        <v>26</v>
      </c>
    </row>
    <row r="329" spans="1:15" ht="13.8" x14ac:dyDescent="0.25">
      <c r="A329" t="s">
        <v>1101</v>
      </c>
      <c r="B329" t="s">
        <v>200</v>
      </c>
      <c r="C329">
        <v>17</v>
      </c>
      <c r="D329" t="s">
        <v>17</v>
      </c>
      <c r="E329" t="s">
        <v>39</v>
      </c>
      <c r="F329" t="s">
        <v>30</v>
      </c>
      <c r="G329" t="s">
        <v>1233</v>
      </c>
      <c r="H329" s="1">
        <v>45929</v>
      </c>
      <c r="I329" s="1">
        <v>45726</v>
      </c>
      <c r="J329" t="s">
        <v>1215</v>
      </c>
      <c r="K329" t="s">
        <v>1248</v>
      </c>
      <c r="L329">
        <v>-32263.040000000001</v>
      </c>
      <c r="M329" t="s">
        <v>84</v>
      </c>
      <c r="N329" t="s">
        <v>35</v>
      </c>
      <c r="O329" t="s">
        <v>112</v>
      </c>
    </row>
    <row r="330" spans="1:15" ht="13.8" x14ac:dyDescent="0.25">
      <c r="A330" t="s">
        <v>1102</v>
      </c>
      <c r="B330" t="s">
        <v>506</v>
      </c>
      <c r="C330">
        <v>12</v>
      </c>
      <c r="D330" t="s">
        <v>58</v>
      </c>
      <c r="E330" t="s">
        <v>59</v>
      </c>
      <c r="F330" t="s">
        <v>103</v>
      </c>
      <c r="G330" t="s">
        <v>1236</v>
      </c>
      <c r="H330" s="1">
        <v>45757</v>
      </c>
      <c r="I330" s="1">
        <v>45711</v>
      </c>
      <c r="J330" t="s">
        <v>106</v>
      </c>
      <c r="K330" t="s">
        <v>110</v>
      </c>
      <c r="L330">
        <v>330944.7</v>
      </c>
      <c r="M330" t="s">
        <v>118</v>
      </c>
      <c r="N330" t="s">
        <v>55</v>
      </c>
      <c r="O330" t="s">
        <v>36</v>
      </c>
    </row>
    <row r="331" spans="1:15" ht="13.8" x14ac:dyDescent="0.25">
      <c r="A331" t="s">
        <v>1106</v>
      </c>
      <c r="B331" t="s">
        <v>317</v>
      </c>
      <c r="C331">
        <v>52</v>
      </c>
      <c r="D331" t="s">
        <v>58</v>
      </c>
      <c r="E331" t="s">
        <v>49</v>
      </c>
      <c r="F331" t="s">
        <v>30</v>
      </c>
      <c r="G331" t="s">
        <v>1216</v>
      </c>
      <c r="H331" s="1">
        <v>45826</v>
      </c>
      <c r="I331" s="1">
        <v>45827</v>
      </c>
      <c r="J331" t="s">
        <v>32</v>
      </c>
      <c r="K331" t="s">
        <v>33</v>
      </c>
      <c r="L331">
        <v>15338.44</v>
      </c>
      <c r="M331" t="s">
        <v>84</v>
      </c>
      <c r="N331" t="s">
        <v>35</v>
      </c>
      <c r="O331" t="s">
        <v>112</v>
      </c>
    </row>
    <row r="332" spans="1:15" ht="13.8" x14ac:dyDescent="0.25">
      <c r="A332" t="s">
        <v>1107</v>
      </c>
      <c r="B332" t="s">
        <v>365</v>
      </c>
      <c r="C332">
        <v>73</v>
      </c>
      <c r="D332" t="s">
        <v>58</v>
      </c>
      <c r="E332" t="s">
        <v>137</v>
      </c>
      <c r="F332" t="s">
        <v>30</v>
      </c>
      <c r="G332" t="s">
        <v>1216</v>
      </c>
      <c r="H332" s="1">
        <v>45696</v>
      </c>
      <c r="I332" s="1">
        <v>45709</v>
      </c>
      <c r="J332" t="s">
        <v>246</v>
      </c>
      <c r="K332" t="s">
        <v>1248</v>
      </c>
      <c r="L332">
        <v>301563.46000000002</v>
      </c>
      <c r="M332" t="s">
        <v>54</v>
      </c>
      <c r="N332" t="s">
        <v>35</v>
      </c>
      <c r="O332" t="s">
        <v>26</v>
      </c>
    </row>
    <row r="333" spans="1:15" ht="13.8" x14ac:dyDescent="0.25">
      <c r="A333" t="s">
        <v>1108</v>
      </c>
      <c r="B333" t="s">
        <v>248</v>
      </c>
      <c r="C333">
        <v>38</v>
      </c>
      <c r="D333" t="s">
        <v>58</v>
      </c>
      <c r="E333" t="s">
        <v>1215</v>
      </c>
      <c r="F333" t="s">
        <v>103</v>
      </c>
      <c r="G333" t="s">
        <v>1236</v>
      </c>
      <c r="H333" s="1">
        <v>45933</v>
      </c>
      <c r="I333" s="1">
        <v>45946</v>
      </c>
      <c r="J333" t="s">
        <v>249</v>
      </c>
      <c r="K333" t="s">
        <v>250</v>
      </c>
      <c r="L333">
        <v>266848.95</v>
      </c>
      <c r="M333" t="s">
        <v>118</v>
      </c>
      <c r="N333" t="s">
        <v>55</v>
      </c>
      <c r="O333" t="s">
        <v>36</v>
      </c>
    </row>
    <row r="334" spans="1:15" ht="13.8" x14ac:dyDescent="0.25">
      <c r="A334" t="s">
        <v>1273</v>
      </c>
      <c r="B334" t="s">
        <v>1090</v>
      </c>
      <c r="C334">
        <v>56</v>
      </c>
      <c r="D334" t="s">
        <v>17</v>
      </c>
      <c r="E334" t="s">
        <v>97</v>
      </c>
      <c r="F334" t="s">
        <v>103</v>
      </c>
      <c r="G334" t="s">
        <v>1245</v>
      </c>
      <c r="H334" s="1">
        <v>45757</v>
      </c>
      <c r="I334" s="1">
        <v>46014</v>
      </c>
      <c r="J334" t="s">
        <v>219</v>
      </c>
      <c r="K334" t="s">
        <v>140</v>
      </c>
      <c r="L334">
        <v>-349245.8</v>
      </c>
      <c r="M334" t="s">
        <v>162</v>
      </c>
      <c r="N334" t="s">
        <v>69</v>
      </c>
      <c r="O334" t="s">
        <v>45</v>
      </c>
    </row>
    <row r="335" spans="1:15" ht="13.8" x14ac:dyDescent="0.25">
      <c r="A335" t="s">
        <v>1112</v>
      </c>
      <c r="B335" t="s">
        <v>71</v>
      </c>
      <c r="C335">
        <v>62</v>
      </c>
      <c r="D335" t="s">
        <v>17</v>
      </c>
      <c r="E335" t="s">
        <v>155</v>
      </c>
      <c r="F335" t="s">
        <v>60</v>
      </c>
      <c r="G335" t="s">
        <v>1240</v>
      </c>
      <c r="H335" s="1">
        <v>45896</v>
      </c>
      <c r="I335" s="1">
        <v>46014</v>
      </c>
      <c r="J335" t="s">
        <v>1215</v>
      </c>
      <c r="K335" t="s">
        <v>1224</v>
      </c>
      <c r="L335">
        <v>257045.17</v>
      </c>
      <c r="M335" t="s">
        <v>118</v>
      </c>
      <c r="N335" t="s">
        <v>55</v>
      </c>
      <c r="O335" t="s">
        <v>45</v>
      </c>
    </row>
    <row r="336" spans="1:15" ht="13.8" x14ac:dyDescent="0.25">
      <c r="A336" t="s">
        <v>1114</v>
      </c>
      <c r="B336" t="s">
        <v>479</v>
      </c>
      <c r="C336">
        <v>80</v>
      </c>
      <c r="D336" t="s">
        <v>17</v>
      </c>
      <c r="E336" t="s">
        <v>18</v>
      </c>
      <c r="F336" t="s">
        <v>30</v>
      </c>
      <c r="G336" t="s">
        <v>1216</v>
      </c>
      <c r="H336" s="1">
        <v>45757</v>
      </c>
      <c r="I336" s="1">
        <v>45951</v>
      </c>
      <c r="J336" t="s">
        <v>88</v>
      </c>
      <c r="K336" t="s">
        <v>89</v>
      </c>
      <c r="L336">
        <v>113667.33</v>
      </c>
      <c r="M336" t="s">
        <v>84</v>
      </c>
      <c r="N336" t="s">
        <v>69</v>
      </c>
      <c r="O336" t="s">
        <v>112</v>
      </c>
    </row>
    <row r="337" spans="1:15" ht="13.8" x14ac:dyDescent="0.25">
      <c r="A337" t="s">
        <v>1115</v>
      </c>
      <c r="B337" t="s">
        <v>759</v>
      </c>
      <c r="C337">
        <v>33</v>
      </c>
      <c r="D337" t="s">
        <v>17</v>
      </c>
      <c r="E337" t="s">
        <v>102</v>
      </c>
      <c r="F337" t="s">
        <v>30</v>
      </c>
      <c r="G337" t="s">
        <v>1216</v>
      </c>
      <c r="H337" s="1">
        <v>45803</v>
      </c>
      <c r="I337" s="1">
        <v>46014</v>
      </c>
      <c r="J337" t="s">
        <v>32</v>
      </c>
      <c r="K337" t="s">
        <v>33</v>
      </c>
      <c r="L337">
        <v>327664.96000000002</v>
      </c>
      <c r="M337" t="s">
        <v>84</v>
      </c>
      <c r="N337" t="s">
        <v>35</v>
      </c>
      <c r="O337" t="s">
        <v>45</v>
      </c>
    </row>
    <row r="338" spans="1:15" ht="13.8" x14ac:dyDescent="0.25">
      <c r="A338" t="s">
        <v>1116</v>
      </c>
      <c r="B338" t="s">
        <v>606</v>
      </c>
      <c r="C338">
        <v>77</v>
      </c>
      <c r="D338" t="s">
        <v>58</v>
      </c>
      <c r="E338" t="s">
        <v>97</v>
      </c>
      <c r="F338" t="s">
        <v>165</v>
      </c>
      <c r="G338" t="s">
        <v>1242</v>
      </c>
      <c r="H338" s="1">
        <v>45735</v>
      </c>
      <c r="I338" s="1">
        <v>45747</v>
      </c>
      <c r="J338" t="s">
        <v>168</v>
      </c>
      <c r="K338" t="s">
        <v>169</v>
      </c>
      <c r="L338">
        <v>14412.2</v>
      </c>
      <c r="M338" t="s">
        <v>24</v>
      </c>
      <c r="N338" t="s">
        <v>69</v>
      </c>
      <c r="O338" t="s">
        <v>1227</v>
      </c>
    </row>
    <row r="339" spans="1:15" ht="13.8" x14ac:dyDescent="0.25">
      <c r="A339" t="s">
        <v>1118</v>
      </c>
      <c r="B339" t="s">
        <v>1119</v>
      </c>
      <c r="C339">
        <v>69</v>
      </c>
      <c r="D339" t="s">
        <v>58</v>
      </c>
      <c r="E339" t="s">
        <v>137</v>
      </c>
      <c r="F339" t="s">
        <v>60</v>
      </c>
      <c r="G339" t="s">
        <v>1223</v>
      </c>
      <c r="H339" s="1">
        <v>45957</v>
      </c>
      <c r="I339" s="1">
        <v>45963</v>
      </c>
      <c r="J339" t="s">
        <v>81</v>
      </c>
      <c r="K339" t="s">
        <v>82</v>
      </c>
      <c r="L339">
        <v>206432.71</v>
      </c>
      <c r="M339" t="s">
        <v>1225</v>
      </c>
      <c r="N339" t="s">
        <v>55</v>
      </c>
      <c r="O339" t="s">
        <v>26</v>
      </c>
    </row>
    <row r="340" spans="1:15" ht="13.8" x14ac:dyDescent="0.25">
      <c r="A340" t="s">
        <v>1120</v>
      </c>
      <c r="B340" t="s">
        <v>1121</v>
      </c>
      <c r="C340">
        <v>17</v>
      </c>
      <c r="D340" t="s">
        <v>17</v>
      </c>
      <c r="E340" t="s">
        <v>18</v>
      </c>
      <c r="F340" t="s">
        <v>50</v>
      </c>
      <c r="G340" t="s">
        <v>1243</v>
      </c>
      <c r="H340" s="1">
        <v>45781</v>
      </c>
      <c r="I340" s="1">
        <v>45792</v>
      </c>
      <c r="J340" t="s">
        <v>1215</v>
      </c>
      <c r="K340" t="s">
        <v>1244</v>
      </c>
      <c r="L340">
        <v>-115728.64</v>
      </c>
      <c r="M340" t="s">
        <v>1219</v>
      </c>
      <c r="N340" t="s">
        <v>55</v>
      </c>
      <c r="O340" t="s">
        <v>112</v>
      </c>
    </row>
    <row r="341" spans="1:15" ht="13.8" x14ac:dyDescent="0.25">
      <c r="A341" t="s">
        <v>1123</v>
      </c>
      <c r="B341" t="s">
        <v>479</v>
      </c>
      <c r="C341">
        <v>85</v>
      </c>
      <c r="D341" t="s">
        <v>17</v>
      </c>
      <c r="E341" t="s">
        <v>78</v>
      </c>
      <c r="F341" t="s">
        <v>19</v>
      </c>
      <c r="G341" t="s">
        <v>1256</v>
      </c>
      <c r="H341" s="1">
        <v>45704</v>
      </c>
      <c r="I341" s="1">
        <v>46014</v>
      </c>
      <c r="J341" t="s">
        <v>366</v>
      </c>
      <c r="K341" t="s">
        <v>367</v>
      </c>
      <c r="L341">
        <v>68567.039999999994</v>
      </c>
      <c r="M341" t="s">
        <v>34</v>
      </c>
      <c r="N341" t="s">
        <v>69</v>
      </c>
      <c r="O341" t="s">
        <v>45</v>
      </c>
    </row>
    <row r="342" spans="1:15" ht="13.8" x14ac:dyDescent="0.25">
      <c r="A342" t="s">
        <v>1124</v>
      </c>
      <c r="B342" t="s">
        <v>475</v>
      </c>
      <c r="C342">
        <v>18</v>
      </c>
      <c r="D342" t="s">
        <v>17</v>
      </c>
      <c r="E342" t="s">
        <v>78</v>
      </c>
      <c r="F342" t="s">
        <v>19</v>
      </c>
      <c r="G342" t="s">
        <v>1230</v>
      </c>
      <c r="H342" s="1">
        <v>45709</v>
      </c>
      <c r="I342" s="1">
        <v>45711</v>
      </c>
      <c r="J342" t="s">
        <v>233</v>
      </c>
      <c r="K342" t="s">
        <v>234</v>
      </c>
      <c r="L342">
        <v>245988.96</v>
      </c>
      <c r="M342" t="s">
        <v>1215</v>
      </c>
      <c r="N342" t="s">
        <v>35</v>
      </c>
      <c r="O342" t="s">
        <v>36</v>
      </c>
    </row>
    <row r="343" spans="1:15" ht="13.8" x14ac:dyDescent="0.25">
      <c r="A343" t="s">
        <v>1125</v>
      </c>
      <c r="B343" t="s">
        <v>528</v>
      </c>
      <c r="C343">
        <v>50</v>
      </c>
      <c r="D343" t="s">
        <v>17</v>
      </c>
      <c r="E343" t="s">
        <v>155</v>
      </c>
      <c r="F343" t="s">
        <v>30</v>
      </c>
      <c r="G343" t="s">
        <v>1226</v>
      </c>
      <c r="H343" s="1">
        <v>45825</v>
      </c>
      <c r="I343" s="1">
        <v>45834</v>
      </c>
      <c r="J343" t="s">
        <v>122</v>
      </c>
      <c r="K343" t="s">
        <v>123</v>
      </c>
      <c r="L343">
        <v>75111.69</v>
      </c>
      <c r="M343" t="s">
        <v>1219</v>
      </c>
      <c r="N343" t="s">
        <v>69</v>
      </c>
      <c r="O343" t="s">
        <v>26</v>
      </c>
    </row>
    <row r="344" spans="1:15" ht="13.8" x14ac:dyDescent="0.25">
      <c r="A344" t="s">
        <v>1127</v>
      </c>
      <c r="B344" t="s">
        <v>1128</v>
      </c>
      <c r="C344">
        <v>65</v>
      </c>
      <c r="D344" t="s">
        <v>17</v>
      </c>
      <c r="E344" t="s">
        <v>137</v>
      </c>
      <c r="F344" t="s">
        <v>60</v>
      </c>
      <c r="G344" t="s">
        <v>1240</v>
      </c>
      <c r="H344" s="1">
        <v>45763</v>
      </c>
      <c r="I344" s="1">
        <v>45766</v>
      </c>
      <c r="J344" t="s">
        <v>81</v>
      </c>
      <c r="K344" t="s">
        <v>82</v>
      </c>
      <c r="L344">
        <v>180878.3</v>
      </c>
      <c r="M344" t="s">
        <v>24</v>
      </c>
      <c r="N344" t="s">
        <v>69</v>
      </c>
      <c r="O344" t="s">
        <v>36</v>
      </c>
    </row>
    <row r="345" spans="1:15" ht="13.8" x14ac:dyDescent="0.25">
      <c r="A345" t="s">
        <v>1129</v>
      </c>
      <c r="B345" t="s">
        <v>901</v>
      </c>
      <c r="C345">
        <v>25</v>
      </c>
      <c r="D345" t="s">
        <v>17</v>
      </c>
      <c r="E345" t="s">
        <v>137</v>
      </c>
      <c r="F345" t="s">
        <v>50</v>
      </c>
      <c r="G345" t="s">
        <v>1221</v>
      </c>
      <c r="H345" s="1">
        <v>45738</v>
      </c>
      <c r="I345" s="1">
        <v>45753</v>
      </c>
      <c r="J345" t="s">
        <v>315</v>
      </c>
      <c r="K345" t="s">
        <v>204</v>
      </c>
      <c r="L345" s="4">
        <v>68817.2</v>
      </c>
      <c r="M345" t="s">
        <v>1225</v>
      </c>
      <c r="N345" t="s">
        <v>25</v>
      </c>
      <c r="O345" t="s">
        <v>1227</v>
      </c>
    </row>
    <row r="346" spans="1:15" ht="13.8" x14ac:dyDescent="0.25">
      <c r="A346" t="s">
        <v>1133</v>
      </c>
      <c r="B346" t="s">
        <v>897</v>
      </c>
      <c r="C346">
        <v>58</v>
      </c>
      <c r="D346" t="s">
        <v>115</v>
      </c>
      <c r="E346" t="s">
        <v>59</v>
      </c>
      <c r="F346" t="s">
        <v>50</v>
      </c>
      <c r="G346" t="s">
        <v>1226</v>
      </c>
      <c r="H346" s="1">
        <v>45752</v>
      </c>
      <c r="I346" s="1">
        <v>45761</v>
      </c>
      <c r="J346" t="s">
        <v>332</v>
      </c>
      <c r="K346" t="s">
        <v>383</v>
      </c>
      <c r="L346">
        <v>229226.77</v>
      </c>
      <c r="M346" t="s">
        <v>1225</v>
      </c>
      <c r="N346" t="s">
        <v>55</v>
      </c>
      <c r="O346" t="s">
        <v>26</v>
      </c>
    </row>
    <row r="347" spans="1:15" ht="13.8" x14ac:dyDescent="0.25">
      <c r="A347" t="s">
        <v>1134</v>
      </c>
      <c r="B347" t="s">
        <v>154</v>
      </c>
      <c r="C347">
        <v>29</v>
      </c>
      <c r="D347" t="s">
        <v>17</v>
      </c>
      <c r="E347" t="s">
        <v>39</v>
      </c>
      <c r="F347" t="s">
        <v>30</v>
      </c>
      <c r="G347" t="s">
        <v>1216</v>
      </c>
      <c r="H347" s="1">
        <v>45689</v>
      </c>
      <c r="I347" s="1">
        <v>46014</v>
      </c>
      <c r="J347" t="s">
        <v>32</v>
      </c>
      <c r="K347" t="s">
        <v>33</v>
      </c>
      <c r="L347">
        <v>183161.99</v>
      </c>
      <c r="M347" t="s">
        <v>118</v>
      </c>
      <c r="N347" t="s">
        <v>69</v>
      </c>
      <c r="O347" t="s">
        <v>45</v>
      </c>
    </row>
    <row r="348" spans="1:15" ht="13.8" x14ac:dyDescent="0.25">
      <c r="A348" t="s">
        <v>1135</v>
      </c>
      <c r="B348" t="s">
        <v>1136</v>
      </c>
      <c r="C348">
        <v>14</v>
      </c>
      <c r="D348" t="s">
        <v>115</v>
      </c>
      <c r="E348" t="s">
        <v>59</v>
      </c>
      <c r="F348" t="s">
        <v>60</v>
      </c>
      <c r="G348" t="s">
        <v>1255</v>
      </c>
      <c r="H348" s="1">
        <v>45755</v>
      </c>
      <c r="I348" s="1">
        <v>45771</v>
      </c>
      <c r="J348" t="s">
        <v>81</v>
      </c>
      <c r="K348" t="s">
        <v>82</v>
      </c>
      <c r="L348">
        <v>129525.51</v>
      </c>
      <c r="M348" t="s">
        <v>84</v>
      </c>
      <c r="N348" t="s">
        <v>25</v>
      </c>
      <c r="O348" t="s">
        <v>36</v>
      </c>
    </row>
    <row r="349" spans="1:15" ht="13.8" x14ac:dyDescent="0.25">
      <c r="A349" t="s">
        <v>1137</v>
      </c>
      <c r="B349" t="s">
        <v>416</v>
      </c>
      <c r="C349">
        <v>3</v>
      </c>
      <c r="D349" t="s">
        <v>17</v>
      </c>
      <c r="E349" t="s">
        <v>137</v>
      </c>
      <c r="F349" t="s">
        <v>50</v>
      </c>
      <c r="G349" t="s">
        <v>1243</v>
      </c>
      <c r="H349" s="1">
        <v>45698</v>
      </c>
      <c r="I349" s="1">
        <v>45696</v>
      </c>
      <c r="J349" t="s">
        <v>191</v>
      </c>
      <c r="K349" t="s">
        <v>1244</v>
      </c>
      <c r="L349" s="4">
        <v>174036.3</v>
      </c>
      <c r="M349" t="s">
        <v>118</v>
      </c>
      <c r="N349" t="s">
        <v>25</v>
      </c>
      <c r="O349" t="s">
        <v>36</v>
      </c>
    </row>
    <row r="350" spans="1:15" ht="13.8" x14ac:dyDescent="0.25">
      <c r="A350" t="s">
        <v>1139</v>
      </c>
      <c r="B350" t="s">
        <v>528</v>
      </c>
      <c r="C350">
        <v>83</v>
      </c>
      <c r="D350" t="s">
        <v>17</v>
      </c>
      <c r="E350" t="s">
        <v>59</v>
      </c>
      <c r="F350" t="s">
        <v>40</v>
      </c>
      <c r="G350" t="s">
        <v>1217</v>
      </c>
      <c r="H350" s="1">
        <v>46001</v>
      </c>
      <c r="I350" s="1">
        <v>46002</v>
      </c>
      <c r="J350" t="s">
        <v>1215</v>
      </c>
      <c r="K350" t="s">
        <v>43</v>
      </c>
      <c r="L350">
        <v>21364.73</v>
      </c>
      <c r="M350" t="s">
        <v>118</v>
      </c>
      <c r="N350" t="s">
        <v>74</v>
      </c>
      <c r="O350" t="s">
        <v>36</v>
      </c>
    </row>
    <row r="351" spans="1:15" ht="13.8" x14ac:dyDescent="0.25">
      <c r="A351" t="s">
        <v>1141</v>
      </c>
      <c r="B351" t="s">
        <v>158</v>
      </c>
      <c r="C351">
        <v>22</v>
      </c>
      <c r="D351" t="s">
        <v>58</v>
      </c>
      <c r="E351" t="s">
        <v>137</v>
      </c>
      <c r="F351" t="s">
        <v>60</v>
      </c>
      <c r="G351" t="s">
        <v>1223</v>
      </c>
      <c r="H351" s="1">
        <v>45689</v>
      </c>
      <c r="I351" s="1">
        <v>45706</v>
      </c>
      <c r="J351" t="s">
        <v>81</v>
      </c>
      <c r="K351" t="s">
        <v>82</v>
      </c>
      <c r="L351">
        <v>344496.24</v>
      </c>
      <c r="M351" t="s">
        <v>1225</v>
      </c>
      <c r="N351" t="s">
        <v>35</v>
      </c>
      <c r="O351" t="s">
        <v>1227</v>
      </c>
    </row>
    <row r="352" spans="1:15" ht="13.8" x14ac:dyDescent="0.25">
      <c r="A352" t="s">
        <v>1145</v>
      </c>
      <c r="B352" t="s">
        <v>1146</v>
      </c>
      <c r="C352">
        <v>26</v>
      </c>
      <c r="D352" t="s">
        <v>115</v>
      </c>
      <c r="E352" t="s">
        <v>102</v>
      </c>
      <c r="F352" t="s">
        <v>60</v>
      </c>
      <c r="G352" t="s">
        <v>1223</v>
      </c>
      <c r="H352" s="1">
        <v>45834</v>
      </c>
      <c r="I352" s="1">
        <v>45876</v>
      </c>
      <c r="J352" t="s">
        <v>132</v>
      </c>
      <c r="K352" t="s">
        <v>1238</v>
      </c>
      <c r="L352">
        <v>346234.73</v>
      </c>
      <c r="M352" t="s">
        <v>1247</v>
      </c>
      <c r="N352" t="s">
        <v>25</v>
      </c>
      <c r="O352" t="s">
        <v>36</v>
      </c>
    </row>
    <row r="353" spans="1:15" ht="13.8" x14ac:dyDescent="0.25">
      <c r="A353" t="s">
        <v>1274</v>
      </c>
      <c r="B353" t="s">
        <v>979</v>
      </c>
      <c r="C353">
        <v>3</v>
      </c>
      <c r="D353" t="s">
        <v>17</v>
      </c>
      <c r="E353" t="s">
        <v>97</v>
      </c>
      <c r="F353" t="s">
        <v>19</v>
      </c>
      <c r="G353" t="s">
        <v>1230</v>
      </c>
      <c r="H353" s="1">
        <v>45887</v>
      </c>
      <c r="I353" s="1">
        <v>46014</v>
      </c>
      <c r="J353" t="s">
        <v>22</v>
      </c>
      <c r="K353" t="s">
        <v>23</v>
      </c>
      <c r="L353">
        <v>-228488.28</v>
      </c>
      <c r="M353" t="s">
        <v>84</v>
      </c>
      <c r="N353" t="s">
        <v>69</v>
      </c>
      <c r="O353" t="s">
        <v>45</v>
      </c>
    </row>
    <row r="354" spans="1:15" ht="13.8" x14ac:dyDescent="0.25">
      <c r="A354" t="s">
        <v>1149</v>
      </c>
      <c r="B354" t="s">
        <v>1128</v>
      </c>
      <c r="C354">
        <v>58</v>
      </c>
      <c r="D354" t="s">
        <v>17</v>
      </c>
      <c r="E354" t="s">
        <v>137</v>
      </c>
      <c r="F354" t="s">
        <v>103</v>
      </c>
      <c r="G354" t="s">
        <v>1236</v>
      </c>
      <c r="H354" s="1">
        <v>45686</v>
      </c>
      <c r="I354" s="1">
        <v>45779</v>
      </c>
      <c r="J354" t="s">
        <v>249</v>
      </c>
      <c r="K354" t="s">
        <v>250</v>
      </c>
      <c r="L354">
        <v>284470.31</v>
      </c>
      <c r="M354" t="s">
        <v>118</v>
      </c>
      <c r="N354" t="s">
        <v>25</v>
      </c>
      <c r="O354" t="s">
        <v>112</v>
      </c>
    </row>
    <row r="355" spans="1:15" ht="13.8" x14ac:dyDescent="0.25">
      <c r="A355" t="s">
        <v>1151</v>
      </c>
      <c r="B355" t="s">
        <v>1152</v>
      </c>
      <c r="C355">
        <v>47</v>
      </c>
      <c r="D355" t="s">
        <v>17</v>
      </c>
      <c r="E355" t="s">
        <v>59</v>
      </c>
      <c r="F355" t="s">
        <v>165</v>
      </c>
      <c r="G355" t="s">
        <v>1242</v>
      </c>
      <c r="H355" s="1">
        <v>45998</v>
      </c>
      <c r="I355" s="1">
        <v>46014</v>
      </c>
      <c r="J355" t="s">
        <v>168</v>
      </c>
      <c r="K355" t="s">
        <v>169</v>
      </c>
      <c r="L355">
        <v>291337.67</v>
      </c>
      <c r="M355" t="s">
        <v>1225</v>
      </c>
      <c r="N355" t="s">
        <v>69</v>
      </c>
      <c r="O355" t="s">
        <v>45</v>
      </c>
    </row>
    <row r="356" spans="1:15" ht="13.8" x14ac:dyDescent="0.25">
      <c r="A356" t="s">
        <v>1153</v>
      </c>
      <c r="B356" t="s">
        <v>751</v>
      </c>
      <c r="C356">
        <v>53</v>
      </c>
      <c r="D356" t="s">
        <v>17</v>
      </c>
      <c r="E356" t="s">
        <v>59</v>
      </c>
      <c r="F356" t="s">
        <v>50</v>
      </c>
      <c r="G356" t="s">
        <v>1254</v>
      </c>
      <c r="H356" s="1">
        <v>45919</v>
      </c>
      <c r="I356" s="1">
        <v>46014</v>
      </c>
      <c r="J356" t="s">
        <v>191</v>
      </c>
      <c r="K356" t="s">
        <v>1244</v>
      </c>
      <c r="L356">
        <v>315860.09999999998</v>
      </c>
      <c r="M356" t="s">
        <v>34</v>
      </c>
      <c r="N356" t="s">
        <v>25</v>
      </c>
      <c r="O356" t="s">
        <v>45</v>
      </c>
    </row>
    <row r="357" spans="1:15" ht="13.8" x14ac:dyDescent="0.25">
      <c r="A357" t="s">
        <v>1157</v>
      </c>
      <c r="B357" t="s">
        <v>1158</v>
      </c>
      <c r="C357">
        <v>61</v>
      </c>
      <c r="D357" t="s">
        <v>58</v>
      </c>
      <c r="E357" t="s">
        <v>78</v>
      </c>
      <c r="F357" t="s">
        <v>1215</v>
      </c>
      <c r="G357" t="s">
        <v>1256</v>
      </c>
      <c r="H357" s="1">
        <v>45668</v>
      </c>
      <c r="I357" s="1">
        <v>45672</v>
      </c>
      <c r="J357" t="s">
        <v>22</v>
      </c>
      <c r="K357" t="s">
        <v>23</v>
      </c>
      <c r="L357" s="4">
        <v>12286.13</v>
      </c>
      <c r="M357" t="s">
        <v>1247</v>
      </c>
      <c r="N357" t="s">
        <v>69</v>
      </c>
      <c r="O357" t="s">
        <v>36</v>
      </c>
    </row>
    <row r="358" spans="1:15" ht="13.8" x14ac:dyDescent="0.25">
      <c r="A358" t="s">
        <v>1160</v>
      </c>
      <c r="B358" t="s">
        <v>991</v>
      </c>
      <c r="C358">
        <v>83</v>
      </c>
      <c r="D358" t="s">
        <v>58</v>
      </c>
      <c r="E358" t="s">
        <v>155</v>
      </c>
      <c r="F358" t="s">
        <v>19</v>
      </c>
      <c r="G358" t="s">
        <v>1230</v>
      </c>
      <c r="H358" s="1">
        <v>45721</v>
      </c>
      <c r="I358" s="1">
        <v>45813</v>
      </c>
      <c r="J358" t="s">
        <v>151</v>
      </c>
      <c r="K358" t="s">
        <v>152</v>
      </c>
      <c r="L358">
        <v>81893.210000000006</v>
      </c>
      <c r="M358" t="s">
        <v>34</v>
      </c>
      <c r="N358" t="s">
        <v>55</v>
      </c>
      <c r="O358" t="s">
        <v>112</v>
      </c>
    </row>
    <row r="359" spans="1:15" ht="13.8" x14ac:dyDescent="0.25">
      <c r="A359" t="s">
        <v>1163</v>
      </c>
      <c r="B359" t="s">
        <v>963</v>
      </c>
      <c r="C359">
        <v>10</v>
      </c>
      <c r="D359" t="s">
        <v>58</v>
      </c>
      <c r="E359" t="s">
        <v>97</v>
      </c>
      <c r="F359" t="s">
        <v>165</v>
      </c>
      <c r="G359" t="s">
        <v>1252</v>
      </c>
      <c r="H359" s="1">
        <v>45694</v>
      </c>
      <c r="I359" s="1">
        <v>46014</v>
      </c>
      <c r="J359" t="s">
        <v>173</v>
      </c>
      <c r="K359" t="s">
        <v>174</v>
      </c>
      <c r="L359">
        <v>15667.1</v>
      </c>
      <c r="M359" t="s">
        <v>24</v>
      </c>
      <c r="N359" t="s">
        <v>35</v>
      </c>
      <c r="O359" t="s">
        <v>45</v>
      </c>
    </row>
    <row r="360" spans="1:15" ht="13.8" x14ac:dyDescent="0.25">
      <c r="A360" t="s">
        <v>1166</v>
      </c>
      <c r="B360" t="s">
        <v>1083</v>
      </c>
      <c r="C360">
        <v>88</v>
      </c>
      <c r="D360" t="s">
        <v>17</v>
      </c>
      <c r="E360" t="s">
        <v>49</v>
      </c>
      <c r="F360" t="s">
        <v>60</v>
      </c>
      <c r="G360" t="s">
        <v>1240</v>
      </c>
      <c r="H360" s="1">
        <v>45817</v>
      </c>
      <c r="I360" s="1">
        <v>46014</v>
      </c>
      <c r="J360" t="s">
        <v>132</v>
      </c>
      <c r="K360" t="s">
        <v>1238</v>
      </c>
      <c r="L360">
        <v>328190.71000000002</v>
      </c>
      <c r="M360" t="s">
        <v>118</v>
      </c>
      <c r="N360" t="s">
        <v>55</v>
      </c>
      <c r="O360" t="s">
        <v>45</v>
      </c>
    </row>
    <row r="361" spans="1:15" ht="13.8" x14ac:dyDescent="0.25">
      <c r="A361" t="s">
        <v>1167</v>
      </c>
      <c r="B361" t="s">
        <v>979</v>
      </c>
      <c r="C361">
        <v>16</v>
      </c>
      <c r="D361" t="s">
        <v>17</v>
      </c>
      <c r="E361" t="s">
        <v>102</v>
      </c>
      <c r="F361" t="s">
        <v>103</v>
      </c>
      <c r="G361" t="s">
        <v>1245</v>
      </c>
      <c r="H361" s="1">
        <v>45948</v>
      </c>
      <c r="I361" s="1">
        <v>45668</v>
      </c>
      <c r="J361" t="s">
        <v>294</v>
      </c>
      <c r="K361" t="s">
        <v>1260</v>
      </c>
      <c r="L361">
        <v>102588.38</v>
      </c>
      <c r="M361" t="s">
        <v>1225</v>
      </c>
      <c r="N361" t="s">
        <v>35</v>
      </c>
      <c r="O361" t="s">
        <v>1227</v>
      </c>
    </row>
    <row r="362" spans="1:15" ht="13.8" x14ac:dyDescent="0.25">
      <c r="A362" t="s">
        <v>1168</v>
      </c>
      <c r="B362" t="s">
        <v>794</v>
      </c>
      <c r="C362">
        <v>18</v>
      </c>
      <c r="D362" t="s">
        <v>58</v>
      </c>
      <c r="E362" t="s">
        <v>72</v>
      </c>
      <c r="F362" t="s">
        <v>60</v>
      </c>
      <c r="G362" t="s">
        <v>1226</v>
      </c>
      <c r="H362" s="1">
        <v>45831</v>
      </c>
      <c r="I362" s="1">
        <v>45832</v>
      </c>
      <c r="J362" t="s">
        <v>132</v>
      </c>
      <c r="K362" t="s">
        <v>1238</v>
      </c>
      <c r="L362">
        <v>243594.27</v>
      </c>
      <c r="M362" t="s">
        <v>34</v>
      </c>
      <c r="N362" t="s">
        <v>55</v>
      </c>
      <c r="O362" t="s">
        <v>1227</v>
      </c>
    </row>
    <row r="363" spans="1:15" ht="13.8" x14ac:dyDescent="0.25">
      <c r="A363" t="s">
        <v>1169</v>
      </c>
      <c r="B363" t="s">
        <v>91</v>
      </c>
      <c r="C363">
        <v>88</v>
      </c>
      <c r="D363" t="s">
        <v>58</v>
      </c>
      <c r="E363" t="s">
        <v>1215</v>
      </c>
      <c r="F363" t="s">
        <v>30</v>
      </c>
      <c r="G363" t="s">
        <v>1251</v>
      </c>
      <c r="H363" s="1">
        <v>45871</v>
      </c>
      <c r="I363" s="1">
        <v>46014</v>
      </c>
      <c r="J363" t="s">
        <v>122</v>
      </c>
      <c r="K363" t="s">
        <v>123</v>
      </c>
      <c r="L363" s="4">
        <v>261994.94</v>
      </c>
      <c r="M363" t="s">
        <v>1215</v>
      </c>
      <c r="N363" t="s">
        <v>69</v>
      </c>
      <c r="O363" t="s">
        <v>45</v>
      </c>
    </row>
    <row r="364" spans="1:15" ht="13.8" x14ac:dyDescent="0.25">
      <c r="A364" t="s">
        <v>1172</v>
      </c>
      <c r="B364" t="s">
        <v>1173</v>
      </c>
      <c r="C364">
        <v>79</v>
      </c>
      <c r="D364" t="s">
        <v>58</v>
      </c>
      <c r="E364" t="s">
        <v>155</v>
      </c>
      <c r="F364" t="s">
        <v>19</v>
      </c>
      <c r="G364" t="s">
        <v>1256</v>
      </c>
      <c r="H364" s="1">
        <v>45840</v>
      </c>
      <c r="I364" s="1">
        <v>45853</v>
      </c>
      <c r="J364" t="s">
        <v>366</v>
      </c>
      <c r="K364" t="s">
        <v>367</v>
      </c>
      <c r="L364">
        <v>80052.56</v>
      </c>
      <c r="M364" t="s">
        <v>1225</v>
      </c>
      <c r="N364" t="s">
        <v>69</v>
      </c>
      <c r="O364" t="s">
        <v>1227</v>
      </c>
    </row>
    <row r="365" spans="1:15" ht="13.8" x14ac:dyDescent="0.25">
      <c r="A365" t="s">
        <v>1177</v>
      </c>
      <c r="B365" t="s">
        <v>1178</v>
      </c>
      <c r="C365">
        <v>15</v>
      </c>
      <c r="D365" t="s">
        <v>17</v>
      </c>
      <c r="E365" t="s">
        <v>97</v>
      </c>
      <c r="F365" t="s">
        <v>165</v>
      </c>
      <c r="G365" t="s">
        <v>1239</v>
      </c>
      <c r="H365" s="1">
        <v>45989</v>
      </c>
      <c r="I365" s="1">
        <v>46014</v>
      </c>
      <c r="J365" t="s">
        <v>173</v>
      </c>
      <c r="K365" t="s">
        <v>174</v>
      </c>
      <c r="L365">
        <v>285895.32</v>
      </c>
      <c r="M365" t="s">
        <v>118</v>
      </c>
      <c r="N365" t="s">
        <v>55</v>
      </c>
      <c r="O365" t="s">
        <v>45</v>
      </c>
    </row>
    <row r="366" spans="1:15" ht="13.8" x14ac:dyDescent="0.25">
      <c r="A366" t="s">
        <v>1182</v>
      </c>
      <c r="B366" t="s">
        <v>1215</v>
      </c>
      <c r="C366">
        <v>18</v>
      </c>
      <c r="D366" t="s">
        <v>58</v>
      </c>
      <c r="E366" t="s">
        <v>155</v>
      </c>
      <c r="F366" t="s">
        <v>19</v>
      </c>
      <c r="G366" t="s">
        <v>1230</v>
      </c>
      <c r="H366" s="1">
        <v>45981</v>
      </c>
      <c r="I366" s="1">
        <v>45989</v>
      </c>
      <c r="J366" t="s">
        <v>151</v>
      </c>
      <c r="K366" t="s">
        <v>152</v>
      </c>
      <c r="L366">
        <v>118716.9</v>
      </c>
      <c r="M366" t="s">
        <v>34</v>
      </c>
      <c r="N366" t="s">
        <v>55</v>
      </c>
      <c r="O366" t="s">
        <v>26</v>
      </c>
    </row>
    <row r="367" spans="1:15" ht="13.8" x14ac:dyDescent="0.25">
      <c r="A367" t="s">
        <v>1187</v>
      </c>
      <c r="B367" t="s">
        <v>1188</v>
      </c>
      <c r="C367">
        <v>38</v>
      </c>
      <c r="D367" t="s">
        <v>17</v>
      </c>
      <c r="E367" t="s">
        <v>18</v>
      </c>
      <c r="F367" t="s">
        <v>30</v>
      </c>
      <c r="G367" t="s">
        <v>1233</v>
      </c>
      <c r="H367" s="1">
        <v>45675</v>
      </c>
      <c r="I367" s="1">
        <v>45682</v>
      </c>
      <c r="J367" t="s">
        <v>122</v>
      </c>
      <c r="K367" t="s">
        <v>123</v>
      </c>
      <c r="L367">
        <v>316292.25</v>
      </c>
      <c r="M367" t="s">
        <v>54</v>
      </c>
      <c r="N367" t="s">
        <v>25</v>
      </c>
      <c r="O367" t="s">
        <v>112</v>
      </c>
    </row>
    <row r="368" spans="1:15" ht="13.8" x14ac:dyDescent="0.25">
      <c r="A368" t="s">
        <v>1189</v>
      </c>
      <c r="B368" t="s">
        <v>959</v>
      </c>
      <c r="C368">
        <v>64</v>
      </c>
      <c r="D368" t="s">
        <v>17</v>
      </c>
      <c r="E368" t="s">
        <v>1215</v>
      </c>
      <c r="F368" t="s">
        <v>40</v>
      </c>
      <c r="G368" t="s">
        <v>1228</v>
      </c>
      <c r="H368" s="1">
        <v>45676</v>
      </c>
      <c r="I368" s="1">
        <v>45677</v>
      </c>
      <c r="J368" t="s">
        <v>1218</v>
      </c>
      <c r="K368" t="s">
        <v>1215</v>
      </c>
      <c r="L368">
        <v>138512.87</v>
      </c>
      <c r="M368" t="s">
        <v>54</v>
      </c>
      <c r="N368" t="s">
        <v>25</v>
      </c>
      <c r="O368" t="s">
        <v>1227</v>
      </c>
    </row>
    <row r="369" spans="1:15" ht="13.8" x14ac:dyDescent="0.25">
      <c r="A369" t="s">
        <v>1275</v>
      </c>
      <c r="B369" t="s">
        <v>1195</v>
      </c>
      <c r="C369">
        <v>81</v>
      </c>
      <c r="D369" t="s">
        <v>58</v>
      </c>
      <c r="E369" t="s">
        <v>72</v>
      </c>
      <c r="F369" t="s">
        <v>103</v>
      </c>
      <c r="G369" t="s">
        <v>1229</v>
      </c>
      <c r="H369" s="1">
        <v>45828</v>
      </c>
      <c r="I369" s="1">
        <v>45844</v>
      </c>
      <c r="J369" t="s">
        <v>219</v>
      </c>
      <c r="K369" t="s">
        <v>140</v>
      </c>
      <c r="L369">
        <v>164538.67000000001</v>
      </c>
      <c r="M369" t="s">
        <v>24</v>
      </c>
      <c r="N369" t="s">
        <v>69</v>
      </c>
      <c r="O369" t="s">
        <v>26</v>
      </c>
    </row>
    <row r="370" spans="1:15" ht="13.8" x14ac:dyDescent="0.25">
      <c r="A370" t="s">
        <v>1196</v>
      </c>
      <c r="B370" t="s">
        <v>342</v>
      </c>
      <c r="C370">
        <v>31</v>
      </c>
      <c r="D370" t="s">
        <v>58</v>
      </c>
      <c r="E370" t="s">
        <v>78</v>
      </c>
      <c r="F370" t="s">
        <v>60</v>
      </c>
      <c r="G370" t="s">
        <v>1240</v>
      </c>
      <c r="H370" s="1">
        <v>45844</v>
      </c>
      <c r="I370" s="1">
        <v>45854</v>
      </c>
      <c r="J370" t="s">
        <v>132</v>
      </c>
      <c r="K370" t="s">
        <v>1238</v>
      </c>
      <c r="L370">
        <v>265719.40000000002</v>
      </c>
      <c r="M370" t="s">
        <v>1219</v>
      </c>
      <c r="N370" t="s">
        <v>35</v>
      </c>
      <c r="O370" t="s">
        <v>1227</v>
      </c>
    </row>
    <row r="371" spans="1:15" ht="13.8" x14ac:dyDescent="0.25">
      <c r="A371" t="s">
        <v>1199</v>
      </c>
      <c r="B371" t="s">
        <v>941</v>
      </c>
      <c r="C371">
        <v>41</v>
      </c>
      <c r="D371" t="s">
        <v>17</v>
      </c>
      <c r="E371" t="s">
        <v>39</v>
      </c>
      <c r="F371" t="s">
        <v>60</v>
      </c>
      <c r="G371" t="s">
        <v>1240</v>
      </c>
      <c r="H371" s="1">
        <v>45706</v>
      </c>
      <c r="I371" s="1">
        <v>45712</v>
      </c>
      <c r="J371" t="s">
        <v>263</v>
      </c>
      <c r="K371" t="s">
        <v>264</v>
      </c>
      <c r="L371" s="4">
        <v>5470.34</v>
      </c>
      <c r="M371" t="s">
        <v>1215</v>
      </c>
      <c r="N371" t="s">
        <v>55</v>
      </c>
      <c r="O371" t="s">
        <v>36</v>
      </c>
    </row>
    <row r="372" spans="1:15" ht="13.8" x14ac:dyDescent="0.25">
      <c r="A372" t="s">
        <v>1202</v>
      </c>
      <c r="B372" t="s">
        <v>991</v>
      </c>
      <c r="C372">
        <v>14</v>
      </c>
      <c r="D372" t="s">
        <v>58</v>
      </c>
      <c r="E372" t="s">
        <v>78</v>
      </c>
      <c r="F372" t="s">
        <v>30</v>
      </c>
      <c r="G372" t="s">
        <v>1216</v>
      </c>
      <c r="H372" s="1">
        <v>45716</v>
      </c>
      <c r="I372" s="1">
        <v>45721</v>
      </c>
      <c r="J372" t="s">
        <v>122</v>
      </c>
      <c r="K372" t="s">
        <v>123</v>
      </c>
      <c r="L372">
        <v>-153231.04999999999</v>
      </c>
      <c r="M372" t="s">
        <v>1225</v>
      </c>
      <c r="N372" t="s">
        <v>25</v>
      </c>
      <c r="O372" t="s">
        <v>26</v>
      </c>
    </row>
    <row r="373" spans="1:15" ht="13.8" x14ac:dyDescent="0.25">
      <c r="A373" t="s">
        <v>1203</v>
      </c>
      <c r="B373" t="s">
        <v>746</v>
      </c>
      <c r="C373">
        <v>64</v>
      </c>
      <c r="D373" t="s">
        <v>58</v>
      </c>
      <c r="E373" t="s">
        <v>39</v>
      </c>
      <c r="F373" t="s">
        <v>60</v>
      </c>
      <c r="G373" t="s">
        <v>1255</v>
      </c>
      <c r="H373" s="1">
        <v>45785</v>
      </c>
      <c r="I373" s="1">
        <v>45794</v>
      </c>
      <c r="J373" t="s">
        <v>132</v>
      </c>
      <c r="K373" t="s">
        <v>1215</v>
      </c>
      <c r="L373">
        <v>298327.53999999998</v>
      </c>
      <c r="M373" t="s">
        <v>1225</v>
      </c>
      <c r="N373" t="s">
        <v>1215</v>
      </c>
      <c r="O373" t="s">
        <v>36</v>
      </c>
    </row>
    <row r="374" spans="1:15" ht="13.8" x14ac:dyDescent="0.25">
      <c r="A374" t="s">
        <v>1210</v>
      </c>
      <c r="B374" t="s">
        <v>1049</v>
      </c>
      <c r="C374">
        <v>12</v>
      </c>
      <c r="D374" t="s">
        <v>17</v>
      </c>
      <c r="E374" t="s">
        <v>78</v>
      </c>
      <c r="F374" t="s">
        <v>30</v>
      </c>
      <c r="G374" t="s">
        <v>1216</v>
      </c>
      <c r="H374" s="1">
        <v>45757</v>
      </c>
      <c r="I374" s="1">
        <v>45958</v>
      </c>
      <c r="J374" t="s">
        <v>122</v>
      </c>
      <c r="K374" t="s">
        <v>123</v>
      </c>
      <c r="L374">
        <v>314197.02</v>
      </c>
      <c r="M374" t="s">
        <v>84</v>
      </c>
      <c r="N374" t="s">
        <v>55</v>
      </c>
      <c r="O374" t="s">
        <v>26</v>
      </c>
    </row>
    <row r="375" spans="1:15" ht="13.8" x14ac:dyDescent="0.25">
      <c r="A375" t="s">
        <v>1211</v>
      </c>
      <c r="B375" t="s">
        <v>1212</v>
      </c>
      <c r="C375">
        <v>35</v>
      </c>
      <c r="D375" t="s">
        <v>17</v>
      </c>
      <c r="E375" t="s">
        <v>137</v>
      </c>
      <c r="F375" t="s">
        <v>30</v>
      </c>
      <c r="G375" t="s">
        <v>1233</v>
      </c>
      <c r="H375" s="1">
        <v>45904</v>
      </c>
      <c r="I375" s="1">
        <v>46014</v>
      </c>
      <c r="J375" t="s">
        <v>122</v>
      </c>
      <c r="K375" t="s">
        <v>123</v>
      </c>
      <c r="L375">
        <v>308766.90999999997</v>
      </c>
      <c r="M375" t="s">
        <v>1225</v>
      </c>
      <c r="N375" t="s">
        <v>25</v>
      </c>
      <c r="O375" t="s">
        <v>45</v>
      </c>
    </row>
    <row r="376" spans="1:15" ht="13.8" x14ac:dyDescent="0.25">
      <c r="A376" t="s">
        <v>1215</v>
      </c>
      <c r="B376" t="s">
        <v>1213</v>
      </c>
      <c r="C376">
        <v>2</v>
      </c>
      <c r="D376" t="s">
        <v>58</v>
      </c>
      <c r="E376" t="s">
        <v>97</v>
      </c>
      <c r="F376" t="s">
        <v>1215</v>
      </c>
      <c r="G376" t="s">
        <v>1256</v>
      </c>
      <c r="H376" s="1">
        <v>45878</v>
      </c>
      <c r="I376" s="1">
        <v>45889</v>
      </c>
      <c r="J376" t="s">
        <v>366</v>
      </c>
      <c r="K376" t="s">
        <v>367</v>
      </c>
      <c r="L376">
        <v>99999999</v>
      </c>
      <c r="M376" t="s">
        <v>84</v>
      </c>
      <c r="N376" t="s">
        <v>74</v>
      </c>
      <c r="O376" t="s">
        <v>1227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CD3A3-6C6F-42C9-8F1F-4C93222B9441}">
  <dimension ref="A1:T28"/>
  <sheetViews>
    <sheetView topLeftCell="A27" zoomScale="104" zoomScaleNormal="55" workbookViewId="0">
      <selection activeCell="E13" sqref="E13"/>
    </sheetView>
  </sheetViews>
  <sheetFormatPr defaultRowHeight="13.8" x14ac:dyDescent="0.25"/>
  <cols>
    <col min="1" max="1" width="15.59765625" customWidth="1"/>
    <col min="2" max="2" width="20.296875" customWidth="1"/>
    <col min="5" max="5" width="20.296875" customWidth="1"/>
    <col min="6" max="6" width="19.59765625" customWidth="1"/>
    <col min="7" max="7" width="5.5" customWidth="1"/>
    <col min="8" max="8" width="17" customWidth="1"/>
    <col min="9" max="9" width="14.5" customWidth="1"/>
    <col min="10" max="10" width="20.3984375" customWidth="1"/>
    <col min="12" max="12" width="22.296875" customWidth="1"/>
    <col min="13" max="13" width="16.796875" customWidth="1"/>
    <col min="16" max="16" width="17" customWidth="1"/>
    <col min="17" max="17" width="15.296875" customWidth="1"/>
  </cols>
  <sheetData>
    <row r="1" spans="1:20" x14ac:dyDescent="0.25">
      <c r="A1" s="12" t="s">
        <v>1276</v>
      </c>
      <c r="B1" s="12"/>
      <c r="C1" s="12"/>
      <c r="D1" s="12"/>
      <c r="E1" s="12"/>
      <c r="F1" s="12"/>
      <c r="G1" s="12"/>
      <c r="H1" s="12"/>
      <c r="I1" s="12"/>
      <c r="J1" s="12"/>
      <c r="K1" s="12"/>
      <c r="L1" s="12"/>
      <c r="M1" s="12"/>
      <c r="N1" s="12"/>
      <c r="O1" s="12"/>
      <c r="P1" s="12"/>
      <c r="Q1" s="12"/>
      <c r="R1" s="12"/>
      <c r="S1" s="12"/>
      <c r="T1" s="12"/>
    </row>
    <row r="2" spans="1:20" x14ac:dyDescent="0.25">
      <c r="A2" s="12"/>
      <c r="B2" s="12"/>
      <c r="C2" s="12"/>
      <c r="D2" s="12"/>
      <c r="E2" s="12"/>
      <c r="F2" s="12"/>
      <c r="G2" s="12"/>
      <c r="H2" s="12"/>
      <c r="I2" s="12"/>
      <c r="J2" s="12"/>
      <c r="K2" s="12"/>
      <c r="L2" s="12"/>
      <c r="M2" s="12"/>
      <c r="N2" s="12"/>
      <c r="O2" s="12"/>
      <c r="P2" s="12"/>
      <c r="Q2" s="12"/>
      <c r="R2" s="12"/>
      <c r="S2" s="12"/>
      <c r="T2" s="12"/>
    </row>
    <row r="4" spans="1:20" x14ac:dyDescent="0.25">
      <c r="A4" s="5" t="s">
        <v>5</v>
      </c>
      <c r="B4" t="s">
        <v>1278</v>
      </c>
      <c r="E4" s="5" t="s">
        <v>1289</v>
      </c>
      <c r="F4" t="s">
        <v>1286</v>
      </c>
      <c r="H4" s="5" t="s">
        <v>1285</v>
      </c>
      <c r="I4" t="s">
        <v>1286</v>
      </c>
      <c r="L4" s="5" t="s">
        <v>6</v>
      </c>
      <c r="M4" t="s">
        <v>1278</v>
      </c>
      <c r="P4" s="5" t="s">
        <v>1288</v>
      </c>
      <c r="Q4" t="s">
        <v>1278</v>
      </c>
    </row>
    <row r="5" spans="1:20" x14ac:dyDescent="0.25">
      <c r="A5" s="6" t="s">
        <v>103</v>
      </c>
      <c r="B5">
        <v>45</v>
      </c>
      <c r="E5" s="6" t="s">
        <v>58</v>
      </c>
      <c r="F5">
        <v>331879484.15000004</v>
      </c>
      <c r="H5" s="6" t="s">
        <v>103</v>
      </c>
      <c r="I5">
        <v>8016535.2200000007</v>
      </c>
      <c r="L5" s="6" t="s">
        <v>1217</v>
      </c>
      <c r="M5">
        <v>17</v>
      </c>
      <c r="P5" s="6" t="s">
        <v>69</v>
      </c>
      <c r="Q5">
        <v>84</v>
      </c>
    </row>
    <row r="6" spans="1:20" x14ac:dyDescent="0.25">
      <c r="A6" s="6" t="s">
        <v>19</v>
      </c>
      <c r="B6">
        <v>51</v>
      </c>
      <c r="E6" s="6" t="s">
        <v>17</v>
      </c>
      <c r="F6">
        <v>129180465.33999994</v>
      </c>
      <c r="H6" s="6" t="s">
        <v>19</v>
      </c>
      <c r="I6">
        <v>108646505.58000003</v>
      </c>
      <c r="L6" s="6" t="s">
        <v>1223</v>
      </c>
      <c r="M6">
        <v>16</v>
      </c>
      <c r="P6" s="6" t="s">
        <v>1277</v>
      </c>
      <c r="Q6">
        <v>84</v>
      </c>
    </row>
    <row r="7" spans="1:20" x14ac:dyDescent="0.25">
      <c r="A7" s="6" t="s">
        <v>40</v>
      </c>
      <c r="B7">
        <v>50</v>
      </c>
      <c r="E7" s="6" t="s">
        <v>115</v>
      </c>
      <c r="F7">
        <v>2659597.2799999998</v>
      </c>
      <c r="H7" s="6" t="s">
        <v>40</v>
      </c>
      <c r="I7">
        <v>107763068.91</v>
      </c>
      <c r="L7" s="6" t="s">
        <v>1245</v>
      </c>
      <c r="M7">
        <v>16</v>
      </c>
    </row>
    <row r="8" spans="1:20" x14ac:dyDescent="0.25">
      <c r="A8" s="6" t="s">
        <v>50</v>
      </c>
      <c r="B8">
        <v>48</v>
      </c>
      <c r="E8" s="6" t="s">
        <v>1277</v>
      </c>
      <c r="F8">
        <v>463719546.76999998</v>
      </c>
      <c r="H8" s="6" t="s">
        <v>50</v>
      </c>
      <c r="I8">
        <v>8901635.5999999996</v>
      </c>
      <c r="L8" s="6" t="s">
        <v>1246</v>
      </c>
      <c r="M8">
        <v>17</v>
      </c>
    </row>
    <row r="9" spans="1:20" x14ac:dyDescent="0.25">
      <c r="A9" s="6" t="s">
        <v>30</v>
      </c>
      <c r="B9">
        <v>60</v>
      </c>
      <c r="H9" s="6" t="s">
        <v>30</v>
      </c>
      <c r="I9">
        <v>9880704.5300000012</v>
      </c>
      <c r="L9" s="6" t="s">
        <v>1229</v>
      </c>
      <c r="M9">
        <v>11</v>
      </c>
    </row>
    <row r="10" spans="1:20" x14ac:dyDescent="0.25">
      <c r="A10" s="6" t="s">
        <v>165</v>
      </c>
      <c r="B10">
        <v>57</v>
      </c>
      <c r="H10" s="6" t="s">
        <v>165</v>
      </c>
      <c r="I10">
        <v>108744232.00999999</v>
      </c>
      <c r="L10" s="6" t="s">
        <v>1256</v>
      </c>
      <c r="M10">
        <v>15</v>
      </c>
    </row>
    <row r="11" spans="1:20" x14ac:dyDescent="0.25">
      <c r="A11" s="6" t="s">
        <v>60</v>
      </c>
      <c r="B11">
        <v>48</v>
      </c>
      <c r="H11" s="6" t="s">
        <v>60</v>
      </c>
      <c r="I11">
        <v>9880770.5299999993</v>
      </c>
      <c r="L11" s="6" t="s">
        <v>1251</v>
      </c>
      <c r="M11">
        <v>20</v>
      </c>
    </row>
    <row r="12" spans="1:20" x14ac:dyDescent="0.25">
      <c r="A12" s="6" t="s">
        <v>1215</v>
      </c>
      <c r="B12">
        <v>16</v>
      </c>
      <c r="H12" s="6" t="s">
        <v>1215</v>
      </c>
      <c r="I12">
        <v>101886094.39</v>
      </c>
      <c r="L12" s="6" t="s">
        <v>1252</v>
      </c>
      <c r="M12">
        <v>16</v>
      </c>
    </row>
    <row r="13" spans="1:20" x14ac:dyDescent="0.25">
      <c r="A13" s="6" t="s">
        <v>1277</v>
      </c>
      <c r="B13">
        <v>375</v>
      </c>
      <c r="H13" s="6" t="s">
        <v>1277</v>
      </c>
      <c r="I13">
        <v>463719546.76999998</v>
      </c>
      <c r="L13" s="6" t="s">
        <v>1255</v>
      </c>
      <c r="M13">
        <v>14</v>
      </c>
    </row>
    <row r="14" spans="1:20" x14ac:dyDescent="0.25">
      <c r="L14" s="6" t="s">
        <v>1243</v>
      </c>
      <c r="M14">
        <v>14</v>
      </c>
    </row>
    <row r="15" spans="1:20" x14ac:dyDescent="0.25">
      <c r="L15" s="6" t="s">
        <v>1236</v>
      </c>
      <c r="M15">
        <v>18</v>
      </c>
    </row>
    <row r="16" spans="1:20" x14ac:dyDescent="0.25">
      <c r="L16" s="6" t="s">
        <v>1221</v>
      </c>
      <c r="M16">
        <v>21</v>
      </c>
    </row>
    <row r="17" spans="1:13" x14ac:dyDescent="0.25">
      <c r="L17" s="6" t="s">
        <v>1228</v>
      </c>
      <c r="M17">
        <v>15</v>
      </c>
    </row>
    <row r="18" spans="1:13" x14ac:dyDescent="0.25">
      <c r="L18" s="6" t="s">
        <v>1242</v>
      </c>
      <c r="M18">
        <v>18</v>
      </c>
    </row>
    <row r="19" spans="1:13" x14ac:dyDescent="0.25">
      <c r="A19" s="5" t="s">
        <v>1285</v>
      </c>
      <c r="B19" t="s">
        <v>1290</v>
      </c>
      <c r="E19" s="5" t="s">
        <v>1285</v>
      </c>
      <c r="F19" t="s">
        <v>1287</v>
      </c>
      <c r="L19" s="6" t="s">
        <v>1230</v>
      </c>
      <c r="M19">
        <v>19</v>
      </c>
    </row>
    <row r="20" spans="1:13" x14ac:dyDescent="0.25">
      <c r="A20" s="6" t="s">
        <v>45</v>
      </c>
      <c r="B20">
        <v>82</v>
      </c>
      <c r="E20" s="6" t="s">
        <v>103</v>
      </c>
      <c r="F20">
        <v>3004</v>
      </c>
      <c r="L20" s="6" t="s">
        <v>1239</v>
      </c>
      <c r="M20">
        <v>24</v>
      </c>
    </row>
    <row r="21" spans="1:13" x14ac:dyDescent="0.25">
      <c r="A21" s="6" t="s">
        <v>1234</v>
      </c>
      <c r="B21">
        <v>1</v>
      </c>
      <c r="E21" s="6" t="s">
        <v>19</v>
      </c>
      <c r="F21">
        <v>2383</v>
      </c>
      <c r="L21" s="6" t="s">
        <v>1235</v>
      </c>
      <c r="M21">
        <v>17</v>
      </c>
    </row>
    <row r="22" spans="1:13" x14ac:dyDescent="0.25">
      <c r="A22" s="6" t="s">
        <v>36</v>
      </c>
      <c r="B22">
        <v>78</v>
      </c>
      <c r="E22" s="6" t="s">
        <v>40</v>
      </c>
      <c r="F22">
        <v>1784</v>
      </c>
      <c r="L22" s="6" t="s">
        <v>1216</v>
      </c>
      <c r="M22">
        <v>26</v>
      </c>
    </row>
    <row r="23" spans="1:13" x14ac:dyDescent="0.25">
      <c r="A23" s="6" t="s">
        <v>1227</v>
      </c>
      <c r="B23">
        <v>77</v>
      </c>
      <c r="E23" s="6" t="s">
        <v>50</v>
      </c>
      <c r="F23">
        <v>2266</v>
      </c>
      <c r="L23" s="6" t="s">
        <v>1254</v>
      </c>
      <c r="M23">
        <v>12</v>
      </c>
    </row>
    <row r="24" spans="1:13" x14ac:dyDescent="0.25">
      <c r="A24" s="6" t="s">
        <v>26</v>
      </c>
      <c r="B24">
        <v>66</v>
      </c>
      <c r="E24" s="6" t="s">
        <v>30</v>
      </c>
      <c r="F24">
        <v>2944</v>
      </c>
      <c r="L24" s="6" t="s">
        <v>1226</v>
      </c>
      <c r="M24">
        <v>18</v>
      </c>
    </row>
    <row r="25" spans="1:13" x14ac:dyDescent="0.25">
      <c r="A25" s="6" t="s">
        <v>1262</v>
      </c>
      <c r="B25">
        <v>3</v>
      </c>
      <c r="E25" s="6" t="s">
        <v>165</v>
      </c>
      <c r="F25">
        <v>2704</v>
      </c>
      <c r="L25" s="6" t="s">
        <v>1240</v>
      </c>
      <c r="M25">
        <v>16</v>
      </c>
    </row>
    <row r="26" spans="1:13" x14ac:dyDescent="0.25">
      <c r="A26" s="6" t="s">
        <v>112</v>
      </c>
      <c r="B26">
        <v>56</v>
      </c>
      <c r="E26" s="6" t="s">
        <v>60</v>
      </c>
      <c r="F26">
        <v>2151</v>
      </c>
      <c r="L26" s="6" t="s">
        <v>1233</v>
      </c>
      <c r="M26">
        <v>15</v>
      </c>
    </row>
    <row r="27" spans="1:13" x14ac:dyDescent="0.25">
      <c r="A27" s="6" t="s">
        <v>1215</v>
      </c>
      <c r="B27">
        <v>12</v>
      </c>
      <c r="E27" s="6" t="s">
        <v>1215</v>
      </c>
      <c r="F27">
        <v>626</v>
      </c>
      <c r="L27" s="6" t="s">
        <v>1277</v>
      </c>
      <c r="M27">
        <v>375</v>
      </c>
    </row>
    <row r="28" spans="1:13" x14ac:dyDescent="0.25">
      <c r="A28" s="6" t="s">
        <v>1277</v>
      </c>
      <c r="B28">
        <v>375</v>
      </c>
      <c r="E28" s="6" t="s">
        <v>1277</v>
      </c>
      <c r="F28">
        <v>17862</v>
      </c>
    </row>
  </sheetData>
  <mergeCells count="1">
    <mergeCell ref="A1:T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331D-44DF-4C85-88CE-1580E68FE9FD}">
  <dimension ref="A1:U46"/>
  <sheetViews>
    <sheetView showGridLines="0" tabSelected="1" zoomScale="51" workbookViewId="0">
      <selection activeCell="W15" sqref="W15"/>
    </sheetView>
  </sheetViews>
  <sheetFormatPr defaultRowHeight="13.8" x14ac:dyDescent="0.25"/>
  <cols>
    <col min="6" max="6" width="10.09765625" customWidth="1"/>
    <col min="7" max="7" width="9" customWidth="1"/>
    <col min="9" max="9" width="14.09765625" customWidth="1"/>
    <col min="11" max="11" width="8.796875" customWidth="1"/>
    <col min="15" max="15" width="15.5" customWidth="1"/>
    <col min="16" max="16" width="0.3984375" hidden="1" customWidth="1"/>
    <col min="17" max="17" width="9.765625E-2" hidden="1" customWidth="1"/>
    <col min="18" max="19" width="8.796875" hidden="1" customWidth="1"/>
    <col min="20" max="20" width="10.296875" customWidth="1"/>
  </cols>
  <sheetData>
    <row r="1" spans="1:20" x14ac:dyDescent="0.25">
      <c r="A1" s="15" t="s">
        <v>1279</v>
      </c>
      <c r="B1" s="15"/>
      <c r="C1" s="15"/>
      <c r="D1" s="15"/>
      <c r="E1" s="15"/>
      <c r="F1" s="15"/>
      <c r="G1" s="15"/>
      <c r="H1" s="15"/>
      <c r="I1" s="15"/>
      <c r="J1" s="15"/>
      <c r="K1" s="15"/>
      <c r="L1" s="15"/>
      <c r="M1" s="15"/>
      <c r="N1" s="15"/>
      <c r="O1" s="15"/>
      <c r="P1" s="15"/>
      <c r="Q1" s="15"/>
      <c r="R1" s="15"/>
      <c r="S1" s="15"/>
      <c r="T1" s="15"/>
    </row>
    <row r="2" spans="1:20" ht="26.4" customHeight="1" x14ac:dyDescent="0.25">
      <c r="A2" s="15"/>
      <c r="B2" s="15"/>
      <c r="C2" s="15"/>
      <c r="D2" s="15"/>
      <c r="E2" s="15"/>
      <c r="F2" s="15"/>
      <c r="G2" s="15"/>
      <c r="H2" s="15"/>
      <c r="I2" s="15"/>
      <c r="J2" s="15"/>
      <c r="K2" s="15"/>
      <c r="L2" s="15"/>
      <c r="M2" s="15"/>
      <c r="N2" s="15"/>
      <c r="O2" s="15"/>
      <c r="P2" s="15"/>
      <c r="Q2" s="15"/>
      <c r="R2" s="15"/>
      <c r="S2" s="15"/>
      <c r="T2" s="15"/>
    </row>
    <row r="4" spans="1:20" x14ac:dyDescent="0.25">
      <c r="B4" s="16" t="s">
        <v>1280</v>
      </c>
      <c r="C4" s="16"/>
      <c r="E4" s="16" t="s">
        <v>1281</v>
      </c>
      <c r="F4" s="16"/>
      <c r="G4" s="7"/>
      <c r="H4" s="16" t="s">
        <v>1282</v>
      </c>
      <c r="I4" s="16"/>
      <c r="K4" s="16" t="s">
        <v>1283</v>
      </c>
      <c r="L4" s="16"/>
      <c r="N4" s="16" t="s">
        <v>1284</v>
      </c>
      <c r="O4" s="16"/>
    </row>
    <row r="5" spans="1:20" x14ac:dyDescent="0.25">
      <c r="B5" s="16"/>
      <c r="C5" s="16"/>
      <c r="E5" s="16"/>
      <c r="F5" s="16"/>
      <c r="G5" s="7"/>
      <c r="H5" s="16"/>
      <c r="I5" s="16"/>
      <c r="K5" s="16"/>
      <c r="L5" s="16"/>
      <c r="N5" s="16"/>
      <c r="O5" s="16"/>
    </row>
    <row r="6" spans="1:20" ht="14.4" customHeight="1" x14ac:dyDescent="0.25">
      <c r="B6" s="14">
        <f>COUNTA('HOSPITAL CLEAN DATA SET '!A:A)-1</f>
        <v>375</v>
      </c>
      <c r="C6" s="14"/>
      <c r="E6" s="14">
        <f>SUM('HOSPITAL CLEAN DATA SET '!L:L)</f>
        <v>463719546.76999998</v>
      </c>
      <c r="F6" s="14"/>
      <c r="G6" s="7"/>
      <c r="H6" s="14">
        <f>COUNTIF('HOSPITAL CLEAN DATA SET '!D:D,"Female")</f>
        <v>181</v>
      </c>
      <c r="I6" s="14"/>
      <c r="K6" s="16">
        <f>COUNTA('PIVOT TABLE'!L4:L26)</f>
        <v>23</v>
      </c>
      <c r="L6" s="16"/>
      <c r="N6" s="14">
        <v>8</v>
      </c>
      <c r="O6" s="14"/>
    </row>
    <row r="7" spans="1:20" ht="23.4" customHeight="1" x14ac:dyDescent="0.25">
      <c r="B7" s="14"/>
      <c r="C7" s="14"/>
      <c r="E7" s="14"/>
      <c r="F7" s="14"/>
      <c r="G7" s="7"/>
      <c r="H7" s="14"/>
      <c r="I7" s="14"/>
      <c r="K7" s="16"/>
      <c r="L7" s="16"/>
      <c r="N7" s="14"/>
      <c r="O7" s="14"/>
    </row>
    <row r="9" spans="1:20" x14ac:dyDescent="0.25">
      <c r="K9" s="13"/>
      <c r="L9" s="13"/>
      <c r="M9" s="13"/>
      <c r="N9" s="13"/>
      <c r="O9" s="13"/>
    </row>
    <row r="36" spans="13:21" ht="18" customHeight="1" x14ac:dyDescent="0.25">
      <c r="M36" s="10"/>
      <c r="N36" s="10"/>
      <c r="O36" s="8"/>
      <c r="P36" s="11"/>
      <c r="Q36" s="11"/>
      <c r="R36" s="11"/>
      <c r="S36" s="11"/>
      <c r="T36" s="9"/>
      <c r="U36" s="11"/>
    </row>
    <row r="37" spans="13:21" ht="18" customHeight="1" x14ac:dyDescent="0.25">
      <c r="M37" s="10"/>
      <c r="N37" s="10"/>
      <c r="O37" s="10"/>
      <c r="P37" s="11"/>
      <c r="Q37" s="11"/>
      <c r="R37" s="11"/>
      <c r="S37" s="11"/>
      <c r="T37" s="11"/>
      <c r="U37" s="11"/>
    </row>
    <row r="38" spans="13:21" ht="18" customHeight="1" x14ac:dyDescent="0.25">
      <c r="M38" s="11"/>
      <c r="N38" s="11"/>
      <c r="O38" s="11"/>
      <c r="P38" s="11"/>
      <c r="Q38" s="11"/>
      <c r="R38" s="11"/>
      <c r="S38" s="11"/>
      <c r="T38" s="11"/>
      <c r="U38" s="11"/>
    </row>
    <row r="39" spans="13:21" ht="18" customHeight="1" x14ac:dyDescent="0.25">
      <c r="M39" s="11"/>
      <c r="N39" s="11"/>
      <c r="O39" s="11"/>
      <c r="P39" s="11"/>
      <c r="Q39" s="11"/>
      <c r="R39" s="11"/>
      <c r="S39" s="11"/>
      <c r="T39" s="11"/>
      <c r="U39" s="11"/>
    </row>
    <row r="40" spans="13:21" ht="18" customHeight="1" x14ac:dyDescent="0.25">
      <c r="M40" s="11"/>
      <c r="N40" s="11"/>
      <c r="O40" s="11"/>
      <c r="P40" s="11"/>
      <c r="Q40" s="11"/>
      <c r="R40" s="11"/>
      <c r="S40" s="11"/>
      <c r="T40" s="11"/>
      <c r="U40" s="11"/>
    </row>
    <row r="41" spans="13:21" ht="18" customHeight="1" x14ac:dyDescent="0.25">
      <c r="M41" s="11"/>
      <c r="N41" s="11"/>
      <c r="O41" s="11"/>
      <c r="P41" s="11"/>
      <c r="Q41" s="11"/>
      <c r="R41" s="11"/>
      <c r="S41" s="11"/>
      <c r="T41" s="11"/>
      <c r="U41" s="11"/>
    </row>
    <row r="42" spans="13:21" ht="18" customHeight="1" x14ac:dyDescent="0.25">
      <c r="M42" s="11"/>
      <c r="N42" s="11"/>
      <c r="O42" s="11"/>
      <c r="P42" s="11"/>
      <c r="Q42" s="11"/>
      <c r="R42" s="11"/>
      <c r="S42" s="11"/>
      <c r="T42" s="11"/>
      <c r="U42" s="11"/>
    </row>
    <row r="43" spans="13:21" ht="18" customHeight="1" x14ac:dyDescent="0.25">
      <c r="M43" s="11"/>
      <c r="N43" s="11"/>
      <c r="O43" s="11"/>
      <c r="P43" s="11"/>
      <c r="Q43" s="11"/>
      <c r="R43" s="11"/>
      <c r="S43" s="11"/>
      <c r="T43" s="11"/>
      <c r="U43" s="11"/>
    </row>
    <row r="44" spans="13:21" ht="18" customHeight="1" x14ac:dyDescent="0.25">
      <c r="M44" s="11"/>
      <c r="N44" s="11"/>
      <c r="O44" s="11"/>
      <c r="P44" s="11"/>
      <c r="Q44" s="11"/>
      <c r="R44" s="11"/>
      <c r="S44" s="11"/>
      <c r="T44" s="11"/>
      <c r="U44" s="11"/>
    </row>
    <row r="45" spans="13:21" ht="18" customHeight="1" x14ac:dyDescent="0.25">
      <c r="M45" s="11"/>
      <c r="N45" s="11"/>
      <c r="O45" s="11"/>
      <c r="P45" s="11"/>
      <c r="Q45" s="11"/>
      <c r="R45" s="11"/>
      <c r="S45" s="11"/>
      <c r="T45" s="11"/>
      <c r="U45" s="11"/>
    </row>
    <row r="46" spans="13:21" ht="18" customHeight="1" x14ac:dyDescent="0.25">
      <c r="M46" s="11"/>
      <c r="N46" s="11"/>
      <c r="O46" s="11"/>
      <c r="P46" s="11"/>
      <c r="Q46" s="11"/>
      <c r="R46" s="11"/>
      <c r="S46" s="11"/>
      <c r="T46" s="11"/>
      <c r="U46" s="11"/>
    </row>
  </sheetData>
  <mergeCells count="12">
    <mergeCell ref="K9:O9"/>
    <mergeCell ref="N6:O7"/>
    <mergeCell ref="A1:T2"/>
    <mergeCell ref="B4:C5"/>
    <mergeCell ref="B6:C7"/>
    <mergeCell ref="E4:F5"/>
    <mergeCell ref="E6:F7"/>
    <mergeCell ref="H4:I5"/>
    <mergeCell ref="H6:I7"/>
    <mergeCell ref="K4:L5"/>
    <mergeCell ref="K6:L7"/>
    <mergeCell ref="N4: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83FBE5-D31E-48A9-BBC2-A093E71CAC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hospital_patient_unclean_500</vt:lpstr>
      <vt:lpstr>HOSPITAL CLEAN DATA SET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Gupta</dc:creator>
  <cp:lastModifiedBy>Rahul Gupta</cp:lastModifiedBy>
  <dcterms:created xsi:type="dcterms:W3CDTF">2026-10-08T09:32:35Z</dcterms:created>
  <dcterms:modified xsi:type="dcterms:W3CDTF">2026-10-15T06:03:56Z</dcterms:modified>
</cp:coreProperties>
</file>